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Blad2" sheetId="2" r:id="rId6"/>
  </sheets>
  <definedNames/>
  <calcPr/>
</workbook>
</file>

<file path=xl/sharedStrings.xml><?xml version="1.0" encoding="utf-8"?>
<sst xmlns="http://schemas.openxmlformats.org/spreadsheetml/2006/main" count="2231" uniqueCount="642">
  <si>
    <t>Musea - Nederlandse benaming (Title)</t>
  </si>
  <si>
    <t>Musea - Franse benaming (Alternative Title)</t>
  </si>
  <si>
    <t>Provincie</t>
  </si>
  <si>
    <t>Alle Thema's</t>
  </si>
  <si>
    <t>Geschiedenis en archeologie</t>
  </si>
  <si>
    <t>Wetenschap en technologie</t>
  </si>
  <si>
    <t>Mode</t>
  </si>
  <si>
    <t>Literatuur</t>
  </si>
  <si>
    <t>Architectuur</t>
  </si>
  <si>
    <t>Beeldende kunst</t>
  </si>
  <si>
    <t>Toegepaste kunst en design</t>
  </si>
  <si>
    <t>Shop</t>
  </si>
  <si>
    <t>Café</t>
  </si>
  <si>
    <t>Parking</t>
  </si>
  <si>
    <t>Restaurant</t>
  </si>
  <si>
    <t>Algemene naam --&gt; als geen NL naam dan FR</t>
  </si>
  <si>
    <t>Prijs</t>
  </si>
  <si>
    <t>Tijdelijk gesloten</t>
  </si>
  <si>
    <t>Tijdelijke tentoonstelling(en)</t>
  </si>
  <si>
    <t>Prijs incl. tijdelijke tentoonstelling</t>
  </si>
  <si>
    <t>PROVINCE RATING</t>
  </si>
  <si>
    <t>THEME RATING</t>
  </si>
  <si>
    <t>BUDGET RATING</t>
  </si>
  <si>
    <t>FACILITIES RATING</t>
  </si>
  <si>
    <t>SUITABILITY RATING</t>
  </si>
  <si>
    <t>WEIGHTED RATING</t>
  </si>
  <si>
    <t>RATING</t>
  </si>
  <si>
    <t>Profile</t>
  </si>
  <si>
    <t>Answers (if more, split by comma)</t>
  </si>
  <si>
    <t>Archeologisch museum van de Boven-Maas</t>
  </si>
  <si>
    <t>Musée archéologique de la Haute-Meuse</t>
  </si>
  <si>
    <t>Namen</t>
  </si>
  <si>
    <t>Name</t>
  </si>
  <si>
    <t>Jozefien</t>
  </si>
  <si>
    <t>Citadel van Namen / Bezoekerscentrum Terra Nova en toeristentreintje</t>
  </si>
  <si>
    <t>Province</t>
  </si>
  <si>
    <t>Oost-Vlaanderen, Antwerpen</t>
  </si>
  <si>
    <t>NAM-IP Computermuseum</t>
  </si>
  <si>
    <t>Computer Museum NAM-IP</t>
  </si>
  <si>
    <t>Theme</t>
  </si>
  <si>
    <t>Geschiedenis en archeologie, Beeldende Kunst</t>
  </si>
  <si>
    <t>Ecomuseum van de Viroin</t>
  </si>
  <si>
    <t>Écomusée du Viroin</t>
  </si>
  <si>
    <t>Budget</t>
  </si>
  <si>
    <t>Andenne Museum</t>
  </si>
  <si>
    <t>Espace Muséal d’Andenne</t>
  </si>
  <si>
    <t>Toegepaste kunst en design, Geschiedenis en archeologie</t>
  </si>
  <si>
    <t>Facilities</t>
  </si>
  <si>
    <t>Shop, Parking</t>
  </si>
  <si>
    <t>Le Delta</t>
  </si>
  <si>
    <t>Desired rating</t>
  </si>
  <si>
    <t>excellent</t>
  </si>
  <si>
    <t>Le Pavillon</t>
  </si>
  <si>
    <t>Beeldende kunst, Wetenschap en technologie</t>
  </si>
  <si>
    <t>Maison du patrimoine médiéval mosan</t>
  </si>
  <si>
    <t>Archeopark van Rochefort</t>
  </si>
  <si>
    <t>Malagne | Archéoparc de Rochefort</t>
  </si>
  <si>
    <t>MusAfrica Namen</t>
  </si>
  <si>
    <t>MusAfrica Namur</t>
  </si>
  <si>
    <t>Aardbeimuseum</t>
  </si>
  <si>
    <t>Musée de la Fraise</t>
  </si>
  <si>
    <t>Beeldende kunst, Geschiedenis en archeologie, Wetenschap en technologie</t>
  </si>
  <si>
    <t>Musée du Malgré-Tout</t>
  </si>
  <si>
    <t>Museum van het Klein Formaat</t>
  </si>
  <si>
    <t>Musée du Petit Format</t>
  </si>
  <si>
    <t>Félicien Rops Museum</t>
  </si>
  <si>
    <t>Musée Félicien Rops</t>
  </si>
  <si>
    <t>Museum voor Oude Kunsten</t>
  </si>
  <si>
    <t>TreM.a | Musée des Arts anciens</t>
  </si>
  <si>
    <t>Abdijmuseum Ten Duinen</t>
  </si>
  <si>
    <t>Musée de l’Abbaye des Dunes</t>
  </si>
  <si>
    <t>West-Vlaanderen</t>
  </si>
  <si>
    <t>Geschiedenis en archeologie, Wetenschap en technologie, Architectuur</t>
  </si>
  <si>
    <t>Adornesdomein</t>
  </si>
  <si>
    <t>Le domaine Adornes</t>
  </si>
  <si>
    <t>Beeldende kunst, Toegepaste kunst en design, Geschiedenis en archeologie, Architectuur</t>
  </si>
  <si>
    <t>Atlantikwall Raversyde</t>
  </si>
  <si>
    <t>Beeldende kunst, Toegepaste kunst en design, Geschiedenis en archeologie, Wetenschap en technologie, Architectuur</t>
  </si>
  <si>
    <t>Bakkerijmuseum</t>
  </si>
  <si>
    <t>Musée de la Boulangerie</t>
  </si>
  <si>
    <t>Belfort van Brugge</t>
  </si>
  <si>
    <t>Beffroi de Bruges</t>
  </si>
  <si>
    <t>Belle Epoque Centrum</t>
  </si>
  <si>
    <t>Centre Belle Epoque</t>
  </si>
  <si>
    <t>Brugse Vrije</t>
  </si>
  <si>
    <t>Franc de Bruges</t>
  </si>
  <si>
    <t>Beeldende kunst, Toegepaste kunst en design, Geschiedenis en archeologie</t>
  </si>
  <si>
    <t>Dodengang</t>
  </si>
  <si>
    <t>Boyau de la Mort</t>
  </si>
  <si>
    <t>Eperon d’Or</t>
  </si>
  <si>
    <t>Geschiedenis en archeologie, Wetenschap en technologie, Architectuur, Mode</t>
  </si>
  <si>
    <t>Gezellehuis</t>
  </si>
  <si>
    <t>Maison Gezelle</t>
  </si>
  <si>
    <t>Groeningemuseum</t>
  </si>
  <si>
    <t>Musée Groeninge</t>
  </si>
  <si>
    <t>Gruuthusemuseum</t>
  </si>
  <si>
    <t>Musée Gruuthuse</t>
  </si>
  <si>
    <t>Het James Ensorhuis</t>
  </si>
  <si>
    <t>La Maison de James Ensor</t>
  </si>
  <si>
    <t>Het Lijsternest | Streuvelshuis &amp; Schrijversresidentie</t>
  </si>
  <si>
    <t>Beeldende kunst, Architectuur, Literatuur</t>
  </si>
  <si>
    <t>HEY Museum</t>
  </si>
  <si>
    <t>Beeldende kunst, Geschiedenis en archeologie</t>
  </si>
  <si>
    <t>Hopmuseum Poperinge</t>
  </si>
  <si>
    <t>Musée du Houblon Poperinge</t>
  </si>
  <si>
    <t>In Flanders Fields Museum</t>
  </si>
  <si>
    <t>Musée In Flanders Fields</t>
  </si>
  <si>
    <t>Kantmuseum Brugge</t>
  </si>
  <si>
    <t>Musée de la Dentelle Bruges</t>
  </si>
  <si>
    <t>Toegepaste kunst en design, Geschiedenis en archeologie, Mode</t>
  </si>
  <si>
    <t>Kasteel van Loppem</t>
  </si>
  <si>
    <t>Château de Loppem</t>
  </si>
  <si>
    <t>KOERS | Museum van de Wielersport</t>
  </si>
  <si>
    <t>Musée de la Course Cycliste</t>
  </si>
  <si>
    <t>Geschiedenis en archeologie, Wetenschap en technologie</t>
  </si>
  <si>
    <t>Museum aan de IJzer</t>
  </si>
  <si>
    <t>Musée la tour de L’Yser</t>
  </si>
  <si>
    <t>Museum Sint-Janshospitaal</t>
  </si>
  <si>
    <t>Musée Hôpital Saint-Jean</t>
  </si>
  <si>
    <t>Mu.ZEE | Kunstmuseum aan Zee</t>
  </si>
  <si>
    <t>Musée Art-sur-Mer</t>
  </si>
  <si>
    <t>Nationaal Tabaksmuseum</t>
  </si>
  <si>
    <t>Musée National du Tabac</t>
  </si>
  <si>
    <t>NAVIGO Visserijmuseum</t>
  </si>
  <si>
    <t>Musée de la Pêche NAVIGO</t>
  </si>
  <si>
    <t>O.L.V.-kerk Museum</t>
  </si>
  <si>
    <t>Musée de l’Église Notre-Dame</t>
  </si>
  <si>
    <t>Beeldende kunst, Architectuur</t>
  </si>
  <si>
    <t>O.L.V. ter Potterie</t>
  </si>
  <si>
    <t>Musée Notre-Dame de la Poterie</t>
  </si>
  <si>
    <t>Passchendaele Museum</t>
  </si>
  <si>
    <t>Paul Delvaux Museum</t>
  </si>
  <si>
    <t>Musée Paul Delvaux</t>
  </si>
  <si>
    <t>Peiremuzee</t>
  </si>
  <si>
    <t>Permekemuseum</t>
  </si>
  <si>
    <t>Musée Permeke</t>
  </si>
  <si>
    <t>Romeins Archeologisch Museum Oudenburg</t>
  </si>
  <si>
    <t>Musée d’archéologie romaine Oudenburg</t>
  </si>
  <si>
    <t>Sint-Janshuismolen</t>
  </si>
  <si>
    <t>Moulin Sint-Janshuis</t>
  </si>
  <si>
    <t>Stadhuis Brugge</t>
  </si>
  <si>
    <t>L’Hôtel de ville Bruges</t>
  </si>
  <si>
    <t>Talbot House</t>
  </si>
  <si>
    <t>Texture | Museum van Vlas en Textiel</t>
  </si>
  <si>
    <t>Musée du Lin et du Textile</t>
  </si>
  <si>
    <t>Toegepaste kunst en design, Wetenschap en technologie, Architectuur, Mode</t>
  </si>
  <si>
    <t>Uilenspiegelmuseum</t>
  </si>
  <si>
    <t>Musée d’Ulenspiegel</t>
  </si>
  <si>
    <t>Volkskundemuseum</t>
  </si>
  <si>
    <t>Musée de la vie populaire</t>
  </si>
  <si>
    <t>Westfront Nieuwpoort</t>
  </si>
  <si>
    <t>Geschiedenis en archeologie, Architectuur</t>
  </si>
  <si>
    <t>Yper Museum</t>
  </si>
  <si>
    <t>Zwin Natuur Park</t>
  </si>
  <si>
    <t>Zwin Parc Naturel</t>
  </si>
  <si>
    <t>Arboretum Kalmtout</t>
  </si>
  <si>
    <t>Antwerpen</t>
  </si>
  <si>
    <t>Begijnhofmuseum Turnhout</t>
  </si>
  <si>
    <t>Musée du béguinage Turnhout</t>
  </si>
  <si>
    <t>DIVA | museum voor diamant juwelen en zilver</t>
  </si>
  <si>
    <t>le musée du diamant, des bijoux et de l’orfèvrerie</t>
  </si>
  <si>
    <t>Toegepaste kunst en design, Geschiedenis en archeologie, Wetenschap en technologie</t>
  </si>
  <si>
    <t>Erfgoedbibliotheek Hendrik Conscience - Nottebohmzaal</t>
  </si>
  <si>
    <t>Bibliothèque Patrimoniale Hendrik Conscience - salle Nottebohm</t>
  </si>
  <si>
    <t>Geschiedenis en archeologie, Literatuur</t>
  </si>
  <si>
    <t>FOMU | Fotomuseum Antwerpen</t>
  </si>
  <si>
    <t>Musée de la Photographie d’Anvers</t>
  </si>
  <si>
    <t>Fort van Breendonk</t>
  </si>
  <si>
    <t>Fort de Breendonk</t>
  </si>
  <si>
    <t>Gasthuismuseum Geel</t>
  </si>
  <si>
    <t>Musée de l’hôpital Geel</t>
  </si>
  <si>
    <t>Beeldende kunst, Geschiedenis en archeologie, Wetenschap en technologie, Architectuur</t>
  </si>
  <si>
    <t>Het Snijders&amp;Rockoxhuis</t>
  </si>
  <si>
    <t>La maison Snijders&amp;Rockox</t>
  </si>
  <si>
    <t>Jakob Smitsmuseum</t>
  </si>
  <si>
    <t>Musée Jakob Smits</t>
  </si>
  <si>
    <t>Karrenmuseum Essen</t>
  </si>
  <si>
    <t>Musée de Chariot Essen</t>
  </si>
  <si>
    <t>Kazerne Dossin</t>
  </si>
  <si>
    <t>Caserne Dossin</t>
  </si>
  <si>
    <t>KMSKA | Koninklijk Museum voor Schone Kunsten Antwerpen</t>
  </si>
  <si>
    <t>Musée Royal des Beaux-Arts d’Anver</t>
  </si>
  <si>
    <t>Kunsthal Extra City</t>
  </si>
  <si>
    <t>Kunsthal Mechelen</t>
  </si>
  <si>
    <t>Kunsthal Malines</t>
  </si>
  <si>
    <t>MAS | Museum aan de Stroom</t>
  </si>
  <si>
    <t>M HKA | Museum van Hedendaagse Kunst Antwerpen</t>
  </si>
  <si>
    <t>Musée d’Art Contemporain d’Anvers</t>
  </si>
  <si>
    <t>Beeldende kunst, Toegepaste kunst en design</t>
  </si>
  <si>
    <t>Middelheimmuseum</t>
  </si>
  <si>
    <t>Musée Middelheim</t>
  </si>
  <si>
    <t>MoMu | ModeMuseum Antwerpen</t>
  </si>
  <si>
    <t>Musée de la Mode Anvers</t>
  </si>
  <si>
    <t>Toegepaste kunst en design, Mode</t>
  </si>
  <si>
    <t>Museum De Reede</t>
  </si>
  <si>
    <t>Musée De Reede</t>
  </si>
  <si>
    <t>Museum Fort Liezele</t>
  </si>
  <si>
    <t>Musée Fort Liezele</t>
  </si>
  <si>
    <t>Museum Hof van Busleyden</t>
  </si>
  <si>
    <t>Museum Mayer van den Bergh</t>
  </si>
  <si>
    <t>Musée Mayer van den Bergh</t>
  </si>
  <si>
    <t>Museum Plantin-Moretus</t>
  </si>
  <si>
    <t>Musée Plantin-Moretus</t>
  </si>
  <si>
    <t>Beeldende kunst, Geschiedenis en archeologie, Wetenschap en technologie, Architectuur, Literatuur</t>
  </si>
  <si>
    <t>Museum Vleeshuis</t>
  </si>
  <si>
    <t>Musée Vleeshuis</t>
  </si>
  <si>
    <t>Beeldende kunst, Geschiedenis en archeologie, Architectuur</t>
  </si>
  <si>
    <t>Nationaal Museum van de Speelkaart</t>
  </si>
  <si>
    <t>Musée National de la Carte à jouer</t>
  </si>
  <si>
    <t>Red Star Line Museum</t>
  </si>
  <si>
    <t>Musée Red Star Line</t>
  </si>
  <si>
    <t>Rubenshuis</t>
  </si>
  <si>
    <t>Maison Rubens</t>
  </si>
  <si>
    <t>Sint-Pauluskerk</t>
  </si>
  <si>
    <t>Église Saint-Paul</t>
  </si>
  <si>
    <t>Beeldende kunst, Toegepaste kunst en design, Geschiedenis en archeologie, Architectuur, Mode, Literatuur</t>
  </si>
  <si>
    <t>Speelgoedmuseum</t>
  </si>
  <si>
    <t>Musée du jouet</t>
  </si>
  <si>
    <t>Stadsmuseum Lier</t>
  </si>
  <si>
    <t>Musée de la Ville de Lier</t>
  </si>
  <si>
    <t>Beeldende kunst, Toegepaste kunst en design, Geschiedenis en archeologie, Wetenschap en technologie, Architectuur, Mode, Literatuur</t>
  </si>
  <si>
    <t>Stedelijk Museum Hoogstraten</t>
  </si>
  <si>
    <t>Musée Municipal de Hoogstraten</t>
  </si>
  <si>
    <t>Suske en Wiske Museum</t>
  </si>
  <si>
    <t>Musée Bob et Bobette</t>
  </si>
  <si>
    <t>Taxandriamuseum</t>
  </si>
  <si>
    <t>‘t Grom</t>
  </si>
  <si>
    <t>Het steen, The Antwerp Story</t>
  </si>
  <si>
    <t>Toegepaste kunst en design, Geschiedenis en archeologie, Wetenschap en technologie, Architectuur, Mode</t>
  </si>
  <si>
    <t>Stichting Folon</t>
  </si>
  <si>
    <t>Fondation Folon</t>
  </si>
  <si>
    <t>Waals-Brabant</t>
  </si>
  <si>
    <t>Hergé Museum</t>
  </si>
  <si>
    <t>Musée Hergé</t>
  </si>
  <si>
    <t>Musée L</t>
  </si>
  <si>
    <t>Marthe Donas museum</t>
  </si>
  <si>
    <t>MiMDo - Musée Marthe Donas</t>
  </si>
  <si>
    <t>Wellington Museum</t>
  </si>
  <si>
    <t>Musée Wellington</t>
  </si>
  <si>
    <t>AfricaMuseum</t>
  </si>
  <si>
    <t>Vlaams-Brabant</t>
  </si>
  <si>
    <t>Damiaanmuseum</t>
  </si>
  <si>
    <t>Musée Damien</t>
  </si>
  <si>
    <t>Dru!f, huis van de tafeldruif</t>
  </si>
  <si>
    <t>maison du raisin de table</t>
  </si>
  <si>
    <t>FeliXart Museum</t>
  </si>
  <si>
    <t>Huis van het Belgisch-Franse Verzet</t>
  </si>
  <si>
    <t>Maison de la Résistance Franco-Belge</t>
  </si>
  <si>
    <t>KADOC-KU Leuven</t>
  </si>
  <si>
    <t>Kasteel van Gaasbeek</t>
  </si>
  <si>
    <t>Château de Gaasbeek</t>
  </si>
  <si>
    <t>M Leuven</t>
  </si>
  <si>
    <t>Museum 44</t>
  </si>
  <si>
    <t>Meensel-Kiezegem</t>
  </si>
  <si>
    <t>Museum den AST</t>
  </si>
  <si>
    <t>Musée den AST</t>
  </si>
  <si>
    <t>Museum PARCUM, Abdij van Park Leuven</t>
  </si>
  <si>
    <t>Musée PARCUM, Abbaye de Parc Louvain</t>
  </si>
  <si>
    <t>Beeldende kunst, Toegepaste kunst en design, Geschiedenis en archeologie, Architectuur, Literatuur</t>
  </si>
  <si>
    <t>Plantentuin Meise</t>
  </si>
  <si>
    <t>Jardin botanique Meise</t>
  </si>
  <si>
    <t>Universiteitsbibliotheek KU Leuven</t>
  </si>
  <si>
    <t>Bibliothèque universitaire KU Leuven</t>
  </si>
  <si>
    <t>Onbepaald</t>
  </si>
  <si>
    <t>Apotheekmuseum</t>
  </si>
  <si>
    <t>Musée de la Pharmacie</t>
  </si>
  <si>
    <t>Limburg</t>
  </si>
  <si>
    <t>C-mine</t>
  </si>
  <si>
    <t>DE MINDERE</t>
  </si>
  <si>
    <t/>
  </si>
  <si>
    <t>Beeldende kunst,Toegepaste kunst en design, Geschiedenis en archeologie, Literatuur</t>
  </si>
  <si>
    <t>Duitse Orde Museum (DOMUS) Alden Biesen</t>
  </si>
  <si>
    <t>Gallo-Romeins Museum</t>
  </si>
  <si>
    <t>Musée Gallo-Romain</t>
  </si>
  <si>
    <t>GlazenHuis</t>
  </si>
  <si>
    <t>Het Stadsmus Hasselt</t>
  </si>
  <si>
    <t>Musée municipal Hasselt</t>
  </si>
  <si>
    <t>Jenevermuseum</t>
  </si>
  <si>
    <t>Musée du Genièvre</t>
  </si>
  <si>
    <t>LABIOMISTA</t>
  </si>
  <si>
    <t>Beeldende kunst, Wetenschap en technologie, Architectuur</t>
  </si>
  <si>
    <t>Liberation Garden Leopoldsburg</t>
  </si>
  <si>
    <t>Modemuseum Hasselt</t>
  </si>
  <si>
    <t>Musée de la Mode Hasselt</t>
  </si>
  <si>
    <t>Openluchtmuseum Bokrijk</t>
  </si>
  <si>
    <t>Musée en plein air de Bokrijk</t>
  </si>
  <si>
    <t>RAM | Regionaal Archeologisch Museum</t>
  </si>
  <si>
    <t>Musée Archéologique Régional</t>
  </si>
  <si>
    <t>Schatkamer van Sint-Catharina</t>
  </si>
  <si>
    <t>Trésor de Sainte-Catherine</t>
  </si>
  <si>
    <t>Z33 | Huis voor Actuele Kunst, Design &amp; Architectuur</t>
  </si>
  <si>
    <t>Maison d’Art Actuel, Design &amp; Architecture</t>
  </si>
  <si>
    <t>Beeldende kunst, Toegepaste kunst en design, Architectuur</t>
  </si>
  <si>
    <t>Abdij van Stavelot</t>
  </si>
  <si>
    <t>Abbaye de Stavelot</t>
  </si>
  <si>
    <t>Luik</t>
  </si>
  <si>
    <t>Aquarium-Museum van Luik</t>
  </si>
  <si>
    <t>Aquarium-Muséum de Liège</t>
  </si>
  <si>
    <t>Archeoforum van Luik</t>
  </si>
  <si>
    <t>Archéoforum de Liège</t>
  </si>
  <si>
    <t>ArtHouse</t>
  </si>
  <si>
    <t>Museum voor Hedendaagse Kunst</t>
  </si>
  <si>
    <t>IKOB | Musée d’Art Contemporain</t>
  </si>
  <si>
    <t>La Boverie</t>
  </si>
  <si>
    <t>Le Grand Curtius</t>
  </si>
  <si>
    <t>Bos en Watermuseum “P. Noé”</t>
  </si>
  <si>
    <t>Musée de la Forêt et des Eaux “P. Noé”</t>
  </si>
  <si>
    <t>Museum van de wastechniek</t>
  </si>
  <si>
    <t>Musée de la Lessive</t>
  </si>
  <si>
    <t>Huis van de Metallurgie en Industrie van Luik</t>
  </si>
  <si>
    <t>Maison de la Métallurgie et de l’Industrie de Liège</t>
  </si>
  <si>
    <t>Pottenbakkerijmuseum Raeren</t>
  </si>
  <si>
    <t>Musée de la Poterie Raeren</t>
  </si>
  <si>
    <t>Museum van het Waalse Leven</t>
  </si>
  <si>
    <t>Musée de la Vie wallonne</t>
  </si>
  <si>
    <t>Musea van de Kuurstad</t>
  </si>
  <si>
    <t>Musées de la Ville d’eaux</t>
  </si>
  <si>
    <t>Stadsmuseum Eupen</t>
  </si>
  <si>
    <t>Musée de la ville d’Eupen</t>
  </si>
  <si>
    <t>Musea van Verviers</t>
  </si>
  <si>
    <t>Musées de Verviers</t>
  </si>
  <si>
    <t>Museum Vieille Montagne</t>
  </si>
  <si>
    <t>Musée Vieille Montagne</t>
  </si>
  <si>
    <t>Préhistomuseum</t>
  </si>
  <si>
    <t>Trinkhall museum</t>
  </si>
  <si>
    <t>WaterHouse</t>
  </si>
  <si>
    <t>Artotheek</t>
  </si>
  <si>
    <t>Artothèque</t>
  </si>
  <si>
    <t>Henegouwen</t>
  </si>
  <si>
    <t>Belfort van Bergen</t>
  </si>
  <si>
    <t>Beffroi de Mons</t>
  </si>
  <si>
    <t>Museum van Mijnbouw en Duurzame Ontwikkeling</t>
  </si>
  <si>
    <t>Bois-du-Luc | Musée de la Mine et du Développement Durable</t>
  </si>
  <si>
    <t>Museum voor kunst van de Provincie Henegouwen</t>
  </si>
  <si>
    <t>BPS22 | Musée d’art de la Province de Hainaut</t>
  </si>
  <si>
    <t>CAP/museum voor Schone Kunsten van Bergen</t>
  </si>
  <si>
    <t>CAP/musée des Beaux-Arts de Mons</t>
  </si>
  <si>
    <t>CAP/het Collectiehuis</t>
  </si>
  <si>
    <t>CAP/maison des Collections</t>
  </si>
  <si>
    <t>Centre Daily-Bul &amp; C°</t>
  </si>
  <si>
    <t>Beeldende kunst, Literatuur</t>
  </si>
  <si>
    <t>Wetenschappelijk Cultuurcentrum - ULB</t>
  </si>
  <si>
    <t>Centre de Culture Scientifique - ULB</t>
  </si>
  <si>
    <t>Centre de la Gravure et de l’Image imprimée</t>
  </si>
  <si>
    <t>Centrum voor Innovatie en Design van Grand-Hornu</t>
  </si>
  <si>
    <t>CID | Centre d’innovation et de design au Grand-Hornu</t>
  </si>
  <si>
    <t>Domein van het Kasteel van Seneffe</t>
  </si>
  <si>
    <t>Domaine du Château de Seneffe</t>
  </si>
  <si>
    <t>Gallo-Romeins Museum van Aat</t>
  </si>
  <si>
    <t>Espace gallo-romain d’Ath</t>
  </si>
  <si>
    <t>Hospitaal Onze-Lieve-Vrouw met de Roos</t>
  </si>
  <si>
    <t>Hôpital Notre-Dame à la Rose</t>
  </si>
  <si>
    <t>Keramis - Centrum van de Keramiek</t>
  </si>
  <si>
    <t>Keramis - Centre de la Céramique</t>
  </si>
  <si>
    <t>Het Reuzenhuis</t>
  </si>
  <si>
    <t>La Maison des Géants</t>
  </si>
  <si>
    <t>Het Huis Van Gogh</t>
  </si>
  <si>
    <t>La Maison Van Gogh</t>
  </si>
  <si>
    <t>Le Bois du Cazier</t>
  </si>
  <si>
    <t>MACS | Museum voor Hedendaagse Kunsten Grand-Hornu</t>
  </si>
  <si>
    <t>MACS | Musée des Arts Contemporains Grand-Hornu</t>
  </si>
  <si>
    <t>Toegepaste kunst en design, Architectuur</t>
  </si>
  <si>
    <t>Maison de l’Imprimerie</t>
  </si>
  <si>
    <t>Maison Losseau</t>
  </si>
  <si>
    <t>Beeldende kunst, Geschiedenis en archeologie, Architectuur, Literatuur</t>
  </si>
  <si>
    <t>Mons Memorial Museum</t>
  </si>
  <si>
    <t>MUMONS</t>
  </si>
  <si>
    <t>Mundaneum</t>
  </si>
  <si>
    <t>Archeologiemuseum</t>
  </si>
  <si>
    <t>Musée d’Archéologie</t>
  </si>
  <si>
    <t>Folkloremuseum</t>
  </si>
  <si>
    <t>Musée de Folklore et des Imaginaires</t>
  </si>
  <si>
    <t>Fotografiemuseum</t>
  </si>
  <si>
    <t>Musée de la Photographie</t>
  </si>
  <si>
    <t>Lintweverijmuseum van Komen</t>
  </si>
  <si>
    <t>Musée de la Rubanerie cominoise</t>
  </si>
  <si>
    <t>Musée des arts de la Marionnette</t>
  </si>
  <si>
    <t>Museum voor Schone Kunsten van Doornik</t>
  </si>
  <si>
    <t>Musée des Beaux-Arts de Tournai</t>
  </si>
  <si>
    <t>Museum voor militaire geschiedenis</t>
  </si>
  <si>
    <t>Musée d’Histoire militaire</t>
  </si>
  <si>
    <t>Natuurhistorisch Museum en Vivarium</t>
  </si>
  <si>
    <t>Musée d’Histoire naturelle et Vivarium</t>
  </si>
  <si>
    <t>Doudoumuseum</t>
  </si>
  <si>
    <t>Musée du Doudou</t>
  </si>
  <si>
    <t>Internationaal Museum van het Carnaval en het Masker</t>
  </si>
  <si>
    <t>Musée international du Carnaval et du Masque</t>
  </si>
  <si>
    <t>Koninklijk Museum van Mariemont</t>
  </si>
  <si>
    <t>Musée royal de Mariemont</t>
  </si>
  <si>
    <t>Plugstreet 14-18 experience</t>
  </si>
  <si>
    <t>Silex’s</t>
  </si>
  <si>
    <t>TAMAT | Museum voor Wandtapijten en Textielkunsten van de Federatie Wallonië-Brussel</t>
  </si>
  <si>
    <t>TAMAT | Musée de la Tapisserie et des Arts Textiles de la Fédération Wallonie-Bruxelles</t>
  </si>
  <si>
    <t>Beeldende kunst, Toegepaste kunst en design, Mode</t>
  </si>
  <si>
    <t>Bastogne Barracks</t>
  </si>
  <si>
    <t>Luxemburg</t>
  </si>
  <si>
    <t>DHAM | Durbuy History &amp; Art Museum</t>
  </si>
  <si>
    <t>FAM | Famenne &amp; Art Museum</t>
  </si>
  <si>
    <t>Beeldende kunst, Toegepaste kunst en design, Geschiedenis en archeologie, Architectuur, Mode</t>
  </si>
  <si>
    <t>Megalietenhuis</t>
  </si>
  <si>
    <t>Maison des Mégalithes</t>
  </si>
  <si>
    <t>Mudia</t>
  </si>
  <si>
    <t>Archeologisch Museum van Aarlen</t>
  </si>
  <si>
    <t>Musée Archéologique d’Arlon</t>
  </si>
  <si>
    <t>Gaspar Museum</t>
  </si>
  <si>
    <t>Musée Gaspar</t>
  </si>
  <si>
    <t>Het Gaume Museum</t>
  </si>
  <si>
    <t>Musée Gaumais</t>
  </si>
  <si>
    <t>Museum van de Grote Ardennen</t>
  </si>
  <si>
    <t>Piconrue | Musée de la Grande Ardenne - Museum van de Grote Ardennen</t>
  </si>
  <si>
    <t>Beeldende kunst, Geschiedenis en archeologie, Literatuur</t>
  </si>
  <si>
    <t>AMVB | Archief en Museum voor het Vlaams leven te Brussel</t>
  </si>
  <si>
    <t>Archive et Musée de la vie flamande à Bruxelles</t>
  </si>
  <si>
    <t>Brussel</t>
  </si>
  <si>
    <t>ARGOS | centre for audiovisual arts</t>
  </si>
  <si>
    <t>Art et marges musée museum</t>
  </si>
  <si>
    <t>Autoworld Brussels</t>
  </si>
  <si>
    <t>Botanique</t>
  </si>
  <si>
    <t>Paleis voor Schone Kunsten</t>
  </si>
  <si>
    <t>BOZAR | Palais des Beaux-Arts</t>
  </si>
  <si>
    <t>Beeldende kunst, Wetenschap en technologie, Architectuur, Geschiedenis en archeologie, Mode, Toegepaste kunst en design</t>
  </si>
  <si>
    <t>CENTRALE for contemporary art</t>
  </si>
  <si>
    <t>CIVA</t>
  </si>
  <si>
    <t>Design Museum Brussels</t>
  </si>
  <si>
    <t>Fondation A Stichting</t>
  </si>
  <si>
    <t>Villa Empain - Stichting Boghossian</t>
  </si>
  <si>
    <t>Fondation Boghossian</t>
  </si>
  <si>
    <t>Brel Stichting</t>
  </si>
  <si>
    <t>Fondation Brel</t>
  </si>
  <si>
    <t>Fondation CAB</t>
  </si>
  <si>
    <t>GardeRobe MannekenPis</t>
  </si>
  <si>
    <t>Beeldende kunst, Geschiedenis en archeologie, Mode</t>
  </si>
  <si>
    <t>iMAL</t>
  </si>
  <si>
    <t>Beeldende kunst, Toegepaste kunst en design, Wetenschap en technologie</t>
  </si>
  <si>
    <t>KANAL | Centre Pompidou</t>
  </si>
  <si>
    <t>KBR museum</t>
  </si>
  <si>
    <t>LAB·AN x Hotel van Eetvelde</t>
  </si>
  <si>
    <t>LAB·AN x Hôtel van Eetvelde</t>
  </si>
  <si>
    <t>Toegepaste kunst en design, Geschiedenis en archeologie, Architectuur</t>
  </si>
  <si>
    <t>Brussels Museum voor Arbeid en Industrie</t>
  </si>
  <si>
    <t>La Fonderie | Musée bruxellois des industries et du travail</t>
  </si>
  <si>
    <t>Het Autrique Huis</t>
  </si>
  <si>
    <t>La Maison Autrique</t>
  </si>
  <si>
    <t>Het Stadhuis van Brussel</t>
  </si>
  <si>
    <t>L’Hôtel de Ville de Bruxelles</t>
  </si>
  <si>
    <t>Erasmushuis &amp; Begijnhof</t>
  </si>
  <si>
    <t>Maison d’Erasme &amp; Béguinage</t>
  </si>
  <si>
    <t>Maison Hannon</t>
  </si>
  <si>
    <t>MigratieMuseum</t>
  </si>
  <si>
    <t>MuseumMigration</t>
  </si>
  <si>
    <t>muziekinstrumentenmuseum</t>
  </si>
  <si>
    <t>MIM | musée des instruments de musique</t>
  </si>
  <si>
    <t>Gemeentelijk Museum van Sint-Jans-Molenbeek</t>
  </si>
  <si>
    <t>MoMuse | Musée communal de Molenbeek-Saint-Jean</t>
  </si>
  <si>
    <t>Museum Kunst &amp; Geschiedenis</t>
  </si>
  <si>
    <t>Musée Art &amp; Histoire</t>
  </si>
  <si>
    <t>Belgisch Museum van de Vrijmetselarij</t>
  </si>
  <si>
    <t>Musée Belge de la Franc-Maçonnerie</t>
  </si>
  <si>
    <t>BELvue museum</t>
  </si>
  <si>
    <t>musée BELvue</t>
  </si>
  <si>
    <t>Brussels Museum van de Molen en de Voeding</t>
  </si>
  <si>
    <t>Musée bruxellois du Moulin et de l’Alimentation</t>
  </si>
  <si>
    <t>Charlier Museum</t>
  </si>
  <si>
    <t>Musée Charlier</t>
  </si>
  <si>
    <t>Museum voor Spontane Kunst</t>
  </si>
  <si>
    <t>Musée d’Art Spontané</t>
  </si>
  <si>
    <t>Riolenmuseum</t>
  </si>
  <si>
    <t>Musée des Égouts</t>
  </si>
  <si>
    <t>Stripmuseum Brussel</t>
  </si>
  <si>
    <t>Musée de la Bande Dessinée Bruxelles</t>
  </si>
  <si>
    <t>Museum van de Nationale Bank van België</t>
  </si>
  <si>
    <t>Musée de la Banque nationale de Belgique</t>
  </si>
  <si>
    <t>Geneeskundemuseum</t>
  </si>
  <si>
    <t>Musée de la Médecine</t>
  </si>
  <si>
    <t>Museum van de Stad Brussel - Broodhuis</t>
  </si>
  <si>
    <t>Musée de la Ville de Bruxelles - Maison du Roi</t>
  </si>
  <si>
    <t>Museum en Tuinen van Buuren</t>
  </si>
  <si>
    <t>Musée et Jardins van Buuren</t>
  </si>
  <si>
    <t>Hortamuseum</t>
  </si>
  <si>
    <t>Musée Horta</t>
  </si>
  <si>
    <t>Joods Museum van België</t>
  </si>
  <si>
    <t>Musée Juif de Belgique</t>
  </si>
  <si>
    <t>Mode &amp; Kant Museum</t>
  </si>
  <si>
    <t>Musée Mode &amp; Dentelle</t>
  </si>
  <si>
    <t>René Magritte Museum &amp; Museum voor abstracte kuns</t>
  </si>
  <si>
    <t>Musée René Magritte &amp; Musée d’Art Abstrait</t>
  </si>
  <si>
    <t>Koninklijk Museum van het Leger en de Krijgsgeschiedenis</t>
  </si>
  <si>
    <t>Musée Royal de l’Armée et d’Histoire Militaire</t>
  </si>
  <si>
    <t>Coudenbergpaleis</t>
  </si>
  <si>
    <t>Palais du Coudenberg</t>
  </si>
  <si>
    <t>Planetarium Brussel</t>
  </si>
  <si>
    <t>Planétarium de Bruxelles</t>
  </si>
  <si>
    <t>Hallepoort</t>
  </si>
  <si>
    <t>Porte de Hal</t>
  </si>
  <si>
    <t>Centrum voor Hedendaagse Kunst</t>
  </si>
  <si>
    <t>WIELS | Centre d’Art Contemporain</t>
  </si>
  <si>
    <t>Wittockiana</t>
  </si>
  <si>
    <t>Beeldende kunst, Toegepaste kunst en design, Literatuur</t>
  </si>
  <si>
    <t>Amsab-Instituut voor Sociale Geschiedenis</t>
  </si>
  <si>
    <t>Amsab-Institut d’Histoire Sociale</t>
  </si>
  <si>
    <t>Oost-Vlaanderen</t>
  </si>
  <si>
    <t>Curiosum | Een huis vol herinnering</t>
  </si>
  <si>
    <t>Une maison pleine de souvenirs</t>
  </si>
  <si>
    <t>Beeldende kunst, Toegepaste kunst en design, Geschiedenis en archeologie, Literatuur</t>
  </si>
  <si>
    <t>Design Museum Gent</t>
  </si>
  <si>
    <t>GUM | Gents Universiteitsmuseum</t>
  </si>
  <si>
    <t>Ghent University Museum</t>
  </si>
  <si>
    <t>Herbert Foundation</t>
  </si>
  <si>
    <t>Huis van Alijn</t>
  </si>
  <si>
    <t>La Maison d’Alijn</t>
  </si>
  <si>
    <t>Industriemuseum</t>
  </si>
  <si>
    <t>Musée de l’Industrie</t>
  </si>
  <si>
    <t>Mercatormuseum</t>
  </si>
  <si>
    <t>Musée Mercator</t>
  </si>
  <si>
    <t>MOU | Museum Oudenaarde</t>
  </si>
  <si>
    <t>Musée d’Audenarde</t>
  </si>
  <si>
    <t>MSK | Museum voor Schone Kunsten Gent</t>
  </si>
  <si>
    <t>Musée des Beaux-Arts de Gand</t>
  </si>
  <si>
    <t>mudel | Museum van Deinze en de Leiestreek</t>
  </si>
  <si>
    <t>Musée de Deinze et du Pays de la Lys</t>
  </si>
  <si>
    <t>Museum Dhondt-Dhaenens</t>
  </si>
  <si>
    <t>Musée Dhondt-Dhaenens</t>
  </si>
  <si>
    <t>Museum Dr. Guislain</t>
  </si>
  <si>
    <t>Musée Dr. Guislain</t>
  </si>
  <si>
    <t>Gemeentelijk museum Gevaert-Minne</t>
  </si>
  <si>
    <t>Musée Municipal Gevaert-Minne</t>
  </si>
  <si>
    <t>Gemeentelijk museum Gust De Smet</t>
  </si>
  <si>
    <t>Musée Municipal Gust De Smet</t>
  </si>
  <si>
    <t>Provinciale Erfgoedsite Ename</t>
  </si>
  <si>
    <t>Site provincial du patrimoine d’Ename</t>
  </si>
  <si>
    <t>Provinciale Erfgoedsite Scheepswerven Baasrode</t>
  </si>
  <si>
    <t>Site du patrimoine provincial Scheepswerven Baasrode</t>
  </si>
  <si>
    <t>Provinciale Erfgoedsite Archeocentrum Velzeke</t>
  </si>
  <si>
    <t>Site du patrimoine provincial Archeocentrum Velzeke</t>
  </si>
  <si>
    <t>Roger Raveelmuseum</t>
  </si>
  <si>
    <t>Musée Roger Raveel</t>
  </si>
  <si>
    <t>Sint-Pietersabdij Gent</t>
  </si>
  <si>
    <t>Abbaye Saint-Pierre Gand</t>
  </si>
  <si>
    <t>S.M.A.K.</t>
  </si>
  <si>
    <t>STAM | Stadsmuseum Gent</t>
  </si>
  <si>
    <t>Musée de la Ville de Gand</t>
  </si>
  <si>
    <t>‘t Gasthuys | Stedelijk Museum Aalst</t>
  </si>
  <si>
    <t>Musée Municipal d’Alost</t>
  </si>
  <si>
    <t>MAX COLUMN</t>
  </si>
  <si>
    <t>MAX RATING</t>
  </si>
  <si>
    <t>dcterms:_title</t>
  </si>
  <si>
    <t>dcterms:_alternative</t>
  </si>
  <si>
    <t>dcterms: location</t>
  </si>
  <si>
    <t>all_themes</t>
  </si>
  <si>
    <t>geschiedenis_en_archeologie</t>
  </si>
  <si>
    <t>wetenschap_en_technologie</t>
  </si>
  <si>
    <t>mode</t>
  </si>
  <si>
    <t>literatuur</t>
  </si>
  <si>
    <t>architectuur</t>
  </si>
  <si>
    <t>beeldende_kunst</t>
  </si>
  <si>
    <t>Toegepast_kunst_en_design</t>
  </si>
  <si>
    <t>Faciliteiten</t>
  </si>
  <si>
    <t>shop</t>
  </si>
  <si>
    <t>café</t>
  </si>
  <si>
    <t>parking</t>
  </si>
  <si>
    <t>restaurant</t>
  </si>
  <si>
    <t>prijs</t>
  </si>
  <si>
    <t xml:space="preserve">tijdelijk_gesloten </t>
  </si>
  <si>
    <t>tijdelijke_tentoonstelling(en)</t>
  </si>
  <si>
    <t>prijs_incl._tijdelijke_tentoonstelling</t>
  </si>
  <si>
    <t>shop, parking, restaurant</t>
  </si>
  <si>
    <t>shop, café</t>
  </si>
  <si>
    <t>shop, café, parking</t>
  </si>
  <si>
    <t>shop, restaurant</t>
  </si>
  <si>
    <t>shop, parking</t>
  </si>
  <si>
    <t>shop, café, parking, restaurant</t>
  </si>
  <si>
    <t>sarking</t>
  </si>
  <si>
    <t>shop, café, restaurant</t>
  </si>
  <si>
    <t xml:space="preserve">shop, café </t>
  </si>
  <si>
    <t xml:space="preserve">shop, café, parking </t>
  </si>
  <si>
    <t xml:space="preserve"> Musée PARCUM, Abbaye de Parc Louvain</t>
  </si>
  <si>
    <t xml:space="preserve">  </t>
  </si>
  <si>
    <t>café, restaurant</t>
  </si>
  <si>
    <t xml:space="preserve">Artotheek </t>
  </si>
  <si>
    <t xml:space="preserve">Artothèque </t>
  </si>
  <si>
    <t xml:space="preserve">Beeldende kunst, Geschiedenis en archeologie, Wetenschap en technologie, Architectuur </t>
  </si>
  <si>
    <t xml:space="preserve">Beffroi de Mons </t>
  </si>
  <si>
    <t xml:space="preserve">Geschiedenis en archeologie, Architectuur </t>
  </si>
  <si>
    <t xml:space="preserve">Bois-du-Luc | Musée de la Mine et du Développement Durable </t>
  </si>
  <si>
    <t xml:space="preserve">Geschiedenis en archeologie, Wetenschap en technologie, Architectuur </t>
  </si>
  <si>
    <t xml:space="preserve">BPS22 | Musée d’art de la Province de Hainaut </t>
  </si>
  <si>
    <t xml:space="preserve">CAP/musée des Beaux-Arts de Mons </t>
  </si>
  <si>
    <t xml:space="preserve">Beeldende kunst, Toegepaste kunst en design </t>
  </si>
  <si>
    <t xml:space="preserve">CAP/maison des Collections </t>
  </si>
  <si>
    <t xml:space="preserve">Centre Daily-Bul &amp; C° </t>
  </si>
  <si>
    <t xml:space="preserve">Beeldende kunst, Literatuur </t>
  </si>
  <si>
    <t xml:space="preserve">Centre de Culture Scientifique - ULB </t>
  </si>
  <si>
    <t xml:space="preserve">Centrum voor grafische kunst </t>
  </si>
  <si>
    <t xml:space="preserve">Centre de la Gravure et de l’Image imprimée </t>
  </si>
  <si>
    <t xml:space="preserve">Beeldende kunst </t>
  </si>
  <si>
    <t xml:space="preserve">CID | Centre d’innovation et de design au Grand-Hornu </t>
  </si>
  <si>
    <t xml:space="preserve">Beeldende kunst, Toegepaste kunst en design, Architectuur </t>
  </si>
  <si>
    <t xml:space="preserve">Domaine du Château de Seneffe </t>
  </si>
  <si>
    <t xml:space="preserve">Architectuur </t>
  </si>
  <si>
    <t xml:space="preserve">Espace gallo-romain d’Ath </t>
  </si>
  <si>
    <t xml:space="preserve">Geschiedenis en archeologie </t>
  </si>
  <si>
    <t xml:space="preserve">Hôpital Notre-Dame à la Rose </t>
  </si>
  <si>
    <t xml:space="preserve">shop, parking  </t>
  </si>
  <si>
    <t xml:space="preserve">Keramis - Centre de la Céramique </t>
  </si>
  <si>
    <t xml:space="preserve">Beeldende kunst, Geschiedenis en archeologie </t>
  </si>
  <si>
    <t xml:space="preserve">La Maison des Géants </t>
  </si>
  <si>
    <t xml:space="preserve">La Maison Van Gogh </t>
  </si>
  <si>
    <t xml:space="preserve">Le Bois du Cazier </t>
  </si>
  <si>
    <t xml:space="preserve">Geschiedenis en archeologie, Wetenschap en technologie </t>
  </si>
  <si>
    <t xml:space="preserve">MACS | Musée des Arts Contemporains Grand-Hornu </t>
  </si>
  <si>
    <t xml:space="preserve">Toegepaste kunst en design, Architectuur </t>
  </si>
  <si>
    <t xml:space="preserve">Maison de l’Imprimerie </t>
  </si>
  <si>
    <t xml:space="preserve">Wetenschap en technologie </t>
  </si>
  <si>
    <t xml:space="preserve">Maison Losseau </t>
  </si>
  <si>
    <t xml:space="preserve">Beeldende kunst, Geschiedenis en archeologie, Architectuur, Literatuur </t>
  </si>
  <si>
    <t xml:space="preserve">Mons Memorial Museum </t>
  </si>
  <si>
    <t xml:space="preserve">MUMONS </t>
  </si>
  <si>
    <t xml:space="preserve">Mundaneum </t>
  </si>
  <si>
    <t xml:space="preserve">Musée d’Archéologie </t>
  </si>
  <si>
    <t xml:space="preserve">Musée de Folklore et des Imaginaires </t>
  </si>
  <si>
    <t xml:space="preserve">Musée de la Photographie </t>
  </si>
  <si>
    <t xml:space="preserve">Musée de la Rubanerie cominoise </t>
  </si>
  <si>
    <t xml:space="preserve">Toegepaste kunst en design, Geschiedenis en archeologie, Wetenschap en technologie </t>
  </si>
  <si>
    <t xml:space="preserve">Musée des arts de la Marionnette </t>
  </si>
  <si>
    <t xml:space="preserve">Musée des Beaux-Arts de Tournai </t>
  </si>
  <si>
    <t xml:space="preserve">Musée d’Histoire militaire </t>
  </si>
  <si>
    <t xml:space="preserve">Musée d’Histoire naturelle et Vivarium </t>
  </si>
  <si>
    <t xml:space="preserve">Musée du Doudou </t>
  </si>
  <si>
    <t xml:space="preserve">Musée international du Carnaval et du Masque </t>
  </si>
  <si>
    <t xml:space="preserve">Musée royal de Mariemont </t>
  </si>
  <si>
    <t xml:space="preserve">Plugstreet 14-18 experience </t>
  </si>
  <si>
    <t xml:space="preserve">Silex’s </t>
  </si>
  <si>
    <t xml:space="preserve">TAMAT | Musée de la Tapisserie et des Arts Textiles de la Fédération Wallonie-Bruxelles </t>
  </si>
  <si>
    <t xml:space="preserve">Beeldende kunst, Toegepaste kunst en design, Mode </t>
  </si>
  <si>
    <t xml:space="preserve">Beeldende kunst, Toegepaste kunst en design, Geschiedenis en archeologie, Architectuur, Mode </t>
  </si>
  <si>
    <t>Piconrue | Musée de la Grande Ardenne</t>
  </si>
  <si>
    <t xml:space="preserve">Beeldende kunst, Geschiedenis en archeologie, Literatuur </t>
  </si>
  <si>
    <t xml:space="preserve">Beeldende kunst, Architectuur </t>
  </si>
  <si>
    <t xml:space="preserve">Beeldende kunst, Geschiedenis en archeologie, Architectuur </t>
  </si>
  <si>
    <t xml:space="preserve">MIM | musée des instruments de musique </t>
  </si>
  <si>
    <t xml:space="preserve">Beeldende kunst, Toegepaste kunst en design, Geschiedenis en archeologie, Architectuur </t>
  </si>
  <si>
    <t>café, parking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</si>
</sst>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&quot;€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A0A0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1" numFmtId="9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4" fontId="3" numFmtId="165" xfId="0" applyAlignment="1" applyFill="1" applyFont="1" applyNumberFormat="1">
      <alignment horizontal="right" vertical="bottom"/>
    </xf>
    <xf borderId="0" fillId="4" fontId="2" numFmtId="0" xfId="0" applyAlignment="1" applyFont="1">
      <alignment horizontal="center" vertical="bottom"/>
    </xf>
    <xf borderId="0" fillId="0" fontId="2" numFmtId="9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/>
      <c r="W1" s="3"/>
      <c r="X1" s="3"/>
      <c r="Y1" s="3"/>
      <c r="Z1" s="3"/>
      <c r="AA1" s="3"/>
      <c r="AB1" s="3"/>
      <c r="AC1" s="2" t="s">
        <v>21</v>
      </c>
      <c r="AD1" s="2" t="s">
        <v>22</v>
      </c>
      <c r="AE1" s="3"/>
      <c r="AF1" s="3"/>
      <c r="AG1" s="3"/>
      <c r="AH1" s="3"/>
      <c r="AI1" s="2" t="s">
        <v>23</v>
      </c>
      <c r="AJ1" s="2" t="s">
        <v>24</v>
      </c>
      <c r="AK1" s="4" t="s">
        <v>25</v>
      </c>
      <c r="AL1" s="1" t="s">
        <v>26</v>
      </c>
      <c r="AM1" s="5" t="s">
        <v>27</v>
      </c>
      <c r="AN1" s="6" t="s">
        <v>28</v>
      </c>
    </row>
    <row r="2">
      <c r="A2" s="7" t="s">
        <v>29</v>
      </c>
      <c r="B2" s="7" t="s">
        <v>30</v>
      </c>
      <c r="C2" s="7" t="s">
        <v>31</v>
      </c>
      <c r="D2" s="7" t="s">
        <v>4</v>
      </c>
      <c r="E2" s="8" t="b">
        <f t="shared" ref="E2:K2" si="1">IF(IFERROR(SEARCH(E$1, $D2),0) &gt;= 1, TRUE,FALSE)</f>
        <v>1</v>
      </c>
      <c r="F2" s="8" t="b">
        <f t="shared" si="1"/>
        <v>0</v>
      </c>
      <c r="G2" s="8" t="b">
        <f t="shared" si="1"/>
        <v>0</v>
      </c>
      <c r="H2" s="8" t="b">
        <f t="shared" si="1"/>
        <v>0</v>
      </c>
      <c r="I2" s="8" t="b">
        <f t="shared" si="1"/>
        <v>0</v>
      </c>
      <c r="J2" s="8" t="b">
        <f t="shared" si="1"/>
        <v>0</v>
      </c>
      <c r="K2" s="8" t="b">
        <f t="shared" si="1"/>
        <v>0</v>
      </c>
      <c r="L2" s="9" t="b">
        <v>1</v>
      </c>
      <c r="M2" s="9" t="b">
        <v>0</v>
      </c>
      <c r="N2" s="9" t="b">
        <v>1</v>
      </c>
      <c r="O2" s="9" t="b">
        <v>0</v>
      </c>
      <c r="P2" s="7" t="str">
        <f t="shared" ref="P2:P261" si="5">IF(ISBLANK(A2),B2,A2)</f>
        <v>Archeologisch museum van de Boven-Maas</v>
      </c>
      <c r="Q2" s="10">
        <v>3.5</v>
      </c>
      <c r="R2" s="9" t="b">
        <v>0</v>
      </c>
      <c r="S2" s="9" t="b">
        <v>0</v>
      </c>
      <c r="T2" s="7"/>
      <c r="U2" s="11">
        <f t="shared" ref="U2:U261" si="6">IF(OR(C2 = $AO$3, C2 = $AQ$3), 1, 0)</f>
        <v>0</v>
      </c>
      <c r="V2" s="11">
        <f t="shared" ref="V2:AB2" si="2">IF(OR(AW2 = $AO$4, AW2 = $AQ$4), 1, 0)</f>
        <v>1</v>
      </c>
      <c r="W2" s="11">
        <f t="shared" si="2"/>
        <v>1</v>
      </c>
      <c r="X2" s="11">
        <f t="shared" si="2"/>
        <v>1</v>
      </c>
      <c r="Y2" s="11">
        <f t="shared" si="2"/>
        <v>1</v>
      </c>
      <c r="Z2" s="11">
        <f t="shared" si="2"/>
        <v>1</v>
      </c>
      <c r="AA2" s="11">
        <f t="shared" si="2"/>
        <v>1</v>
      </c>
      <c r="AB2" s="11">
        <f t="shared" si="2"/>
        <v>1</v>
      </c>
      <c r="AC2" s="11">
        <f t="shared" ref="AC2:AC261" si="8">SUM(V2:AB2)</f>
        <v>7</v>
      </c>
      <c r="AD2" s="11">
        <f t="shared" ref="AD2:AD261" si="9">IF($Q2 &lt;= $AN$5, 1, 0)</f>
        <v>1</v>
      </c>
      <c r="AE2" s="11">
        <f t="shared" ref="AE2:AH2" si="3">IF(OR(BD2 = $AO$6, BD2 = $AS$6, BD2 = $AT$6, BD2 = $AU$6), 1, 0)</f>
        <v>1</v>
      </c>
      <c r="AF2" s="11">
        <f t="shared" si="3"/>
        <v>1</v>
      </c>
      <c r="AG2" s="11">
        <f t="shared" si="3"/>
        <v>1</v>
      </c>
      <c r="AH2" s="11">
        <f t="shared" si="3"/>
        <v>1</v>
      </c>
      <c r="AI2" s="11">
        <f t="shared" ref="AI2:AI261" si="11">SUM(AE2:AH2)</f>
        <v>4</v>
      </c>
      <c r="AJ2" s="11">
        <f t="shared" ref="AJ2:AJ261" si="12">SUM(U2,AC2,AD2,AI2)</f>
        <v>12</v>
      </c>
      <c r="AK2" s="12">
        <f t="shared" ref="AK2:AK261" si="13"> (AJ2/$AJ$264)*5</f>
        <v>5</v>
      </c>
      <c r="AL2" s="13" t="str">
        <f t="shared" ref="AL2:AL261" si="14">IFS(4 &lt;= AK2 , "excellent", 2.5 &lt;= AK2, "good", 1 &lt;= AK2 , "subpar", 0 &lt;= AK2, "no match")</f>
        <v>excellent</v>
      </c>
      <c r="AM2" s="6" t="s">
        <v>32</v>
      </c>
      <c r="AN2" s="7" t="s">
        <v>33</v>
      </c>
    </row>
    <row r="3">
      <c r="A3" s="7" t="s">
        <v>34</v>
      </c>
      <c r="B3" s="7" t="str">
        <f>IFERROR(__xludf.DUMMYFUNCTION("SPLIT(A3, "" - "", FALSE,FALSE)"),"Citadel van Namen / Bezoekerscentrum Terra Nova en toeristentreintje")</f>
        <v>Citadel van Namen / Bezoekerscentrum Terra Nova en toeristentreintje</v>
      </c>
      <c r="C3" s="7" t="s">
        <v>31</v>
      </c>
      <c r="D3" s="7" t="s">
        <v>4</v>
      </c>
      <c r="E3" s="8" t="b">
        <f t="shared" ref="E3:K3" si="4">IF(IFERROR(SEARCH(E$1, $D3),0) &gt;= 1, TRUE,FALSE)</f>
        <v>1</v>
      </c>
      <c r="F3" s="8" t="b">
        <f t="shared" si="4"/>
        <v>0</v>
      </c>
      <c r="G3" s="8" t="b">
        <f t="shared" si="4"/>
        <v>0</v>
      </c>
      <c r="H3" s="8" t="b">
        <f t="shared" si="4"/>
        <v>0</v>
      </c>
      <c r="I3" s="8" t="b">
        <f t="shared" si="4"/>
        <v>0</v>
      </c>
      <c r="J3" s="8" t="b">
        <f t="shared" si="4"/>
        <v>0</v>
      </c>
      <c r="K3" s="8" t="b">
        <f t="shared" si="4"/>
        <v>0</v>
      </c>
      <c r="L3" s="9" t="b">
        <v>1</v>
      </c>
      <c r="M3" s="9" t="b">
        <v>1</v>
      </c>
      <c r="N3" s="9" t="b">
        <v>0</v>
      </c>
      <c r="O3" s="9" t="b">
        <v>0</v>
      </c>
      <c r="P3" s="7" t="str">
        <f t="shared" si="5"/>
        <v>Citadel van Namen / Bezoekerscentrum Terra Nova en toeristentreintje</v>
      </c>
      <c r="Q3" s="10">
        <v>6.0</v>
      </c>
      <c r="R3" s="9" t="b">
        <v>0</v>
      </c>
      <c r="S3" s="9" t="b">
        <v>0</v>
      </c>
      <c r="T3" s="7"/>
      <c r="U3" s="11">
        <f t="shared" si="6"/>
        <v>0</v>
      </c>
      <c r="V3" s="11">
        <f t="shared" ref="V3:AB3" si="7">IF(OR(AW3 = $AO$4, AW3 = $AQ$4), 1, 0)</f>
        <v>1</v>
      </c>
      <c r="W3" s="11">
        <f t="shared" si="7"/>
        <v>1</v>
      </c>
      <c r="X3" s="11">
        <f t="shared" si="7"/>
        <v>1</v>
      </c>
      <c r="Y3" s="11">
        <f t="shared" si="7"/>
        <v>1</v>
      </c>
      <c r="Z3" s="11">
        <f t="shared" si="7"/>
        <v>1</v>
      </c>
      <c r="AA3" s="11">
        <f t="shared" si="7"/>
        <v>1</v>
      </c>
      <c r="AB3" s="11">
        <f t="shared" si="7"/>
        <v>1</v>
      </c>
      <c r="AC3" s="11">
        <f t="shared" si="8"/>
        <v>7</v>
      </c>
      <c r="AD3" s="11">
        <f t="shared" si="9"/>
        <v>1</v>
      </c>
      <c r="AE3" s="11">
        <f t="shared" ref="AE3:AH3" si="10">IF(OR(BD3 = $AO$6, BD3 = $AS$6, BD3 = $AT$6, BD3 = $AU$6), 1, 0)</f>
        <v>1</v>
      </c>
      <c r="AF3" s="11">
        <f t="shared" si="10"/>
        <v>1</v>
      </c>
      <c r="AG3" s="11">
        <f t="shared" si="10"/>
        <v>1</v>
      </c>
      <c r="AH3" s="11">
        <f t="shared" si="10"/>
        <v>1</v>
      </c>
      <c r="AI3" s="11">
        <f t="shared" si="11"/>
        <v>4</v>
      </c>
      <c r="AJ3" s="11">
        <f t="shared" si="12"/>
        <v>12</v>
      </c>
      <c r="AK3" s="12">
        <f t="shared" si="13"/>
        <v>5</v>
      </c>
      <c r="AL3" s="13" t="str">
        <f t="shared" si="14"/>
        <v>excellent</v>
      </c>
      <c r="AM3" s="6" t="s">
        <v>35</v>
      </c>
      <c r="AN3" s="7" t="s">
        <v>36</v>
      </c>
    </row>
    <row r="4">
      <c r="A4" s="7" t="s">
        <v>37</v>
      </c>
      <c r="B4" s="7" t="s">
        <v>38</v>
      </c>
      <c r="C4" s="7" t="s">
        <v>31</v>
      </c>
      <c r="D4" s="7" t="s">
        <v>5</v>
      </c>
      <c r="E4" s="8" t="b">
        <f t="shared" ref="E4:K4" si="15">IF(IFERROR(SEARCH(E$1, $D4),0) &gt;= 1, TRUE,FALSE)</f>
        <v>0</v>
      </c>
      <c r="F4" s="8" t="b">
        <f t="shared" si="15"/>
        <v>1</v>
      </c>
      <c r="G4" s="8" t="b">
        <f t="shared" si="15"/>
        <v>0</v>
      </c>
      <c r="H4" s="8" t="b">
        <f t="shared" si="15"/>
        <v>0</v>
      </c>
      <c r="I4" s="8" t="b">
        <f t="shared" si="15"/>
        <v>0</v>
      </c>
      <c r="J4" s="8" t="b">
        <f t="shared" si="15"/>
        <v>0</v>
      </c>
      <c r="K4" s="8" t="b">
        <f t="shared" si="15"/>
        <v>0</v>
      </c>
      <c r="L4" s="9" t="b">
        <v>1</v>
      </c>
      <c r="M4" s="9" t="b">
        <v>1</v>
      </c>
      <c r="N4" s="9" t="b">
        <v>1</v>
      </c>
      <c r="O4" s="9" t="b">
        <v>0</v>
      </c>
      <c r="P4" s="7" t="str">
        <f t="shared" si="5"/>
        <v>NAM-IP Computermuseum</v>
      </c>
      <c r="Q4" s="14">
        <v>8.0</v>
      </c>
      <c r="R4" s="9" t="b">
        <v>0</v>
      </c>
      <c r="S4" s="9" t="b">
        <v>0</v>
      </c>
      <c r="T4" s="7"/>
      <c r="U4" s="11">
        <f t="shared" si="6"/>
        <v>0</v>
      </c>
      <c r="V4" s="11">
        <f t="shared" ref="V4:AB4" si="16">IF(OR(AW4 = $AO$4, AW4 = $AQ$4), 1, 0)</f>
        <v>1</v>
      </c>
      <c r="W4" s="11">
        <f t="shared" si="16"/>
        <v>1</v>
      </c>
      <c r="X4" s="11">
        <f t="shared" si="16"/>
        <v>1</v>
      </c>
      <c r="Y4" s="11">
        <f t="shared" si="16"/>
        <v>1</v>
      </c>
      <c r="Z4" s="11">
        <f t="shared" si="16"/>
        <v>1</v>
      </c>
      <c r="AA4" s="11">
        <f t="shared" si="16"/>
        <v>1</v>
      </c>
      <c r="AB4" s="11">
        <f t="shared" si="16"/>
        <v>1</v>
      </c>
      <c r="AC4" s="11">
        <f t="shared" si="8"/>
        <v>7</v>
      </c>
      <c r="AD4" s="11">
        <f t="shared" si="9"/>
        <v>1</v>
      </c>
      <c r="AE4" s="11">
        <f t="shared" ref="AE4:AH4" si="17">IF(OR(BD4 = $AO$6, BD4 = $AS$6, BD4 = $AT$6, BD4 = $AU$6), 1, 0)</f>
        <v>1</v>
      </c>
      <c r="AF4" s="11">
        <f t="shared" si="17"/>
        <v>1</v>
      </c>
      <c r="AG4" s="11">
        <f t="shared" si="17"/>
        <v>1</v>
      </c>
      <c r="AH4" s="11">
        <f t="shared" si="17"/>
        <v>1</v>
      </c>
      <c r="AI4" s="11">
        <f t="shared" si="11"/>
        <v>4</v>
      </c>
      <c r="AJ4" s="11">
        <f t="shared" si="12"/>
        <v>12</v>
      </c>
      <c r="AK4" s="12">
        <f t="shared" si="13"/>
        <v>5</v>
      </c>
      <c r="AL4" s="13" t="str">
        <f t="shared" si="14"/>
        <v>excellent</v>
      </c>
      <c r="AM4" s="6" t="s">
        <v>39</v>
      </c>
      <c r="AN4" s="7" t="s">
        <v>40</v>
      </c>
    </row>
    <row r="5">
      <c r="A5" s="7" t="s">
        <v>41</v>
      </c>
      <c r="B5" s="7" t="s">
        <v>42</v>
      </c>
      <c r="C5" s="7" t="s">
        <v>31</v>
      </c>
      <c r="D5" s="7" t="s">
        <v>4</v>
      </c>
      <c r="E5" s="8" t="b">
        <f t="shared" ref="E5:K5" si="18">IF(IFERROR(SEARCH(E$1, $D5),0) &gt;= 1, TRUE,FALSE)</f>
        <v>1</v>
      </c>
      <c r="F5" s="8" t="b">
        <f t="shared" si="18"/>
        <v>0</v>
      </c>
      <c r="G5" s="8" t="b">
        <f t="shared" si="18"/>
        <v>0</v>
      </c>
      <c r="H5" s="8" t="b">
        <f t="shared" si="18"/>
        <v>0</v>
      </c>
      <c r="I5" s="8" t="b">
        <f t="shared" si="18"/>
        <v>0</v>
      </c>
      <c r="J5" s="8" t="b">
        <f t="shared" si="18"/>
        <v>0</v>
      </c>
      <c r="K5" s="8" t="b">
        <f t="shared" si="18"/>
        <v>0</v>
      </c>
      <c r="L5" s="9" t="b">
        <v>1</v>
      </c>
      <c r="M5" s="9" t="b">
        <v>0</v>
      </c>
      <c r="N5" s="9" t="b">
        <v>0</v>
      </c>
      <c r="O5" s="9" t="b">
        <v>0</v>
      </c>
      <c r="P5" s="7" t="str">
        <f t="shared" si="5"/>
        <v>Ecomuseum van de Viroin</v>
      </c>
      <c r="Q5" s="10">
        <v>4.0</v>
      </c>
      <c r="R5" s="9" t="b">
        <v>0</v>
      </c>
      <c r="S5" s="9" t="b">
        <v>1</v>
      </c>
      <c r="T5" s="10">
        <v>4.0</v>
      </c>
      <c r="U5" s="11">
        <f t="shared" si="6"/>
        <v>0</v>
      </c>
      <c r="V5" s="11">
        <f t="shared" ref="V5:AB5" si="19">IF(OR(AW5 = $AO$4, AW5 = $AQ$4), 1, 0)</f>
        <v>1</v>
      </c>
      <c r="W5" s="11">
        <f t="shared" si="19"/>
        <v>1</v>
      </c>
      <c r="X5" s="11">
        <f t="shared" si="19"/>
        <v>1</v>
      </c>
      <c r="Y5" s="11">
        <f t="shared" si="19"/>
        <v>1</v>
      </c>
      <c r="Z5" s="11">
        <f t="shared" si="19"/>
        <v>1</v>
      </c>
      <c r="AA5" s="11">
        <f t="shared" si="19"/>
        <v>1</v>
      </c>
      <c r="AB5" s="11">
        <f t="shared" si="19"/>
        <v>1</v>
      </c>
      <c r="AC5" s="11">
        <f t="shared" si="8"/>
        <v>7</v>
      </c>
      <c r="AD5" s="11">
        <f t="shared" si="9"/>
        <v>1</v>
      </c>
      <c r="AE5" s="11">
        <f t="shared" ref="AE5:AH5" si="20">IF(OR(BD5 = $AO$6, BD5 = $AS$6, BD5 = $AT$6, BD5 = $AU$6), 1, 0)</f>
        <v>1</v>
      </c>
      <c r="AF5" s="11">
        <f t="shared" si="20"/>
        <v>1</v>
      </c>
      <c r="AG5" s="11">
        <f t="shared" si="20"/>
        <v>1</v>
      </c>
      <c r="AH5" s="11">
        <f t="shared" si="20"/>
        <v>1</v>
      </c>
      <c r="AI5" s="11">
        <f t="shared" si="11"/>
        <v>4</v>
      </c>
      <c r="AJ5" s="11">
        <f t="shared" si="12"/>
        <v>12</v>
      </c>
      <c r="AK5" s="12">
        <f t="shared" si="13"/>
        <v>5</v>
      </c>
      <c r="AL5" s="13" t="str">
        <f t="shared" si="14"/>
        <v>excellent</v>
      </c>
      <c r="AM5" s="6" t="s">
        <v>43</v>
      </c>
      <c r="AN5" s="10">
        <v>15.0</v>
      </c>
    </row>
    <row r="6">
      <c r="A6" s="7" t="s">
        <v>44</v>
      </c>
      <c r="B6" s="7" t="s">
        <v>45</v>
      </c>
      <c r="C6" s="7" t="s">
        <v>31</v>
      </c>
      <c r="D6" s="7" t="s">
        <v>46</v>
      </c>
      <c r="E6" s="8" t="b">
        <f t="shared" ref="E6:K6" si="21">IF(IFERROR(SEARCH(E$1, $D6),0) &gt;= 1, TRUE,FALSE)</f>
        <v>1</v>
      </c>
      <c r="F6" s="8" t="b">
        <f t="shared" si="21"/>
        <v>0</v>
      </c>
      <c r="G6" s="8" t="b">
        <f t="shared" si="21"/>
        <v>0</v>
      </c>
      <c r="H6" s="8" t="b">
        <f t="shared" si="21"/>
        <v>0</v>
      </c>
      <c r="I6" s="8" t="b">
        <f t="shared" si="21"/>
        <v>0</v>
      </c>
      <c r="J6" s="8" t="b">
        <f t="shared" si="21"/>
        <v>0</v>
      </c>
      <c r="K6" s="8" t="b">
        <f t="shared" si="21"/>
        <v>1</v>
      </c>
      <c r="L6" s="9" t="b">
        <v>1</v>
      </c>
      <c r="M6" s="9" t="b">
        <v>0</v>
      </c>
      <c r="N6" s="9" t="b">
        <v>0</v>
      </c>
      <c r="O6" s="9" t="b">
        <v>0</v>
      </c>
      <c r="P6" s="7" t="str">
        <f t="shared" si="5"/>
        <v>Andenne Museum</v>
      </c>
      <c r="Q6" s="10">
        <v>10.0</v>
      </c>
      <c r="R6" s="9" t="b">
        <v>0</v>
      </c>
      <c r="S6" s="9" t="b">
        <v>0</v>
      </c>
      <c r="T6" s="7"/>
      <c r="U6" s="11">
        <f t="shared" si="6"/>
        <v>0</v>
      </c>
      <c r="V6" s="11">
        <f t="shared" ref="V6:AB6" si="22">IF(OR(AW6 = $AO$4, AW6 = $AQ$4), 1, 0)</f>
        <v>1</v>
      </c>
      <c r="W6" s="11">
        <f t="shared" si="22"/>
        <v>1</v>
      </c>
      <c r="X6" s="11">
        <f t="shared" si="22"/>
        <v>1</v>
      </c>
      <c r="Y6" s="11">
        <f t="shared" si="22"/>
        <v>1</v>
      </c>
      <c r="Z6" s="11">
        <f t="shared" si="22"/>
        <v>1</v>
      </c>
      <c r="AA6" s="11">
        <f t="shared" si="22"/>
        <v>1</v>
      </c>
      <c r="AB6" s="11">
        <f t="shared" si="22"/>
        <v>1</v>
      </c>
      <c r="AC6" s="11">
        <f t="shared" si="8"/>
        <v>7</v>
      </c>
      <c r="AD6" s="11">
        <f t="shared" si="9"/>
        <v>1</v>
      </c>
      <c r="AE6" s="11">
        <f t="shared" ref="AE6:AH6" si="23">IF(OR(BD6 = $AO$6, BD6 = $AS$6, BD6 = $AT$6, BD6 = $AU$6), 1, 0)</f>
        <v>1</v>
      </c>
      <c r="AF6" s="11">
        <f t="shared" si="23"/>
        <v>1</v>
      </c>
      <c r="AG6" s="11">
        <f t="shared" si="23"/>
        <v>1</v>
      </c>
      <c r="AH6" s="11">
        <f t="shared" si="23"/>
        <v>1</v>
      </c>
      <c r="AI6" s="11">
        <f t="shared" si="11"/>
        <v>4</v>
      </c>
      <c r="AJ6" s="11">
        <f t="shared" si="12"/>
        <v>12</v>
      </c>
      <c r="AK6" s="12">
        <f t="shared" si="13"/>
        <v>5</v>
      </c>
      <c r="AL6" s="13" t="str">
        <f t="shared" si="14"/>
        <v>excellent</v>
      </c>
      <c r="AM6" s="6" t="s">
        <v>47</v>
      </c>
      <c r="AN6" s="7" t="s">
        <v>48</v>
      </c>
    </row>
    <row r="7">
      <c r="A7" s="7"/>
      <c r="B7" s="7" t="s">
        <v>49</v>
      </c>
      <c r="C7" s="7" t="s">
        <v>31</v>
      </c>
      <c r="D7" s="7" t="s">
        <v>9</v>
      </c>
      <c r="E7" s="8" t="b">
        <f t="shared" ref="E7:K7" si="24">IF(IFERROR(SEARCH(E$1, $D7),0) &gt;= 1, TRUE,FALSE)</f>
        <v>0</v>
      </c>
      <c r="F7" s="8" t="b">
        <f t="shared" si="24"/>
        <v>0</v>
      </c>
      <c r="G7" s="8" t="b">
        <f t="shared" si="24"/>
        <v>0</v>
      </c>
      <c r="H7" s="8" t="b">
        <f t="shared" si="24"/>
        <v>0</v>
      </c>
      <c r="I7" s="8" t="b">
        <f t="shared" si="24"/>
        <v>0</v>
      </c>
      <c r="J7" s="8" t="b">
        <f t="shared" si="24"/>
        <v>1</v>
      </c>
      <c r="K7" s="8" t="b">
        <f t="shared" si="24"/>
        <v>0</v>
      </c>
      <c r="L7" s="9" t="b">
        <v>1</v>
      </c>
      <c r="M7" s="9" t="b">
        <v>0</v>
      </c>
      <c r="N7" s="9" t="b">
        <v>0</v>
      </c>
      <c r="O7" s="9" t="b">
        <v>1</v>
      </c>
      <c r="P7" s="7" t="str">
        <f t="shared" si="5"/>
        <v>Le Delta</v>
      </c>
      <c r="Q7" s="10">
        <v>5.0</v>
      </c>
      <c r="R7" s="9" t="b">
        <v>0</v>
      </c>
      <c r="S7" s="9" t="b">
        <v>1</v>
      </c>
      <c r="T7" s="10">
        <v>5.0</v>
      </c>
      <c r="U7" s="11">
        <f t="shared" si="6"/>
        <v>0</v>
      </c>
      <c r="V7" s="11">
        <f t="shared" ref="V7:AB7" si="25">IF(OR(AW7 = $AO$4, AW7 = $AQ$4), 1, 0)</f>
        <v>1</v>
      </c>
      <c r="W7" s="11">
        <f t="shared" si="25"/>
        <v>1</v>
      </c>
      <c r="X7" s="11">
        <f t="shared" si="25"/>
        <v>1</v>
      </c>
      <c r="Y7" s="11">
        <f t="shared" si="25"/>
        <v>1</v>
      </c>
      <c r="Z7" s="11">
        <f t="shared" si="25"/>
        <v>1</v>
      </c>
      <c r="AA7" s="11">
        <f t="shared" si="25"/>
        <v>1</v>
      </c>
      <c r="AB7" s="11">
        <f t="shared" si="25"/>
        <v>1</v>
      </c>
      <c r="AC7" s="11">
        <f t="shared" si="8"/>
        <v>7</v>
      </c>
      <c r="AD7" s="11">
        <f t="shared" si="9"/>
        <v>1</v>
      </c>
      <c r="AE7" s="11">
        <f t="shared" ref="AE7:AH7" si="26">IF(OR(BD7 = $AO$6, BD7 = $AS$6, BD7 = $AT$6, BD7 = $AU$6), 1, 0)</f>
        <v>1</v>
      </c>
      <c r="AF7" s="11">
        <f t="shared" si="26"/>
        <v>1</v>
      </c>
      <c r="AG7" s="11">
        <f t="shared" si="26"/>
        <v>1</v>
      </c>
      <c r="AH7" s="11">
        <f t="shared" si="26"/>
        <v>1</v>
      </c>
      <c r="AI7" s="11">
        <f t="shared" si="11"/>
        <v>4</v>
      </c>
      <c r="AJ7" s="11">
        <f t="shared" si="12"/>
        <v>12</v>
      </c>
      <c r="AK7" s="12">
        <f t="shared" si="13"/>
        <v>5</v>
      </c>
      <c r="AL7" s="13" t="str">
        <f t="shared" si="14"/>
        <v>excellent</v>
      </c>
      <c r="AM7" s="6" t="s">
        <v>50</v>
      </c>
      <c r="AN7" s="7" t="s">
        <v>51</v>
      </c>
    </row>
    <row r="8">
      <c r="A8" s="7"/>
      <c r="B8" s="7" t="s">
        <v>52</v>
      </c>
      <c r="C8" s="7" t="s">
        <v>31</v>
      </c>
      <c r="D8" s="7" t="s">
        <v>53</v>
      </c>
      <c r="E8" s="8" t="b">
        <f t="shared" ref="E8:K8" si="27">IF(IFERROR(SEARCH(E$1, $D8),0) &gt;= 1, TRUE,FALSE)</f>
        <v>0</v>
      </c>
      <c r="F8" s="8" t="b">
        <f t="shared" si="27"/>
        <v>1</v>
      </c>
      <c r="G8" s="8" t="b">
        <f t="shared" si="27"/>
        <v>0</v>
      </c>
      <c r="H8" s="8" t="b">
        <f t="shared" si="27"/>
        <v>0</v>
      </c>
      <c r="I8" s="8" t="b">
        <f t="shared" si="27"/>
        <v>0</v>
      </c>
      <c r="J8" s="8" t="b">
        <f t="shared" si="27"/>
        <v>1</v>
      </c>
      <c r="K8" s="8" t="b">
        <f t="shared" si="27"/>
        <v>0</v>
      </c>
      <c r="L8" s="9" t="b">
        <v>1</v>
      </c>
      <c r="M8" s="9" t="b">
        <v>0</v>
      </c>
      <c r="N8" s="9" t="b">
        <v>0</v>
      </c>
      <c r="O8" s="9" t="b">
        <v>0</v>
      </c>
      <c r="P8" s="7" t="str">
        <f t="shared" si="5"/>
        <v>Le Pavillon</v>
      </c>
      <c r="Q8" s="10">
        <v>10.0</v>
      </c>
      <c r="R8" s="9" t="b">
        <v>0</v>
      </c>
      <c r="S8" s="9" t="b">
        <v>1</v>
      </c>
      <c r="T8" s="10">
        <v>10.0</v>
      </c>
      <c r="U8" s="11">
        <f t="shared" si="6"/>
        <v>0</v>
      </c>
      <c r="V8" s="11">
        <f t="shared" ref="V8:AB8" si="28">IF(OR(AW8 = $AO$4, AW8 = $AQ$4), 1, 0)</f>
        <v>1</v>
      </c>
      <c r="W8" s="11">
        <f t="shared" si="28"/>
        <v>1</v>
      </c>
      <c r="X8" s="11">
        <f t="shared" si="28"/>
        <v>1</v>
      </c>
      <c r="Y8" s="11">
        <f t="shared" si="28"/>
        <v>1</v>
      </c>
      <c r="Z8" s="11">
        <f t="shared" si="28"/>
        <v>1</v>
      </c>
      <c r="AA8" s="11">
        <f t="shared" si="28"/>
        <v>1</v>
      </c>
      <c r="AB8" s="11">
        <f t="shared" si="28"/>
        <v>1</v>
      </c>
      <c r="AC8" s="11">
        <f t="shared" si="8"/>
        <v>7</v>
      </c>
      <c r="AD8" s="11">
        <f t="shared" si="9"/>
        <v>1</v>
      </c>
      <c r="AE8" s="11">
        <f t="shared" ref="AE8:AH8" si="29">IF(OR(BD8 = $AO$6, BD8 = $AS$6, BD8 = $AT$6, BD8 = $AU$6), 1, 0)</f>
        <v>1</v>
      </c>
      <c r="AF8" s="11">
        <f t="shared" si="29"/>
        <v>1</v>
      </c>
      <c r="AG8" s="11">
        <f t="shared" si="29"/>
        <v>1</v>
      </c>
      <c r="AH8" s="11">
        <f t="shared" si="29"/>
        <v>1</v>
      </c>
      <c r="AI8" s="11">
        <f t="shared" si="11"/>
        <v>4</v>
      </c>
      <c r="AJ8" s="11">
        <f t="shared" si="12"/>
        <v>12</v>
      </c>
      <c r="AK8" s="12">
        <f t="shared" si="13"/>
        <v>5</v>
      </c>
      <c r="AL8" s="13" t="str">
        <f t="shared" si="14"/>
        <v>excellent</v>
      </c>
      <c r="AM8" s="7"/>
      <c r="AN8" s="7"/>
    </row>
    <row r="9">
      <c r="A9" s="7"/>
      <c r="B9" s="7" t="s">
        <v>54</v>
      </c>
      <c r="C9" s="7" t="s">
        <v>31</v>
      </c>
      <c r="D9" s="7" t="s">
        <v>4</v>
      </c>
      <c r="E9" s="8" t="b">
        <f t="shared" ref="E9:K9" si="30">IF(IFERROR(SEARCH(E$1, $D9),0) &gt;= 1, TRUE,FALSE)</f>
        <v>1</v>
      </c>
      <c r="F9" s="8" t="b">
        <f t="shared" si="30"/>
        <v>0</v>
      </c>
      <c r="G9" s="8" t="b">
        <f t="shared" si="30"/>
        <v>0</v>
      </c>
      <c r="H9" s="8" t="b">
        <f t="shared" si="30"/>
        <v>0</v>
      </c>
      <c r="I9" s="8" t="b">
        <f t="shared" si="30"/>
        <v>0</v>
      </c>
      <c r="J9" s="8" t="b">
        <f t="shared" si="30"/>
        <v>0</v>
      </c>
      <c r="K9" s="8" t="b">
        <f t="shared" si="30"/>
        <v>0</v>
      </c>
      <c r="L9" s="9" t="b">
        <v>1</v>
      </c>
      <c r="M9" s="9" t="b">
        <v>0</v>
      </c>
      <c r="N9" s="9" t="b">
        <v>1</v>
      </c>
      <c r="O9" s="9" t="b">
        <v>0</v>
      </c>
      <c r="P9" s="7" t="str">
        <f t="shared" si="5"/>
        <v>Maison du patrimoine médiéval mosan</v>
      </c>
      <c r="Q9" s="10">
        <v>6.0</v>
      </c>
      <c r="R9" s="9" t="b">
        <v>0</v>
      </c>
      <c r="S9" s="9" t="b">
        <v>1</v>
      </c>
      <c r="T9" s="10">
        <v>6.0</v>
      </c>
      <c r="U9" s="11">
        <f t="shared" si="6"/>
        <v>0</v>
      </c>
      <c r="V9" s="11">
        <f t="shared" ref="V9:AB9" si="31">IF(OR(AW9 = $AO$4, AW9 = $AQ$4), 1, 0)</f>
        <v>1</v>
      </c>
      <c r="W9" s="11">
        <f t="shared" si="31"/>
        <v>1</v>
      </c>
      <c r="X9" s="11">
        <f t="shared" si="31"/>
        <v>1</v>
      </c>
      <c r="Y9" s="11">
        <f t="shared" si="31"/>
        <v>1</v>
      </c>
      <c r="Z9" s="11">
        <f t="shared" si="31"/>
        <v>1</v>
      </c>
      <c r="AA9" s="11">
        <f t="shared" si="31"/>
        <v>1</v>
      </c>
      <c r="AB9" s="11">
        <f t="shared" si="31"/>
        <v>1</v>
      </c>
      <c r="AC9" s="11">
        <f t="shared" si="8"/>
        <v>7</v>
      </c>
      <c r="AD9" s="11">
        <f t="shared" si="9"/>
        <v>1</v>
      </c>
      <c r="AE9" s="11">
        <f t="shared" ref="AE9:AH9" si="32">IF(OR(BD9 = $AO$6, BD9 = $AS$6, BD9 = $AT$6, BD9 = $AU$6), 1, 0)</f>
        <v>1</v>
      </c>
      <c r="AF9" s="11">
        <f t="shared" si="32"/>
        <v>1</v>
      </c>
      <c r="AG9" s="11">
        <f t="shared" si="32"/>
        <v>1</v>
      </c>
      <c r="AH9" s="11">
        <f t="shared" si="32"/>
        <v>1</v>
      </c>
      <c r="AI9" s="11">
        <f t="shared" si="11"/>
        <v>4</v>
      </c>
      <c r="AJ9" s="11">
        <f t="shared" si="12"/>
        <v>12</v>
      </c>
      <c r="AK9" s="12">
        <f t="shared" si="13"/>
        <v>5</v>
      </c>
      <c r="AL9" s="13" t="str">
        <f t="shared" si="14"/>
        <v>excellent</v>
      </c>
      <c r="AM9" s="7"/>
      <c r="AN9" s="7"/>
    </row>
    <row r="10">
      <c r="A10" s="7" t="s">
        <v>55</v>
      </c>
      <c r="B10" s="7" t="s">
        <v>56</v>
      </c>
      <c r="C10" s="7" t="s">
        <v>31</v>
      </c>
      <c r="D10" s="7" t="s">
        <v>4</v>
      </c>
      <c r="E10" s="8" t="b">
        <f t="shared" ref="E10:K10" si="33">IF(IFERROR(SEARCH(E$1, $D10),0) &gt;= 1, TRUE,FALSE)</f>
        <v>1</v>
      </c>
      <c r="F10" s="8" t="b">
        <f t="shared" si="33"/>
        <v>0</v>
      </c>
      <c r="G10" s="8" t="b">
        <f t="shared" si="33"/>
        <v>0</v>
      </c>
      <c r="H10" s="8" t="b">
        <f t="shared" si="33"/>
        <v>0</v>
      </c>
      <c r="I10" s="8" t="b">
        <f t="shared" si="33"/>
        <v>0</v>
      </c>
      <c r="J10" s="8" t="b">
        <f t="shared" si="33"/>
        <v>0</v>
      </c>
      <c r="K10" s="8" t="b">
        <f t="shared" si="33"/>
        <v>0</v>
      </c>
      <c r="L10" s="9" t="b">
        <v>1</v>
      </c>
      <c r="M10" s="9" t="b">
        <v>1</v>
      </c>
      <c r="N10" s="9" t="b">
        <v>1</v>
      </c>
      <c r="O10" s="9" t="b">
        <v>0</v>
      </c>
      <c r="P10" s="7" t="str">
        <f t="shared" si="5"/>
        <v>Archeopark van Rochefort</v>
      </c>
      <c r="Q10" s="10">
        <v>8.0</v>
      </c>
      <c r="R10" s="9" t="b">
        <v>0</v>
      </c>
      <c r="S10" s="9" t="b">
        <v>0</v>
      </c>
      <c r="T10" s="7"/>
      <c r="U10" s="11">
        <f t="shared" si="6"/>
        <v>0</v>
      </c>
      <c r="V10" s="11">
        <f t="shared" ref="V10:AB10" si="34">IF(OR(AW10 = $AO$4, AW10 = $AQ$4), 1, 0)</f>
        <v>1</v>
      </c>
      <c r="W10" s="11">
        <f t="shared" si="34"/>
        <v>1</v>
      </c>
      <c r="X10" s="11">
        <f t="shared" si="34"/>
        <v>1</v>
      </c>
      <c r="Y10" s="11">
        <f t="shared" si="34"/>
        <v>1</v>
      </c>
      <c r="Z10" s="11">
        <f t="shared" si="34"/>
        <v>1</v>
      </c>
      <c r="AA10" s="11">
        <f t="shared" si="34"/>
        <v>1</v>
      </c>
      <c r="AB10" s="11">
        <f t="shared" si="34"/>
        <v>1</v>
      </c>
      <c r="AC10" s="11">
        <f t="shared" si="8"/>
        <v>7</v>
      </c>
      <c r="AD10" s="11">
        <f t="shared" si="9"/>
        <v>1</v>
      </c>
      <c r="AE10" s="11">
        <f t="shared" ref="AE10:AH10" si="35">IF(OR(BD10 = $AO$6, BD10 = $AS$6, BD10 = $AT$6, BD10 = $AU$6), 1, 0)</f>
        <v>1</v>
      </c>
      <c r="AF10" s="11">
        <f t="shared" si="35"/>
        <v>1</v>
      </c>
      <c r="AG10" s="11">
        <f t="shared" si="35"/>
        <v>1</v>
      </c>
      <c r="AH10" s="11">
        <f t="shared" si="35"/>
        <v>1</v>
      </c>
      <c r="AI10" s="11">
        <f t="shared" si="11"/>
        <v>4</v>
      </c>
      <c r="AJ10" s="11">
        <f t="shared" si="12"/>
        <v>12</v>
      </c>
      <c r="AK10" s="12">
        <f t="shared" si="13"/>
        <v>5</v>
      </c>
      <c r="AL10" s="13" t="str">
        <f t="shared" si="14"/>
        <v>excellent</v>
      </c>
      <c r="AM10" s="7"/>
      <c r="AN10" s="7"/>
    </row>
    <row r="11">
      <c r="A11" s="7" t="s">
        <v>57</v>
      </c>
      <c r="B11" s="7" t="s">
        <v>58</v>
      </c>
      <c r="C11" s="7" t="s">
        <v>31</v>
      </c>
      <c r="D11" s="7" t="s">
        <v>46</v>
      </c>
      <c r="E11" s="8" t="b">
        <f t="shared" ref="E11:K11" si="36">IF(IFERROR(SEARCH(E$1, $D11),0) &gt;= 1, TRUE,FALSE)</f>
        <v>1</v>
      </c>
      <c r="F11" s="8" t="b">
        <f t="shared" si="36"/>
        <v>0</v>
      </c>
      <c r="G11" s="8" t="b">
        <f t="shared" si="36"/>
        <v>0</v>
      </c>
      <c r="H11" s="8" t="b">
        <f t="shared" si="36"/>
        <v>0</v>
      </c>
      <c r="I11" s="8" t="b">
        <f t="shared" si="36"/>
        <v>0</v>
      </c>
      <c r="J11" s="8" t="b">
        <f t="shared" si="36"/>
        <v>0</v>
      </c>
      <c r="K11" s="8" t="b">
        <f t="shared" si="36"/>
        <v>1</v>
      </c>
      <c r="L11" s="9" t="b">
        <v>1</v>
      </c>
      <c r="M11" s="9" t="b">
        <v>0</v>
      </c>
      <c r="N11" s="9" t="b">
        <v>0</v>
      </c>
      <c r="O11" s="9" t="b">
        <v>0</v>
      </c>
      <c r="P11" s="7" t="str">
        <f t="shared" si="5"/>
        <v>MusAfrica Namen</v>
      </c>
      <c r="Q11" s="10">
        <v>8.0</v>
      </c>
      <c r="R11" s="9" t="b">
        <v>0</v>
      </c>
      <c r="S11" s="9" t="b">
        <v>0</v>
      </c>
      <c r="T11" s="7"/>
      <c r="U11" s="11">
        <f t="shared" si="6"/>
        <v>0</v>
      </c>
      <c r="V11" s="11">
        <f t="shared" ref="V11:AB11" si="37">IF(OR(AW11 = $AO$4, AW11 = $AQ$4), 1, 0)</f>
        <v>1</v>
      </c>
      <c r="W11" s="11">
        <f t="shared" si="37"/>
        <v>1</v>
      </c>
      <c r="X11" s="11">
        <f t="shared" si="37"/>
        <v>1</v>
      </c>
      <c r="Y11" s="11">
        <f t="shared" si="37"/>
        <v>1</v>
      </c>
      <c r="Z11" s="11">
        <f t="shared" si="37"/>
        <v>1</v>
      </c>
      <c r="AA11" s="11">
        <f t="shared" si="37"/>
        <v>1</v>
      </c>
      <c r="AB11" s="11">
        <f t="shared" si="37"/>
        <v>1</v>
      </c>
      <c r="AC11" s="11">
        <f t="shared" si="8"/>
        <v>7</v>
      </c>
      <c r="AD11" s="11">
        <f t="shared" si="9"/>
        <v>1</v>
      </c>
      <c r="AE11" s="11">
        <f t="shared" ref="AE11:AH11" si="38">IF(OR(BD11 = $AO$6, BD11 = $AS$6, BD11 = $AT$6, BD11 = $AU$6), 1, 0)</f>
        <v>1</v>
      </c>
      <c r="AF11" s="11">
        <f t="shared" si="38"/>
        <v>1</v>
      </c>
      <c r="AG11" s="11">
        <f t="shared" si="38"/>
        <v>1</v>
      </c>
      <c r="AH11" s="11">
        <f t="shared" si="38"/>
        <v>1</v>
      </c>
      <c r="AI11" s="11">
        <f t="shared" si="11"/>
        <v>4</v>
      </c>
      <c r="AJ11" s="11">
        <f t="shared" si="12"/>
        <v>12</v>
      </c>
      <c r="AK11" s="12">
        <f t="shared" si="13"/>
        <v>5</v>
      </c>
      <c r="AL11" s="13" t="str">
        <f t="shared" si="14"/>
        <v>excellent</v>
      </c>
      <c r="AM11" s="7"/>
      <c r="AN11" s="7"/>
    </row>
    <row r="12">
      <c r="A12" s="7" t="s">
        <v>59</v>
      </c>
      <c r="B12" s="7" t="s">
        <v>60</v>
      </c>
      <c r="C12" s="7" t="s">
        <v>31</v>
      </c>
      <c r="D12" s="7" t="s">
        <v>61</v>
      </c>
      <c r="E12" s="8" t="b">
        <f t="shared" ref="E12:K12" si="39">IF(IFERROR(SEARCH(E$1, $D12),0) &gt;= 1, TRUE,FALSE)</f>
        <v>1</v>
      </c>
      <c r="F12" s="8" t="b">
        <f t="shared" si="39"/>
        <v>1</v>
      </c>
      <c r="G12" s="8" t="b">
        <f t="shared" si="39"/>
        <v>0</v>
      </c>
      <c r="H12" s="8" t="b">
        <f t="shared" si="39"/>
        <v>0</v>
      </c>
      <c r="I12" s="8" t="b">
        <f t="shared" si="39"/>
        <v>0</v>
      </c>
      <c r="J12" s="8" t="b">
        <f t="shared" si="39"/>
        <v>1</v>
      </c>
      <c r="K12" s="8" t="b">
        <f t="shared" si="39"/>
        <v>0</v>
      </c>
      <c r="L12" s="9" t="b">
        <v>1</v>
      </c>
      <c r="M12" s="9" t="b">
        <v>0</v>
      </c>
      <c r="N12" s="9" t="b">
        <v>0</v>
      </c>
      <c r="O12" s="9" t="b">
        <v>0</v>
      </c>
      <c r="P12" s="7" t="str">
        <f t="shared" si="5"/>
        <v>Aardbeimuseum</v>
      </c>
      <c r="Q12" s="10">
        <v>6.0</v>
      </c>
      <c r="R12" s="9" t="b">
        <v>0</v>
      </c>
      <c r="S12" s="9" t="b">
        <v>0</v>
      </c>
      <c r="T12" s="7"/>
      <c r="U12" s="11">
        <f t="shared" si="6"/>
        <v>0</v>
      </c>
      <c r="V12" s="11">
        <f t="shared" ref="V12:AB12" si="40">IF(OR(AW12 = $AO$4, AW12 = $AQ$4), 1, 0)</f>
        <v>1</v>
      </c>
      <c r="W12" s="11">
        <f t="shared" si="40"/>
        <v>1</v>
      </c>
      <c r="X12" s="11">
        <f t="shared" si="40"/>
        <v>1</v>
      </c>
      <c r="Y12" s="11">
        <f t="shared" si="40"/>
        <v>1</v>
      </c>
      <c r="Z12" s="11">
        <f t="shared" si="40"/>
        <v>1</v>
      </c>
      <c r="AA12" s="11">
        <f t="shared" si="40"/>
        <v>1</v>
      </c>
      <c r="AB12" s="11">
        <f t="shared" si="40"/>
        <v>1</v>
      </c>
      <c r="AC12" s="11">
        <f t="shared" si="8"/>
        <v>7</v>
      </c>
      <c r="AD12" s="11">
        <f t="shared" si="9"/>
        <v>1</v>
      </c>
      <c r="AE12" s="11">
        <f t="shared" ref="AE12:AH12" si="41">IF(OR(BD12 = $AO$6, BD12 = $AS$6, BD12 = $AT$6, BD12 = $AU$6), 1, 0)</f>
        <v>1</v>
      </c>
      <c r="AF12" s="11">
        <f t="shared" si="41"/>
        <v>1</v>
      </c>
      <c r="AG12" s="11">
        <f t="shared" si="41"/>
        <v>1</v>
      </c>
      <c r="AH12" s="11">
        <f t="shared" si="41"/>
        <v>1</v>
      </c>
      <c r="AI12" s="11">
        <f t="shared" si="11"/>
        <v>4</v>
      </c>
      <c r="AJ12" s="11">
        <f t="shared" si="12"/>
        <v>12</v>
      </c>
      <c r="AK12" s="12">
        <f t="shared" si="13"/>
        <v>5</v>
      </c>
      <c r="AL12" s="13" t="str">
        <f t="shared" si="14"/>
        <v>excellent</v>
      </c>
      <c r="AM12" s="7"/>
      <c r="AN12" s="7"/>
    </row>
    <row r="13">
      <c r="A13" s="7"/>
      <c r="B13" s="7" t="s">
        <v>62</v>
      </c>
      <c r="C13" s="7" t="s">
        <v>31</v>
      </c>
      <c r="D13" s="7" t="s">
        <v>4</v>
      </c>
      <c r="E13" s="8" t="b">
        <f t="shared" ref="E13:K13" si="42">IF(IFERROR(SEARCH(E$1, $D13),0) &gt;= 1, TRUE,FALSE)</f>
        <v>1</v>
      </c>
      <c r="F13" s="8" t="b">
        <f t="shared" si="42"/>
        <v>0</v>
      </c>
      <c r="G13" s="8" t="b">
        <f t="shared" si="42"/>
        <v>0</v>
      </c>
      <c r="H13" s="8" t="b">
        <f t="shared" si="42"/>
        <v>0</v>
      </c>
      <c r="I13" s="8" t="b">
        <f t="shared" si="42"/>
        <v>0</v>
      </c>
      <c r="J13" s="8" t="b">
        <f t="shared" si="42"/>
        <v>0</v>
      </c>
      <c r="K13" s="8" t="b">
        <f t="shared" si="42"/>
        <v>0</v>
      </c>
      <c r="L13" s="9" t="b">
        <v>1</v>
      </c>
      <c r="M13" s="9" t="b">
        <v>0</v>
      </c>
      <c r="N13" s="9" t="b">
        <v>0</v>
      </c>
      <c r="O13" s="9" t="b">
        <v>0</v>
      </c>
      <c r="P13" s="7" t="str">
        <f t="shared" si="5"/>
        <v>Musée du Malgré-Tout</v>
      </c>
      <c r="Q13" s="10">
        <v>5.0</v>
      </c>
      <c r="R13" s="9" t="b">
        <v>0</v>
      </c>
      <c r="S13" s="9" t="b">
        <v>0</v>
      </c>
      <c r="T13" s="7"/>
      <c r="U13" s="11">
        <f t="shared" si="6"/>
        <v>0</v>
      </c>
      <c r="V13" s="11">
        <f t="shared" ref="V13:AB13" si="43">IF(OR(AW13 = $AO$4, AW13 = $AQ$4), 1, 0)</f>
        <v>1</v>
      </c>
      <c r="W13" s="11">
        <f t="shared" si="43"/>
        <v>1</v>
      </c>
      <c r="X13" s="11">
        <f t="shared" si="43"/>
        <v>1</v>
      </c>
      <c r="Y13" s="11">
        <f t="shared" si="43"/>
        <v>1</v>
      </c>
      <c r="Z13" s="11">
        <f t="shared" si="43"/>
        <v>1</v>
      </c>
      <c r="AA13" s="11">
        <f t="shared" si="43"/>
        <v>1</v>
      </c>
      <c r="AB13" s="11">
        <f t="shared" si="43"/>
        <v>1</v>
      </c>
      <c r="AC13" s="11">
        <f t="shared" si="8"/>
        <v>7</v>
      </c>
      <c r="AD13" s="11">
        <f t="shared" si="9"/>
        <v>1</v>
      </c>
      <c r="AE13" s="11">
        <f t="shared" ref="AE13:AH13" si="44">IF(OR(BD13 = $AO$6, BD13 = $AS$6, BD13 = $AT$6, BD13 = $AU$6), 1, 0)</f>
        <v>1</v>
      </c>
      <c r="AF13" s="11">
        <f t="shared" si="44"/>
        <v>1</v>
      </c>
      <c r="AG13" s="11">
        <f t="shared" si="44"/>
        <v>1</v>
      </c>
      <c r="AH13" s="11">
        <f t="shared" si="44"/>
        <v>1</v>
      </c>
      <c r="AI13" s="11">
        <f t="shared" si="11"/>
        <v>4</v>
      </c>
      <c r="AJ13" s="11">
        <f t="shared" si="12"/>
        <v>12</v>
      </c>
      <c r="AK13" s="12">
        <f t="shared" si="13"/>
        <v>5</v>
      </c>
      <c r="AL13" s="13" t="str">
        <f t="shared" si="14"/>
        <v>excellent</v>
      </c>
      <c r="AM13" s="7"/>
      <c r="AN13" s="7"/>
    </row>
    <row r="14">
      <c r="A14" s="7" t="s">
        <v>63</v>
      </c>
      <c r="B14" s="7" t="s">
        <v>64</v>
      </c>
      <c r="C14" s="7" t="s">
        <v>31</v>
      </c>
      <c r="D14" s="7" t="s">
        <v>9</v>
      </c>
      <c r="E14" s="8" t="b">
        <f t="shared" ref="E14:K14" si="45">IF(IFERROR(SEARCH(E$1, $D14),0) &gt;= 1, TRUE,FALSE)</f>
        <v>0</v>
      </c>
      <c r="F14" s="8" t="b">
        <f t="shared" si="45"/>
        <v>0</v>
      </c>
      <c r="G14" s="8" t="b">
        <f t="shared" si="45"/>
        <v>0</v>
      </c>
      <c r="H14" s="8" t="b">
        <f t="shared" si="45"/>
        <v>0</v>
      </c>
      <c r="I14" s="8" t="b">
        <f t="shared" si="45"/>
        <v>0</v>
      </c>
      <c r="J14" s="8" t="b">
        <f t="shared" si="45"/>
        <v>1</v>
      </c>
      <c r="K14" s="8" t="b">
        <f t="shared" si="45"/>
        <v>0</v>
      </c>
      <c r="L14" s="9" t="b">
        <v>1</v>
      </c>
      <c r="M14" s="9" t="b">
        <v>0</v>
      </c>
      <c r="N14" s="9" t="b">
        <v>0</v>
      </c>
      <c r="O14" s="9" t="b">
        <v>0</v>
      </c>
      <c r="P14" s="7" t="str">
        <f t="shared" si="5"/>
        <v>Museum van het Klein Formaat</v>
      </c>
      <c r="Q14" s="10">
        <v>5.0</v>
      </c>
      <c r="R14" s="9" t="b">
        <v>0</v>
      </c>
      <c r="S14" s="9" t="b">
        <v>1</v>
      </c>
      <c r="T14" s="10">
        <v>5.0</v>
      </c>
      <c r="U14" s="11">
        <f t="shared" si="6"/>
        <v>0</v>
      </c>
      <c r="V14" s="11">
        <f t="shared" ref="V14:AB14" si="46">IF(OR(AW14 = $AO$4, AW14 = $AQ$4), 1, 0)</f>
        <v>1</v>
      </c>
      <c r="W14" s="11">
        <f t="shared" si="46"/>
        <v>1</v>
      </c>
      <c r="X14" s="11">
        <f t="shared" si="46"/>
        <v>1</v>
      </c>
      <c r="Y14" s="11">
        <f t="shared" si="46"/>
        <v>1</v>
      </c>
      <c r="Z14" s="11">
        <f t="shared" si="46"/>
        <v>1</v>
      </c>
      <c r="AA14" s="11">
        <f t="shared" si="46"/>
        <v>1</v>
      </c>
      <c r="AB14" s="11">
        <f t="shared" si="46"/>
        <v>1</v>
      </c>
      <c r="AC14" s="11">
        <f t="shared" si="8"/>
        <v>7</v>
      </c>
      <c r="AD14" s="11">
        <f t="shared" si="9"/>
        <v>1</v>
      </c>
      <c r="AE14" s="11">
        <f t="shared" ref="AE14:AH14" si="47">IF(OR(BD14 = $AO$6, BD14 = $AS$6, BD14 = $AT$6, BD14 = $AU$6), 1, 0)</f>
        <v>1</v>
      </c>
      <c r="AF14" s="11">
        <f t="shared" si="47"/>
        <v>1</v>
      </c>
      <c r="AG14" s="11">
        <f t="shared" si="47"/>
        <v>1</v>
      </c>
      <c r="AH14" s="11">
        <f t="shared" si="47"/>
        <v>1</v>
      </c>
      <c r="AI14" s="11">
        <f t="shared" si="11"/>
        <v>4</v>
      </c>
      <c r="AJ14" s="11">
        <f t="shared" si="12"/>
        <v>12</v>
      </c>
      <c r="AK14" s="12">
        <f t="shared" si="13"/>
        <v>5</v>
      </c>
      <c r="AL14" s="13" t="str">
        <f t="shared" si="14"/>
        <v>excellent</v>
      </c>
      <c r="AM14" s="7"/>
      <c r="AN14" s="7"/>
    </row>
    <row r="15">
      <c r="A15" s="7" t="s">
        <v>65</v>
      </c>
      <c r="B15" s="7" t="s">
        <v>66</v>
      </c>
      <c r="C15" s="7" t="s">
        <v>31</v>
      </c>
      <c r="D15" s="7" t="s">
        <v>9</v>
      </c>
      <c r="E15" s="8" t="b">
        <f t="shared" ref="E15:K15" si="48">IF(IFERROR(SEARCH(E$1, $D15),0) &gt;= 1, TRUE,FALSE)</f>
        <v>0</v>
      </c>
      <c r="F15" s="8" t="b">
        <f t="shared" si="48"/>
        <v>0</v>
      </c>
      <c r="G15" s="8" t="b">
        <f t="shared" si="48"/>
        <v>0</v>
      </c>
      <c r="H15" s="8" t="b">
        <f t="shared" si="48"/>
        <v>0</v>
      </c>
      <c r="I15" s="8" t="b">
        <f t="shared" si="48"/>
        <v>0</v>
      </c>
      <c r="J15" s="8" t="b">
        <f t="shared" si="48"/>
        <v>1</v>
      </c>
      <c r="K15" s="8" t="b">
        <f t="shared" si="48"/>
        <v>0</v>
      </c>
      <c r="L15" s="9" t="b">
        <v>1</v>
      </c>
      <c r="M15" s="9" t="b">
        <v>0</v>
      </c>
      <c r="N15" s="9" t="b">
        <v>0</v>
      </c>
      <c r="O15" s="9" t="b">
        <v>0</v>
      </c>
      <c r="P15" s="7" t="str">
        <f t="shared" si="5"/>
        <v>Félicien Rops Museum</v>
      </c>
      <c r="Q15" s="10">
        <v>0.0</v>
      </c>
      <c r="R15" s="9" t="b">
        <v>0</v>
      </c>
      <c r="S15" s="9" t="b">
        <v>1</v>
      </c>
      <c r="T15" s="10">
        <v>8.0</v>
      </c>
      <c r="U15" s="11">
        <f t="shared" si="6"/>
        <v>0</v>
      </c>
      <c r="V15" s="11">
        <f t="shared" ref="V15:AB15" si="49">IF(OR(AW15 = $AO$4, AW15 = $AQ$4), 1, 0)</f>
        <v>1</v>
      </c>
      <c r="W15" s="11">
        <f t="shared" si="49"/>
        <v>1</v>
      </c>
      <c r="X15" s="11">
        <f t="shared" si="49"/>
        <v>1</v>
      </c>
      <c r="Y15" s="11">
        <f t="shared" si="49"/>
        <v>1</v>
      </c>
      <c r="Z15" s="11">
        <f t="shared" si="49"/>
        <v>1</v>
      </c>
      <c r="AA15" s="11">
        <f t="shared" si="49"/>
        <v>1</v>
      </c>
      <c r="AB15" s="11">
        <f t="shared" si="49"/>
        <v>1</v>
      </c>
      <c r="AC15" s="11">
        <f t="shared" si="8"/>
        <v>7</v>
      </c>
      <c r="AD15" s="11">
        <f t="shared" si="9"/>
        <v>1</v>
      </c>
      <c r="AE15" s="11">
        <f t="shared" ref="AE15:AH15" si="50">IF(OR(BD15 = $AO$6, BD15 = $AS$6, BD15 = $AT$6, BD15 = $AU$6), 1, 0)</f>
        <v>1</v>
      </c>
      <c r="AF15" s="11">
        <f t="shared" si="50"/>
        <v>1</v>
      </c>
      <c r="AG15" s="11">
        <f t="shared" si="50"/>
        <v>1</v>
      </c>
      <c r="AH15" s="11">
        <f t="shared" si="50"/>
        <v>1</v>
      </c>
      <c r="AI15" s="11">
        <f t="shared" si="11"/>
        <v>4</v>
      </c>
      <c r="AJ15" s="11">
        <f t="shared" si="12"/>
        <v>12</v>
      </c>
      <c r="AK15" s="12">
        <f t="shared" si="13"/>
        <v>5</v>
      </c>
      <c r="AL15" s="13" t="str">
        <f t="shared" si="14"/>
        <v>excellent</v>
      </c>
      <c r="AM15" s="7"/>
      <c r="AN15" s="7"/>
    </row>
    <row r="16">
      <c r="A16" s="7" t="s">
        <v>67</v>
      </c>
      <c r="B16" s="7" t="s">
        <v>68</v>
      </c>
      <c r="C16" s="7" t="s">
        <v>31</v>
      </c>
      <c r="D16" s="7" t="s">
        <v>9</v>
      </c>
      <c r="E16" s="8" t="b">
        <f t="shared" ref="E16:K16" si="51">IF(IFERROR(SEARCH(E$1, $D16),0) &gt;= 1, TRUE,FALSE)</f>
        <v>0</v>
      </c>
      <c r="F16" s="8" t="b">
        <f t="shared" si="51"/>
        <v>0</v>
      </c>
      <c r="G16" s="8" t="b">
        <f t="shared" si="51"/>
        <v>0</v>
      </c>
      <c r="H16" s="8" t="b">
        <f t="shared" si="51"/>
        <v>0</v>
      </c>
      <c r="I16" s="8" t="b">
        <f t="shared" si="51"/>
        <v>0</v>
      </c>
      <c r="J16" s="8" t="b">
        <f t="shared" si="51"/>
        <v>1</v>
      </c>
      <c r="K16" s="8" t="b">
        <f t="shared" si="51"/>
        <v>0</v>
      </c>
      <c r="L16" s="9" t="b">
        <v>1</v>
      </c>
      <c r="M16" s="9" t="b">
        <v>0</v>
      </c>
      <c r="N16" s="9" t="b">
        <v>0</v>
      </c>
      <c r="O16" s="9" t="b">
        <v>0</v>
      </c>
      <c r="P16" s="7" t="str">
        <f t="shared" si="5"/>
        <v>Museum voor Oude Kunsten</v>
      </c>
      <c r="Q16" s="10">
        <v>5.0</v>
      </c>
      <c r="R16" s="9" t="b">
        <v>0</v>
      </c>
      <c r="S16" s="9" t="b">
        <v>1</v>
      </c>
      <c r="T16" s="10">
        <v>8.0</v>
      </c>
      <c r="U16" s="11">
        <f t="shared" si="6"/>
        <v>0</v>
      </c>
      <c r="V16" s="11">
        <f t="shared" ref="V16:AB16" si="52">IF(OR(AW16 = $AO$4, AW16 = $AQ$4), 1, 0)</f>
        <v>1</v>
      </c>
      <c r="W16" s="11">
        <f t="shared" si="52"/>
        <v>1</v>
      </c>
      <c r="X16" s="11">
        <f t="shared" si="52"/>
        <v>1</v>
      </c>
      <c r="Y16" s="11">
        <f t="shared" si="52"/>
        <v>1</v>
      </c>
      <c r="Z16" s="11">
        <f t="shared" si="52"/>
        <v>1</v>
      </c>
      <c r="AA16" s="11">
        <f t="shared" si="52"/>
        <v>1</v>
      </c>
      <c r="AB16" s="11">
        <f t="shared" si="52"/>
        <v>1</v>
      </c>
      <c r="AC16" s="11">
        <f t="shared" si="8"/>
        <v>7</v>
      </c>
      <c r="AD16" s="11">
        <f t="shared" si="9"/>
        <v>1</v>
      </c>
      <c r="AE16" s="11">
        <f t="shared" ref="AE16:AH16" si="53">IF(OR(BD16 = $AO$6, BD16 = $AS$6, BD16 = $AT$6, BD16 = $AU$6), 1, 0)</f>
        <v>1</v>
      </c>
      <c r="AF16" s="11">
        <f t="shared" si="53"/>
        <v>1</v>
      </c>
      <c r="AG16" s="11">
        <f t="shared" si="53"/>
        <v>1</v>
      </c>
      <c r="AH16" s="11">
        <f t="shared" si="53"/>
        <v>1</v>
      </c>
      <c r="AI16" s="11">
        <f t="shared" si="11"/>
        <v>4</v>
      </c>
      <c r="AJ16" s="11">
        <f t="shared" si="12"/>
        <v>12</v>
      </c>
      <c r="AK16" s="12">
        <f t="shared" si="13"/>
        <v>5</v>
      </c>
      <c r="AL16" s="13" t="str">
        <f t="shared" si="14"/>
        <v>excellent</v>
      </c>
      <c r="AM16" s="7"/>
      <c r="AN16" s="7"/>
    </row>
    <row r="17">
      <c r="A17" s="7" t="s">
        <v>69</v>
      </c>
      <c r="B17" s="7" t="s">
        <v>70</v>
      </c>
      <c r="C17" s="7" t="s">
        <v>71</v>
      </c>
      <c r="D17" s="7" t="s">
        <v>72</v>
      </c>
      <c r="E17" s="8" t="b">
        <f t="shared" ref="E17:K17" si="54">IF(IFERROR(SEARCH(E$1, $D17),0) &gt;= 1, TRUE,FALSE)</f>
        <v>1</v>
      </c>
      <c r="F17" s="8" t="b">
        <f t="shared" si="54"/>
        <v>1</v>
      </c>
      <c r="G17" s="8" t="b">
        <f t="shared" si="54"/>
        <v>0</v>
      </c>
      <c r="H17" s="8" t="b">
        <f t="shared" si="54"/>
        <v>0</v>
      </c>
      <c r="I17" s="8" t="b">
        <f t="shared" si="54"/>
        <v>1</v>
      </c>
      <c r="J17" s="8" t="b">
        <f t="shared" si="54"/>
        <v>0</v>
      </c>
      <c r="K17" s="8" t="b">
        <f t="shared" si="54"/>
        <v>0</v>
      </c>
      <c r="L17" s="9" t="b">
        <v>1</v>
      </c>
      <c r="M17" s="9" t="b">
        <v>0</v>
      </c>
      <c r="N17" s="9" t="b">
        <v>1</v>
      </c>
      <c r="O17" s="9" t="b">
        <v>0</v>
      </c>
      <c r="P17" s="7" t="str">
        <f t="shared" si="5"/>
        <v>Abdijmuseum Ten Duinen</v>
      </c>
      <c r="Q17" s="10">
        <v>10.0</v>
      </c>
      <c r="R17" s="9" t="b">
        <v>0</v>
      </c>
      <c r="S17" s="9" t="b">
        <v>1</v>
      </c>
      <c r="T17" s="10">
        <v>10.0</v>
      </c>
      <c r="U17" s="11">
        <f t="shared" si="6"/>
        <v>0</v>
      </c>
      <c r="V17" s="11">
        <f t="shared" ref="V17:AB17" si="55">IF(OR(AW17 = $AO$4, AW17 = $AQ$4), 1, 0)</f>
        <v>1</v>
      </c>
      <c r="W17" s="11">
        <f t="shared" si="55"/>
        <v>1</v>
      </c>
      <c r="X17" s="11">
        <f t="shared" si="55"/>
        <v>1</v>
      </c>
      <c r="Y17" s="11">
        <f t="shared" si="55"/>
        <v>1</v>
      </c>
      <c r="Z17" s="11">
        <f t="shared" si="55"/>
        <v>1</v>
      </c>
      <c r="AA17" s="11">
        <f t="shared" si="55"/>
        <v>1</v>
      </c>
      <c r="AB17" s="11">
        <f t="shared" si="55"/>
        <v>1</v>
      </c>
      <c r="AC17" s="11">
        <f t="shared" si="8"/>
        <v>7</v>
      </c>
      <c r="AD17" s="11">
        <f t="shared" si="9"/>
        <v>1</v>
      </c>
      <c r="AE17" s="11">
        <f t="shared" ref="AE17:AH17" si="56">IF(OR(BD17 = $AO$6, BD17 = $AS$6, BD17 = $AT$6, BD17 = $AU$6), 1, 0)</f>
        <v>1</v>
      </c>
      <c r="AF17" s="11">
        <f t="shared" si="56"/>
        <v>1</v>
      </c>
      <c r="AG17" s="11">
        <f t="shared" si="56"/>
        <v>1</v>
      </c>
      <c r="AH17" s="11">
        <f t="shared" si="56"/>
        <v>1</v>
      </c>
      <c r="AI17" s="11">
        <f t="shared" si="11"/>
        <v>4</v>
      </c>
      <c r="AJ17" s="11">
        <f t="shared" si="12"/>
        <v>12</v>
      </c>
      <c r="AK17" s="12">
        <f t="shared" si="13"/>
        <v>5</v>
      </c>
      <c r="AL17" s="13" t="str">
        <f t="shared" si="14"/>
        <v>excellent</v>
      </c>
      <c r="AM17" s="7"/>
      <c r="AN17" s="7"/>
    </row>
    <row r="18">
      <c r="A18" s="7" t="s">
        <v>73</v>
      </c>
      <c r="B18" s="7" t="s">
        <v>74</v>
      </c>
      <c r="C18" s="7" t="s">
        <v>71</v>
      </c>
      <c r="D18" s="7" t="s">
        <v>75</v>
      </c>
      <c r="E18" s="8" t="b">
        <f t="shared" ref="E18:K18" si="57">IF(IFERROR(SEARCH(E$1, $D18),0) &gt;= 1, TRUE,FALSE)</f>
        <v>1</v>
      </c>
      <c r="F18" s="8" t="b">
        <f t="shared" si="57"/>
        <v>0</v>
      </c>
      <c r="G18" s="8" t="b">
        <f t="shared" si="57"/>
        <v>0</v>
      </c>
      <c r="H18" s="8" t="b">
        <f t="shared" si="57"/>
        <v>0</v>
      </c>
      <c r="I18" s="8" t="b">
        <f t="shared" si="57"/>
        <v>1</v>
      </c>
      <c r="J18" s="8" t="b">
        <f t="shared" si="57"/>
        <v>1</v>
      </c>
      <c r="K18" s="8" t="b">
        <f t="shared" si="57"/>
        <v>1</v>
      </c>
      <c r="L18" s="9" t="b">
        <v>1</v>
      </c>
      <c r="M18" s="9" t="b">
        <v>1</v>
      </c>
      <c r="N18" s="9" t="b">
        <v>0</v>
      </c>
      <c r="O18" s="9" t="b">
        <v>0</v>
      </c>
      <c r="P18" s="7" t="str">
        <f t="shared" si="5"/>
        <v>Adornesdomein</v>
      </c>
      <c r="Q18" s="10">
        <v>10.0</v>
      </c>
      <c r="R18" s="9" t="b">
        <v>0</v>
      </c>
      <c r="S18" s="9" t="b">
        <v>0</v>
      </c>
      <c r="T18" s="7"/>
      <c r="U18" s="11">
        <f t="shared" si="6"/>
        <v>0</v>
      </c>
      <c r="V18" s="11">
        <f t="shared" ref="V18:AB18" si="58">IF(OR(AW18 = $AO$4, AW18 = $AQ$4), 1, 0)</f>
        <v>1</v>
      </c>
      <c r="W18" s="11">
        <f t="shared" si="58"/>
        <v>1</v>
      </c>
      <c r="X18" s="11">
        <f t="shared" si="58"/>
        <v>1</v>
      </c>
      <c r="Y18" s="11">
        <f t="shared" si="58"/>
        <v>1</v>
      </c>
      <c r="Z18" s="11">
        <f t="shared" si="58"/>
        <v>1</v>
      </c>
      <c r="AA18" s="11">
        <f t="shared" si="58"/>
        <v>1</v>
      </c>
      <c r="AB18" s="11">
        <f t="shared" si="58"/>
        <v>1</v>
      </c>
      <c r="AC18" s="11">
        <f t="shared" si="8"/>
        <v>7</v>
      </c>
      <c r="AD18" s="11">
        <f t="shared" si="9"/>
        <v>1</v>
      </c>
      <c r="AE18" s="11">
        <f t="shared" ref="AE18:AH18" si="59">IF(OR(BD18 = $AO$6, BD18 = $AS$6, BD18 = $AT$6, BD18 = $AU$6), 1, 0)</f>
        <v>1</v>
      </c>
      <c r="AF18" s="11">
        <f t="shared" si="59"/>
        <v>1</v>
      </c>
      <c r="AG18" s="11">
        <f t="shared" si="59"/>
        <v>1</v>
      </c>
      <c r="AH18" s="11">
        <f t="shared" si="59"/>
        <v>1</v>
      </c>
      <c r="AI18" s="11">
        <f t="shared" si="11"/>
        <v>4</v>
      </c>
      <c r="AJ18" s="11">
        <f t="shared" si="12"/>
        <v>12</v>
      </c>
      <c r="AK18" s="12">
        <f t="shared" si="13"/>
        <v>5</v>
      </c>
      <c r="AL18" s="13" t="str">
        <f t="shared" si="14"/>
        <v>excellent</v>
      </c>
      <c r="AM18" s="7"/>
      <c r="AN18" s="7"/>
    </row>
    <row r="19">
      <c r="A19" s="7" t="s">
        <v>76</v>
      </c>
      <c r="B19" s="7"/>
      <c r="C19" s="7" t="s">
        <v>71</v>
      </c>
      <c r="D19" s="7" t="s">
        <v>77</v>
      </c>
      <c r="E19" s="8" t="b">
        <f t="shared" ref="E19:K19" si="60">IF(IFERROR(SEARCH(E$1, $D19),0) &gt;= 1, TRUE,FALSE)</f>
        <v>1</v>
      </c>
      <c r="F19" s="8" t="b">
        <f t="shared" si="60"/>
        <v>1</v>
      </c>
      <c r="G19" s="8" t="b">
        <f t="shared" si="60"/>
        <v>0</v>
      </c>
      <c r="H19" s="8" t="b">
        <f t="shared" si="60"/>
        <v>0</v>
      </c>
      <c r="I19" s="8" t="b">
        <f t="shared" si="60"/>
        <v>1</v>
      </c>
      <c r="J19" s="8" t="b">
        <f t="shared" si="60"/>
        <v>1</v>
      </c>
      <c r="K19" s="8" t="b">
        <f t="shared" si="60"/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7" t="str">
        <f t="shared" si="5"/>
        <v>Atlantikwall Raversyde</v>
      </c>
      <c r="Q19" s="10">
        <v>10.0</v>
      </c>
      <c r="R19" s="9" t="b">
        <v>0</v>
      </c>
      <c r="S19" s="9" t="b">
        <v>1</v>
      </c>
      <c r="T19" s="10">
        <v>10.0</v>
      </c>
      <c r="U19" s="11">
        <f t="shared" si="6"/>
        <v>0</v>
      </c>
      <c r="V19" s="11">
        <f t="shared" ref="V19:AB19" si="61">IF(OR(AW19 = $AO$4, AW19 = $AQ$4), 1, 0)</f>
        <v>1</v>
      </c>
      <c r="W19" s="11">
        <f t="shared" si="61"/>
        <v>1</v>
      </c>
      <c r="X19" s="11">
        <f t="shared" si="61"/>
        <v>1</v>
      </c>
      <c r="Y19" s="11">
        <f t="shared" si="61"/>
        <v>1</v>
      </c>
      <c r="Z19" s="11">
        <f t="shared" si="61"/>
        <v>1</v>
      </c>
      <c r="AA19" s="11">
        <f t="shared" si="61"/>
        <v>1</v>
      </c>
      <c r="AB19" s="11">
        <f t="shared" si="61"/>
        <v>1</v>
      </c>
      <c r="AC19" s="11">
        <f t="shared" si="8"/>
        <v>7</v>
      </c>
      <c r="AD19" s="11">
        <f t="shared" si="9"/>
        <v>1</v>
      </c>
      <c r="AE19" s="11">
        <f t="shared" ref="AE19:AH19" si="62">IF(OR(BD19 = $AO$6, BD19 = $AS$6, BD19 = $AT$6, BD19 = $AU$6), 1, 0)</f>
        <v>1</v>
      </c>
      <c r="AF19" s="11">
        <f t="shared" si="62"/>
        <v>1</v>
      </c>
      <c r="AG19" s="11">
        <f t="shared" si="62"/>
        <v>1</v>
      </c>
      <c r="AH19" s="11">
        <f t="shared" si="62"/>
        <v>1</v>
      </c>
      <c r="AI19" s="11">
        <f t="shared" si="11"/>
        <v>4</v>
      </c>
      <c r="AJ19" s="11">
        <f t="shared" si="12"/>
        <v>12</v>
      </c>
      <c r="AK19" s="12">
        <f t="shared" si="13"/>
        <v>5</v>
      </c>
      <c r="AL19" s="13" t="str">
        <f t="shared" si="14"/>
        <v>excellent</v>
      </c>
      <c r="AM19" s="7"/>
      <c r="AN19" s="7"/>
    </row>
    <row r="20">
      <c r="A20" s="7" t="s">
        <v>78</v>
      </c>
      <c r="B20" s="7" t="s">
        <v>79</v>
      </c>
      <c r="C20" s="7" t="s">
        <v>71</v>
      </c>
      <c r="D20" s="7" t="s">
        <v>4</v>
      </c>
      <c r="E20" s="8" t="b">
        <f t="shared" ref="E20:K20" si="63">IF(IFERROR(SEARCH(E$1, $D20),0) &gt;= 1, TRUE,FALSE)</f>
        <v>1</v>
      </c>
      <c r="F20" s="8" t="b">
        <f t="shared" si="63"/>
        <v>0</v>
      </c>
      <c r="G20" s="8" t="b">
        <f t="shared" si="63"/>
        <v>0</v>
      </c>
      <c r="H20" s="8" t="b">
        <f t="shared" si="63"/>
        <v>0</v>
      </c>
      <c r="I20" s="8" t="b">
        <f t="shared" si="63"/>
        <v>0</v>
      </c>
      <c r="J20" s="8" t="b">
        <f t="shared" si="63"/>
        <v>0</v>
      </c>
      <c r="K20" s="8" t="b">
        <f t="shared" si="63"/>
        <v>0</v>
      </c>
      <c r="L20" s="9" t="b">
        <v>1</v>
      </c>
      <c r="M20" s="9" t="b">
        <v>1</v>
      </c>
      <c r="N20" s="9" t="b">
        <v>1</v>
      </c>
      <c r="O20" s="9" t="b">
        <v>1</v>
      </c>
      <c r="P20" s="7" t="str">
        <f t="shared" si="5"/>
        <v>Bakkerijmuseum</v>
      </c>
      <c r="Q20" s="10">
        <v>8.0</v>
      </c>
      <c r="R20" s="9" t="b">
        <v>0</v>
      </c>
      <c r="S20" s="9" t="b">
        <v>0</v>
      </c>
      <c r="T20" s="7"/>
      <c r="U20" s="11">
        <f t="shared" si="6"/>
        <v>0</v>
      </c>
      <c r="V20" s="11">
        <f t="shared" ref="V20:AB20" si="64">IF(OR(AW20 = $AO$4, AW20 = $AQ$4), 1, 0)</f>
        <v>1</v>
      </c>
      <c r="W20" s="11">
        <f t="shared" si="64"/>
        <v>1</v>
      </c>
      <c r="X20" s="11">
        <f t="shared" si="64"/>
        <v>1</v>
      </c>
      <c r="Y20" s="11">
        <f t="shared" si="64"/>
        <v>1</v>
      </c>
      <c r="Z20" s="11">
        <f t="shared" si="64"/>
        <v>1</v>
      </c>
      <c r="AA20" s="11">
        <f t="shared" si="64"/>
        <v>1</v>
      </c>
      <c r="AB20" s="11">
        <f t="shared" si="64"/>
        <v>1</v>
      </c>
      <c r="AC20" s="11">
        <f t="shared" si="8"/>
        <v>7</v>
      </c>
      <c r="AD20" s="11">
        <f t="shared" si="9"/>
        <v>1</v>
      </c>
      <c r="AE20" s="11">
        <f t="shared" ref="AE20:AH20" si="65">IF(OR(BD20 = $AO$6, BD20 = $AS$6, BD20 = $AT$6, BD20 = $AU$6), 1, 0)</f>
        <v>1</v>
      </c>
      <c r="AF20" s="11">
        <f t="shared" si="65"/>
        <v>1</v>
      </c>
      <c r="AG20" s="11">
        <f t="shared" si="65"/>
        <v>1</v>
      </c>
      <c r="AH20" s="11">
        <f t="shared" si="65"/>
        <v>1</v>
      </c>
      <c r="AI20" s="11">
        <f t="shared" si="11"/>
        <v>4</v>
      </c>
      <c r="AJ20" s="11">
        <f t="shared" si="12"/>
        <v>12</v>
      </c>
      <c r="AK20" s="12">
        <f t="shared" si="13"/>
        <v>5</v>
      </c>
      <c r="AL20" s="13" t="str">
        <f t="shared" si="14"/>
        <v>excellent</v>
      </c>
      <c r="AM20" s="7"/>
      <c r="AN20" s="7"/>
    </row>
    <row r="21">
      <c r="A21" s="7" t="s">
        <v>80</v>
      </c>
      <c r="B21" s="7" t="s">
        <v>81</v>
      </c>
      <c r="C21" s="7" t="s">
        <v>71</v>
      </c>
      <c r="D21" s="7" t="s">
        <v>72</v>
      </c>
      <c r="E21" s="8" t="b">
        <f t="shared" ref="E21:K21" si="66">IF(IFERROR(SEARCH(E$1, $D21),0) &gt;= 1, TRUE,FALSE)</f>
        <v>1</v>
      </c>
      <c r="F21" s="8" t="b">
        <f t="shared" si="66"/>
        <v>1</v>
      </c>
      <c r="G21" s="8" t="b">
        <f t="shared" si="66"/>
        <v>0</v>
      </c>
      <c r="H21" s="8" t="b">
        <f t="shared" si="66"/>
        <v>0</v>
      </c>
      <c r="I21" s="8" t="b">
        <f t="shared" si="66"/>
        <v>1</v>
      </c>
      <c r="J21" s="8" t="b">
        <f t="shared" si="66"/>
        <v>0</v>
      </c>
      <c r="K21" s="8" t="b">
        <f t="shared" si="66"/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7" t="str">
        <f t="shared" si="5"/>
        <v>Belfort van Brugge</v>
      </c>
      <c r="Q21" s="10">
        <v>15.0</v>
      </c>
      <c r="R21" s="9" t="b">
        <v>0</v>
      </c>
      <c r="S21" s="9" t="b">
        <v>0</v>
      </c>
      <c r="T21" s="7"/>
      <c r="U21" s="11">
        <f t="shared" si="6"/>
        <v>0</v>
      </c>
      <c r="V21" s="11">
        <f t="shared" ref="V21:AB21" si="67">IF(OR(AW21 = $AO$4, AW21 = $AQ$4), 1, 0)</f>
        <v>1</v>
      </c>
      <c r="W21" s="11">
        <f t="shared" si="67"/>
        <v>1</v>
      </c>
      <c r="X21" s="11">
        <f t="shared" si="67"/>
        <v>1</v>
      </c>
      <c r="Y21" s="11">
        <f t="shared" si="67"/>
        <v>1</v>
      </c>
      <c r="Z21" s="11">
        <f t="shared" si="67"/>
        <v>1</v>
      </c>
      <c r="AA21" s="11">
        <f t="shared" si="67"/>
        <v>1</v>
      </c>
      <c r="AB21" s="11">
        <f t="shared" si="67"/>
        <v>1</v>
      </c>
      <c r="AC21" s="11">
        <f t="shared" si="8"/>
        <v>7</v>
      </c>
      <c r="AD21" s="11">
        <f t="shared" si="9"/>
        <v>1</v>
      </c>
      <c r="AE21" s="11">
        <f t="shared" ref="AE21:AH21" si="68">IF(OR(BD21 = $AO$6, BD21 = $AS$6, BD21 = $AT$6, BD21 = $AU$6), 1, 0)</f>
        <v>1</v>
      </c>
      <c r="AF21" s="11">
        <f t="shared" si="68"/>
        <v>1</v>
      </c>
      <c r="AG21" s="11">
        <f t="shared" si="68"/>
        <v>1</v>
      </c>
      <c r="AH21" s="11">
        <f t="shared" si="68"/>
        <v>1</v>
      </c>
      <c r="AI21" s="11">
        <f t="shared" si="11"/>
        <v>4</v>
      </c>
      <c r="AJ21" s="11">
        <f t="shared" si="12"/>
        <v>12</v>
      </c>
      <c r="AK21" s="12">
        <f t="shared" si="13"/>
        <v>5</v>
      </c>
      <c r="AL21" s="13" t="str">
        <f t="shared" si="14"/>
        <v>excellent</v>
      </c>
      <c r="AM21" s="7"/>
      <c r="AN21" s="7"/>
    </row>
    <row r="22">
      <c r="A22" s="7" t="s">
        <v>82</v>
      </c>
      <c r="B22" s="7" t="s">
        <v>83</v>
      </c>
      <c r="C22" s="7" t="s">
        <v>71</v>
      </c>
      <c r="D22" s="7" t="s">
        <v>4</v>
      </c>
      <c r="E22" s="8" t="b">
        <f t="shared" ref="E22:K22" si="69">IF(IFERROR(SEARCH(E$1, $D22),0) &gt;= 1, TRUE,FALSE)</f>
        <v>1</v>
      </c>
      <c r="F22" s="8" t="b">
        <f t="shared" si="69"/>
        <v>0</v>
      </c>
      <c r="G22" s="8" t="b">
        <f t="shared" si="69"/>
        <v>0</v>
      </c>
      <c r="H22" s="8" t="b">
        <f t="shared" si="69"/>
        <v>0</v>
      </c>
      <c r="I22" s="8" t="b">
        <f t="shared" si="69"/>
        <v>0</v>
      </c>
      <c r="J22" s="8" t="b">
        <f t="shared" si="69"/>
        <v>0</v>
      </c>
      <c r="K22" s="8" t="b">
        <f t="shared" si="69"/>
        <v>0</v>
      </c>
      <c r="L22" s="9" t="b">
        <v>1</v>
      </c>
      <c r="M22" s="9" t="b">
        <v>0</v>
      </c>
      <c r="N22" s="9" t="b">
        <v>0</v>
      </c>
      <c r="O22" s="9" t="b">
        <v>0</v>
      </c>
      <c r="P22" s="7" t="str">
        <f t="shared" si="5"/>
        <v>Belle Epoque Centrum</v>
      </c>
      <c r="Q22" s="10">
        <v>5.0</v>
      </c>
      <c r="R22" s="9" t="b">
        <v>0</v>
      </c>
      <c r="S22" s="9" t="b">
        <v>0</v>
      </c>
      <c r="T22" s="7"/>
      <c r="U22" s="11">
        <f t="shared" si="6"/>
        <v>0</v>
      </c>
      <c r="V22" s="11">
        <f t="shared" ref="V22:AB22" si="70">IF(OR(AW22 = $AO$4, AW22 = $AQ$4), 1, 0)</f>
        <v>1</v>
      </c>
      <c r="W22" s="11">
        <f t="shared" si="70"/>
        <v>1</v>
      </c>
      <c r="X22" s="11">
        <f t="shared" si="70"/>
        <v>1</v>
      </c>
      <c r="Y22" s="11">
        <f t="shared" si="70"/>
        <v>1</v>
      </c>
      <c r="Z22" s="11">
        <f t="shared" si="70"/>
        <v>1</v>
      </c>
      <c r="AA22" s="11">
        <f t="shared" si="70"/>
        <v>1</v>
      </c>
      <c r="AB22" s="11">
        <f t="shared" si="70"/>
        <v>1</v>
      </c>
      <c r="AC22" s="11">
        <f t="shared" si="8"/>
        <v>7</v>
      </c>
      <c r="AD22" s="11">
        <f t="shared" si="9"/>
        <v>1</v>
      </c>
      <c r="AE22" s="11">
        <f t="shared" ref="AE22:AH22" si="71">IF(OR(BD22 = $AO$6, BD22 = $AS$6, BD22 = $AT$6, BD22 = $AU$6), 1, 0)</f>
        <v>1</v>
      </c>
      <c r="AF22" s="11">
        <f t="shared" si="71"/>
        <v>1</v>
      </c>
      <c r="AG22" s="11">
        <f t="shared" si="71"/>
        <v>1</v>
      </c>
      <c r="AH22" s="11">
        <f t="shared" si="71"/>
        <v>1</v>
      </c>
      <c r="AI22" s="11">
        <f t="shared" si="11"/>
        <v>4</v>
      </c>
      <c r="AJ22" s="11">
        <f t="shared" si="12"/>
        <v>12</v>
      </c>
      <c r="AK22" s="12">
        <f t="shared" si="13"/>
        <v>5</v>
      </c>
      <c r="AL22" s="13" t="str">
        <f t="shared" si="14"/>
        <v>excellent</v>
      </c>
      <c r="AM22" s="7"/>
      <c r="AN22" s="7"/>
    </row>
    <row r="23">
      <c r="A23" s="7" t="s">
        <v>84</v>
      </c>
      <c r="B23" s="7" t="s">
        <v>85</v>
      </c>
      <c r="C23" s="7" t="s">
        <v>71</v>
      </c>
      <c r="D23" s="7" t="s">
        <v>86</v>
      </c>
      <c r="E23" s="8" t="b">
        <f t="shared" ref="E23:K23" si="72">IF(IFERROR(SEARCH(E$1, $D23),0) &gt;= 1, TRUE,FALSE)</f>
        <v>1</v>
      </c>
      <c r="F23" s="8" t="b">
        <f t="shared" si="72"/>
        <v>0</v>
      </c>
      <c r="G23" s="8" t="b">
        <f t="shared" si="72"/>
        <v>0</v>
      </c>
      <c r="H23" s="8" t="b">
        <f t="shared" si="72"/>
        <v>0</v>
      </c>
      <c r="I23" s="8" t="b">
        <f t="shared" si="72"/>
        <v>0</v>
      </c>
      <c r="J23" s="8" t="b">
        <f t="shared" si="72"/>
        <v>1</v>
      </c>
      <c r="K23" s="8" t="b">
        <f t="shared" si="72"/>
        <v>1</v>
      </c>
      <c r="L23" s="9" t="b">
        <v>0</v>
      </c>
      <c r="M23" s="9" t="b">
        <v>0</v>
      </c>
      <c r="N23" s="9" t="b">
        <v>0</v>
      </c>
      <c r="O23" s="9" t="b">
        <v>0</v>
      </c>
      <c r="P23" s="7" t="str">
        <f t="shared" si="5"/>
        <v>Brugse Vrije</v>
      </c>
      <c r="Q23" s="10">
        <v>3.0</v>
      </c>
      <c r="R23" s="9" t="b">
        <v>0</v>
      </c>
      <c r="S23" s="9" t="b">
        <v>0</v>
      </c>
      <c r="T23" s="7"/>
      <c r="U23" s="11">
        <f t="shared" si="6"/>
        <v>0</v>
      </c>
      <c r="V23" s="11">
        <f t="shared" ref="V23:AB23" si="73">IF(OR(AW23 = $AO$4, AW23 = $AQ$4), 1, 0)</f>
        <v>1</v>
      </c>
      <c r="W23" s="11">
        <f t="shared" si="73"/>
        <v>1</v>
      </c>
      <c r="X23" s="11">
        <f t="shared" si="73"/>
        <v>1</v>
      </c>
      <c r="Y23" s="11">
        <f t="shared" si="73"/>
        <v>1</v>
      </c>
      <c r="Z23" s="11">
        <f t="shared" si="73"/>
        <v>1</v>
      </c>
      <c r="AA23" s="11">
        <f t="shared" si="73"/>
        <v>1</v>
      </c>
      <c r="AB23" s="11">
        <f t="shared" si="73"/>
        <v>1</v>
      </c>
      <c r="AC23" s="11">
        <f t="shared" si="8"/>
        <v>7</v>
      </c>
      <c r="AD23" s="11">
        <f t="shared" si="9"/>
        <v>1</v>
      </c>
      <c r="AE23" s="11">
        <f t="shared" ref="AE23:AH23" si="74">IF(OR(BD23 = $AO$6, BD23 = $AS$6, BD23 = $AT$6, BD23 = $AU$6), 1, 0)</f>
        <v>1</v>
      </c>
      <c r="AF23" s="11">
        <f t="shared" si="74"/>
        <v>1</v>
      </c>
      <c r="AG23" s="11">
        <f t="shared" si="74"/>
        <v>1</v>
      </c>
      <c r="AH23" s="11">
        <f t="shared" si="74"/>
        <v>1</v>
      </c>
      <c r="AI23" s="11">
        <f t="shared" si="11"/>
        <v>4</v>
      </c>
      <c r="AJ23" s="11">
        <f t="shared" si="12"/>
        <v>12</v>
      </c>
      <c r="AK23" s="12">
        <f t="shared" si="13"/>
        <v>5</v>
      </c>
      <c r="AL23" s="13" t="str">
        <f t="shared" si="14"/>
        <v>excellent</v>
      </c>
      <c r="AM23" s="7"/>
      <c r="AN23" s="7"/>
    </row>
    <row r="24">
      <c r="A24" s="7" t="s">
        <v>87</v>
      </c>
      <c r="B24" s="7" t="s">
        <v>88</v>
      </c>
      <c r="C24" s="7" t="s">
        <v>71</v>
      </c>
      <c r="D24" s="7" t="s">
        <v>4</v>
      </c>
      <c r="E24" s="8" t="b">
        <f t="shared" ref="E24:K24" si="75">IF(IFERROR(SEARCH(E$1, $D24),0) &gt;= 1, TRUE,FALSE)</f>
        <v>1</v>
      </c>
      <c r="F24" s="8" t="b">
        <f t="shared" si="75"/>
        <v>0</v>
      </c>
      <c r="G24" s="8" t="b">
        <f t="shared" si="75"/>
        <v>0</v>
      </c>
      <c r="H24" s="8" t="b">
        <f t="shared" si="75"/>
        <v>0</v>
      </c>
      <c r="I24" s="8" t="b">
        <f t="shared" si="75"/>
        <v>0</v>
      </c>
      <c r="J24" s="8" t="b">
        <f t="shared" si="75"/>
        <v>0</v>
      </c>
      <c r="K24" s="8" t="b">
        <f t="shared" si="75"/>
        <v>0</v>
      </c>
      <c r="L24" s="9" t="b">
        <v>0</v>
      </c>
      <c r="M24" s="9" t="b">
        <v>0</v>
      </c>
      <c r="N24" s="9" t="b">
        <v>1</v>
      </c>
      <c r="O24" s="9" t="b">
        <v>0</v>
      </c>
      <c r="P24" s="7" t="str">
        <f t="shared" si="5"/>
        <v>Dodengang</v>
      </c>
      <c r="Q24" s="10">
        <v>6.0</v>
      </c>
      <c r="R24" s="9" t="b">
        <v>0</v>
      </c>
      <c r="S24" s="9" t="b">
        <v>0</v>
      </c>
      <c r="T24" s="7"/>
      <c r="U24" s="11">
        <f t="shared" si="6"/>
        <v>0</v>
      </c>
      <c r="V24" s="11">
        <f t="shared" ref="V24:AB24" si="76">IF(OR(AW24 = $AO$4, AW24 = $AQ$4), 1, 0)</f>
        <v>1</v>
      </c>
      <c r="W24" s="11">
        <f t="shared" si="76"/>
        <v>1</v>
      </c>
      <c r="X24" s="11">
        <f t="shared" si="76"/>
        <v>1</v>
      </c>
      <c r="Y24" s="11">
        <f t="shared" si="76"/>
        <v>1</v>
      </c>
      <c r="Z24" s="11">
        <f t="shared" si="76"/>
        <v>1</v>
      </c>
      <c r="AA24" s="11">
        <f t="shared" si="76"/>
        <v>1</v>
      </c>
      <c r="AB24" s="11">
        <f t="shared" si="76"/>
        <v>1</v>
      </c>
      <c r="AC24" s="11">
        <f t="shared" si="8"/>
        <v>7</v>
      </c>
      <c r="AD24" s="11">
        <f t="shared" si="9"/>
        <v>1</v>
      </c>
      <c r="AE24" s="11">
        <f t="shared" ref="AE24:AH24" si="77">IF(OR(BD24 = $AO$6, BD24 = $AS$6, BD24 = $AT$6, BD24 = $AU$6), 1, 0)</f>
        <v>1</v>
      </c>
      <c r="AF24" s="11">
        <f t="shared" si="77"/>
        <v>1</v>
      </c>
      <c r="AG24" s="11">
        <f t="shared" si="77"/>
        <v>1</v>
      </c>
      <c r="AH24" s="11">
        <f t="shared" si="77"/>
        <v>1</v>
      </c>
      <c r="AI24" s="11">
        <f t="shared" si="11"/>
        <v>4</v>
      </c>
      <c r="AJ24" s="11">
        <f t="shared" si="12"/>
        <v>12</v>
      </c>
      <c r="AK24" s="12">
        <f t="shared" si="13"/>
        <v>5</v>
      </c>
      <c r="AL24" s="13" t="str">
        <f t="shared" si="14"/>
        <v>excellent</v>
      </c>
      <c r="AM24" s="7"/>
      <c r="AN24" s="7"/>
    </row>
    <row r="25">
      <c r="A25" s="7"/>
      <c r="B25" s="7" t="s">
        <v>89</v>
      </c>
      <c r="C25" s="7" t="s">
        <v>71</v>
      </c>
      <c r="D25" s="7" t="s">
        <v>90</v>
      </c>
      <c r="E25" s="8" t="b">
        <f t="shared" ref="E25:K25" si="78">IF(IFERROR(SEARCH(E$1, $D25),0) &gt;= 1, TRUE,FALSE)</f>
        <v>1</v>
      </c>
      <c r="F25" s="8" t="b">
        <f t="shared" si="78"/>
        <v>1</v>
      </c>
      <c r="G25" s="8" t="b">
        <f t="shared" si="78"/>
        <v>1</v>
      </c>
      <c r="H25" s="8" t="b">
        <f t="shared" si="78"/>
        <v>0</v>
      </c>
      <c r="I25" s="8" t="b">
        <f t="shared" si="78"/>
        <v>1</v>
      </c>
      <c r="J25" s="8" t="b">
        <f t="shared" si="78"/>
        <v>0</v>
      </c>
      <c r="K25" s="8" t="b">
        <f t="shared" si="78"/>
        <v>0</v>
      </c>
      <c r="L25" s="9" t="b">
        <v>1</v>
      </c>
      <c r="M25" s="9" t="b">
        <v>0</v>
      </c>
      <c r="N25" s="9" t="b">
        <v>1</v>
      </c>
      <c r="O25" s="9" t="b">
        <v>0</v>
      </c>
      <c r="P25" s="7" t="str">
        <f t="shared" si="5"/>
        <v>Eperon d’Or</v>
      </c>
      <c r="Q25" s="10">
        <v>8.0</v>
      </c>
      <c r="R25" s="9" t="b">
        <v>0</v>
      </c>
      <c r="S25" s="9" t="b">
        <v>1</v>
      </c>
      <c r="T25" s="10">
        <v>8.0</v>
      </c>
      <c r="U25" s="11">
        <f t="shared" si="6"/>
        <v>0</v>
      </c>
      <c r="V25" s="11">
        <f t="shared" ref="V25:AB25" si="79">IF(OR(AW25 = $AO$4, AW25 = $AQ$4), 1, 0)</f>
        <v>1</v>
      </c>
      <c r="W25" s="11">
        <f t="shared" si="79"/>
        <v>1</v>
      </c>
      <c r="X25" s="11">
        <f t="shared" si="79"/>
        <v>1</v>
      </c>
      <c r="Y25" s="11">
        <f t="shared" si="79"/>
        <v>1</v>
      </c>
      <c r="Z25" s="11">
        <f t="shared" si="79"/>
        <v>1</v>
      </c>
      <c r="AA25" s="11">
        <f t="shared" si="79"/>
        <v>1</v>
      </c>
      <c r="AB25" s="11">
        <f t="shared" si="79"/>
        <v>1</v>
      </c>
      <c r="AC25" s="11">
        <f t="shared" si="8"/>
        <v>7</v>
      </c>
      <c r="AD25" s="11">
        <f t="shared" si="9"/>
        <v>1</v>
      </c>
      <c r="AE25" s="11">
        <f t="shared" ref="AE25:AH25" si="80">IF(OR(BD25 = $AO$6, BD25 = $AS$6, BD25 = $AT$6, BD25 = $AU$6), 1, 0)</f>
        <v>1</v>
      </c>
      <c r="AF25" s="11">
        <f t="shared" si="80"/>
        <v>1</v>
      </c>
      <c r="AG25" s="11">
        <f t="shared" si="80"/>
        <v>1</v>
      </c>
      <c r="AH25" s="11">
        <f t="shared" si="80"/>
        <v>1</v>
      </c>
      <c r="AI25" s="11">
        <f t="shared" si="11"/>
        <v>4</v>
      </c>
      <c r="AJ25" s="11">
        <f t="shared" si="12"/>
        <v>12</v>
      </c>
      <c r="AK25" s="12">
        <f t="shared" si="13"/>
        <v>5</v>
      </c>
      <c r="AL25" s="13" t="str">
        <f t="shared" si="14"/>
        <v>excellent</v>
      </c>
      <c r="AM25" s="7"/>
      <c r="AN25" s="7"/>
    </row>
    <row r="26">
      <c r="A26" s="7" t="s">
        <v>91</v>
      </c>
      <c r="B26" s="7" t="s">
        <v>92</v>
      </c>
      <c r="C26" s="7" t="s">
        <v>71</v>
      </c>
      <c r="D26" s="7" t="s">
        <v>7</v>
      </c>
      <c r="E26" s="8" t="b">
        <f t="shared" ref="E26:K26" si="81">IF(IFERROR(SEARCH(E$1, $D26),0) &gt;= 1, TRUE,FALSE)</f>
        <v>0</v>
      </c>
      <c r="F26" s="8" t="b">
        <f t="shared" si="81"/>
        <v>0</v>
      </c>
      <c r="G26" s="8" t="b">
        <f t="shared" si="81"/>
        <v>0</v>
      </c>
      <c r="H26" s="8" t="b">
        <f t="shared" si="81"/>
        <v>1</v>
      </c>
      <c r="I26" s="8" t="b">
        <f t="shared" si="81"/>
        <v>0</v>
      </c>
      <c r="J26" s="8" t="b">
        <f t="shared" si="81"/>
        <v>0</v>
      </c>
      <c r="K26" s="8" t="b">
        <f t="shared" si="81"/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7" t="str">
        <f t="shared" si="5"/>
        <v>Gezellehuis</v>
      </c>
      <c r="Q26" s="10">
        <v>0.0</v>
      </c>
      <c r="R26" s="9" t="b">
        <v>0</v>
      </c>
      <c r="S26" s="9" t="b">
        <v>0</v>
      </c>
      <c r="T26" s="7"/>
      <c r="U26" s="11">
        <f t="shared" si="6"/>
        <v>0</v>
      </c>
      <c r="V26" s="11">
        <f t="shared" ref="V26:AB26" si="82">IF(OR(AW26 = $AO$4, AW26 = $AQ$4), 1, 0)</f>
        <v>1</v>
      </c>
      <c r="W26" s="11">
        <f t="shared" si="82"/>
        <v>1</v>
      </c>
      <c r="X26" s="11">
        <f t="shared" si="82"/>
        <v>1</v>
      </c>
      <c r="Y26" s="11">
        <f t="shared" si="82"/>
        <v>1</v>
      </c>
      <c r="Z26" s="11">
        <f t="shared" si="82"/>
        <v>1</v>
      </c>
      <c r="AA26" s="11">
        <f t="shared" si="82"/>
        <v>1</v>
      </c>
      <c r="AB26" s="11">
        <f t="shared" si="82"/>
        <v>1</v>
      </c>
      <c r="AC26" s="11">
        <f t="shared" si="8"/>
        <v>7</v>
      </c>
      <c r="AD26" s="11">
        <f t="shared" si="9"/>
        <v>1</v>
      </c>
      <c r="AE26" s="11">
        <f t="shared" ref="AE26:AH26" si="83">IF(OR(BD26 = $AO$6, BD26 = $AS$6, BD26 = $AT$6, BD26 = $AU$6), 1, 0)</f>
        <v>1</v>
      </c>
      <c r="AF26" s="11">
        <f t="shared" si="83"/>
        <v>1</v>
      </c>
      <c r="AG26" s="11">
        <f t="shared" si="83"/>
        <v>1</v>
      </c>
      <c r="AH26" s="11">
        <f t="shared" si="83"/>
        <v>1</v>
      </c>
      <c r="AI26" s="11">
        <f t="shared" si="11"/>
        <v>4</v>
      </c>
      <c r="AJ26" s="11">
        <f t="shared" si="12"/>
        <v>12</v>
      </c>
      <c r="AK26" s="12">
        <f t="shared" si="13"/>
        <v>5</v>
      </c>
      <c r="AL26" s="13" t="str">
        <f t="shared" si="14"/>
        <v>excellent</v>
      </c>
      <c r="AM26" s="7"/>
      <c r="AN26" s="7"/>
    </row>
    <row r="27">
      <c r="A27" s="7" t="s">
        <v>93</v>
      </c>
      <c r="B27" s="7" t="s">
        <v>94</v>
      </c>
      <c r="C27" s="7" t="s">
        <v>71</v>
      </c>
      <c r="D27" s="7" t="s">
        <v>9</v>
      </c>
      <c r="E27" s="8" t="b">
        <f t="shared" ref="E27:K27" si="84">IF(IFERROR(SEARCH(E$1, $D27),0) &gt;= 1, TRUE,FALSE)</f>
        <v>0</v>
      </c>
      <c r="F27" s="8" t="b">
        <f t="shared" si="84"/>
        <v>0</v>
      </c>
      <c r="G27" s="8" t="b">
        <f t="shared" si="84"/>
        <v>0</v>
      </c>
      <c r="H27" s="8" t="b">
        <f t="shared" si="84"/>
        <v>0</v>
      </c>
      <c r="I27" s="8" t="b">
        <f t="shared" si="84"/>
        <v>0</v>
      </c>
      <c r="J27" s="8" t="b">
        <f t="shared" si="84"/>
        <v>1</v>
      </c>
      <c r="K27" s="8" t="b">
        <f t="shared" si="84"/>
        <v>0</v>
      </c>
      <c r="L27" s="9" t="b">
        <v>1</v>
      </c>
      <c r="M27" s="9" t="b">
        <v>0</v>
      </c>
      <c r="N27" s="9" t="b">
        <v>0</v>
      </c>
      <c r="O27" s="9" t="b">
        <v>0</v>
      </c>
      <c r="P27" s="7" t="str">
        <f t="shared" si="5"/>
        <v>Groeningemuseum</v>
      </c>
      <c r="Q27" s="10">
        <v>15.0</v>
      </c>
      <c r="R27" s="9" t="b">
        <v>0</v>
      </c>
      <c r="S27" s="9" t="b">
        <v>0</v>
      </c>
      <c r="T27" s="7"/>
      <c r="U27" s="11">
        <f t="shared" si="6"/>
        <v>0</v>
      </c>
      <c r="V27" s="11">
        <f t="shared" ref="V27:AB27" si="85">IF(OR(AW27 = $AO$4, AW27 = $AQ$4), 1, 0)</f>
        <v>1</v>
      </c>
      <c r="W27" s="11">
        <f t="shared" si="85"/>
        <v>1</v>
      </c>
      <c r="X27" s="11">
        <f t="shared" si="85"/>
        <v>1</v>
      </c>
      <c r="Y27" s="11">
        <f t="shared" si="85"/>
        <v>1</v>
      </c>
      <c r="Z27" s="11">
        <f t="shared" si="85"/>
        <v>1</v>
      </c>
      <c r="AA27" s="11">
        <f t="shared" si="85"/>
        <v>1</v>
      </c>
      <c r="AB27" s="11">
        <f t="shared" si="85"/>
        <v>1</v>
      </c>
      <c r="AC27" s="11">
        <f t="shared" si="8"/>
        <v>7</v>
      </c>
      <c r="AD27" s="11">
        <f t="shared" si="9"/>
        <v>1</v>
      </c>
      <c r="AE27" s="11">
        <f t="shared" ref="AE27:AH27" si="86">IF(OR(BD27 = $AO$6, BD27 = $AS$6, BD27 = $AT$6, BD27 = $AU$6), 1, 0)</f>
        <v>1</v>
      </c>
      <c r="AF27" s="11">
        <f t="shared" si="86"/>
        <v>1</v>
      </c>
      <c r="AG27" s="11">
        <f t="shared" si="86"/>
        <v>1</v>
      </c>
      <c r="AH27" s="11">
        <f t="shared" si="86"/>
        <v>1</v>
      </c>
      <c r="AI27" s="11">
        <f t="shared" si="11"/>
        <v>4</v>
      </c>
      <c r="AJ27" s="11">
        <f t="shared" si="12"/>
        <v>12</v>
      </c>
      <c r="AK27" s="12">
        <f t="shared" si="13"/>
        <v>5</v>
      </c>
      <c r="AL27" s="13" t="str">
        <f t="shared" si="14"/>
        <v>excellent</v>
      </c>
      <c r="AM27" s="7"/>
      <c r="AN27" s="7"/>
    </row>
    <row r="28">
      <c r="A28" s="7" t="s">
        <v>95</v>
      </c>
      <c r="B28" s="7" t="s">
        <v>96</v>
      </c>
      <c r="C28" s="7" t="s">
        <v>71</v>
      </c>
      <c r="D28" s="7" t="s">
        <v>75</v>
      </c>
      <c r="E28" s="8" t="b">
        <f t="shared" ref="E28:K28" si="87">IF(IFERROR(SEARCH(E$1, $D28),0) &gt;= 1, TRUE,FALSE)</f>
        <v>1</v>
      </c>
      <c r="F28" s="8" t="b">
        <f t="shared" si="87"/>
        <v>0</v>
      </c>
      <c r="G28" s="8" t="b">
        <f t="shared" si="87"/>
        <v>0</v>
      </c>
      <c r="H28" s="8" t="b">
        <f t="shared" si="87"/>
        <v>0</v>
      </c>
      <c r="I28" s="8" t="b">
        <f t="shared" si="87"/>
        <v>1</v>
      </c>
      <c r="J28" s="8" t="b">
        <f t="shared" si="87"/>
        <v>1</v>
      </c>
      <c r="K28" s="8" t="b">
        <f t="shared" si="87"/>
        <v>1</v>
      </c>
      <c r="L28" s="9" t="b">
        <v>0</v>
      </c>
      <c r="M28" s="9" t="b">
        <v>0</v>
      </c>
      <c r="N28" s="9" t="b">
        <v>0</v>
      </c>
      <c r="O28" s="9" t="b">
        <v>0</v>
      </c>
      <c r="P28" s="7" t="str">
        <f t="shared" si="5"/>
        <v>Gruuthusemuseum</v>
      </c>
      <c r="Q28" s="10">
        <v>15.0</v>
      </c>
      <c r="R28" s="9" t="b">
        <v>0</v>
      </c>
      <c r="S28" s="9" t="b">
        <v>0</v>
      </c>
      <c r="T28" s="7"/>
      <c r="U28" s="11">
        <f t="shared" si="6"/>
        <v>0</v>
      </c>
      <c r="V28" s="11">
        <f t="shared" ref="V28:AB28" si="88">IF(OR(AW28 = $AO$4, AW28 = $AQ$4), 1, 0)</f>
        <v>1</v>
      </c>
      <c r="W28" s="11">
        <f t="shared" si="88"/>
        <v>1</v>
      </c>
      <c r="X28" s="11">
        <f t="shared" si="88"/>
        <v>1</v>
      </c>
      <c r="Y28" s="11">
        <f t="shared" si="88"/>
        <v>1</v>
      </c>
      <c r="Z28" s="11">
        <f t="shared" si="88"/>
        <v>1</v>
      </c>
      <c r="AA28" s="11">
        <f t="shared" si="88"/>
        <v>1</v>
      </c>
      <c r="AB28" s="11">
        <f t="shared" si="88"/>
        <v>1</v>
      </c>
      <c r="AC28" s="11">
        <f t="shared" si="8"/>
        <v>7</v>
      </c>
      <c r="AD28" s="11">
        <f t="shared" si="9"/>
        <v>1</v>
      </c>
      <c r="AE28" s="11">
        <f t="shared" ref="AE28:AH28" si="89">IF(OR(BD28 = $AO$6, BD28 = $AS$6, BD28 = $AT$6, BD28 = $AU$6), 1, 0)</f>
        <v>1</v>
      </c>
      <c r="AF28" s="11">
        <f t="shared" si="89"/>
        <v>1</v>
      </c>
      <c r="AG28" s="11">
        <f t="shared" si="89"/>
        <v>1</v>
      </c>
      <c r="AH28" s="11">
        <f t="shared" si="89"/>
        <v>1</v>
      </c>
      <c r="AI28" s="11">
        <f t="shared" si="11"/>
        <v>4</v>
      </c>
      <c r="AJ28" s="11">
        <f t="shared" si="12"/>
        <v>12</v>
      </c>
      <c r="AK28" s="12">
        <f t="shared" si="13"/>
        <v>5</v>
      </c>
      <c r="AL28" s="13" t="str">
        <f t="shared" si="14"/>
        <v>excellent</v>
      </c>
      <c r="AM28" s="7"/>
      <c r="AN28" s="7"/>
    </row>
    <row r="29">
      <c r="A29" s="7" t="s">
        <v>97</v>
      </c>
      <c r="B29" s="7" t="s">
        <v>98</v>
      </c>
      <c r="C29" s="7" t="s">
        <v>71</v>
      </c>
      <c r="D29" s="7" t="s">
        <v>9</v>
      </c>
      <c r="E29" s="8" t="b">
        <f t="shared" ref="E29:K29" si="90">IF(IFERROR(SEARCH(E$1, $D29),0) &gt;= 1, TRUE,FALSE)</f>
        <v>0</v>
      </c>
      <c r="F29" s="8" t="b">
        <f t="shared" si="90"/>
        <v>0</v>
      </c>
      <c r="G29" s="8" t="b">
        <f t="shared" si="90"/>
        <v>0</v>
      </c>
      <c r="H29" s="8" t="b">
        <f t="shared" si="90"/>
        <v>0</v>
      </c>
      <c r="I29" s="8" t="b">
        <f t="shared" si="90"/>
        <v>0</v>
      </c>
      <c r="J29" s="8" t="b">
        <f t="shared" si="90"/>
        <v>1</v>
      </c>
      <c r="K29" s="8" t="b">
        <f t="shared" si="90"/>
        <v>0</v>
      </c>
      <c r="L29" s="9" t="b">
        <v>1</v>
      </c>
      <c r="M29" s="9" t="b">
        <v>0</v>
      </c>
      <c r="N29" s="9" t="b">
        <v>0</v>
      </c>
      <c r="O29" s="9" t="b">
        <v>0</v>
      </c>
      <c r="P29" s="7" t="str">
        <f t="shared" si="5"/>
        <v>Het James Ensorhuis</v>
      </c>
      <c r="Q29" s="10">
        <v>13.0</v>
      </c>
      <c r="R29" s="9" t="b">
        <v>0</v>
      </c>
      <c r="S29" s="9" t="b">
        <v>1</v>
      </c>
      <c r="T29" s="10">
        <v>13.0</v>
      </c>
      <c r="U29" s="11">
        <f t="shared" si="6"/>
        <v>0</v>
      </c>
      <c r="V29" s="11">
        <f t="shared" ref="V29:AB29" si="91">IF(OR(AW29 = $AO$4, AW29 = $AQ$4), 1, 0)</f>
        <v>1</v>
      </c>
      <c r="W29" s="11">
        <f t="shared" si="91"/>
        <v>1</v>
      </c>
      <c r="X29" s="11">
        <f t="shared" si="91"/>
        <v>1</v>
      </c>
      <c r="Y29" s="11">
        <f t="shared" si="91"/>
        <v>1</v>
      </c>
      <c r="Z29" s="11">
        <f t="shared" si="91"/>
        <v>1</v>
      </c>
      <c r="AA29" s="11">
        <f t="shared" si="91"/>
        <v>1</v>
      </c>
      <c r="AB29" s="11">
        <f t="shared" si="91"/>
        <v>1</v>
      </c>
      <c r="AC29" s="11">
        <f t="shared" si="8"/>
        <v>7</v>
      </c>
      <c r="AD29" s="11">
        <f t="shared" si="9"/>
        <v>1</v>
      </c>
      <c r="AE29" s="11">
        <f t="shared" ref="AE29:AH29" si="92">IF(OR(BD29 = $AO$6, BD29 = $AS$6, BD29 = $AT$6, BD29 = $AU$6), 1, 0)</f>
        <v>1</v>
      </c>
      <c r="AF29" s="11">
        <f t="shared" si="92"/>
        <v>1</v>
      </c>
      <c r="AG29" s="11">
        <f t="shared" si="92"/>
        <v>1</v>
      </c>
      <c r="AH29" s="11">
        <f t="shared" si="92"/>
        <v>1</v>
      </c>
      <c r="AI29" s="11">
        <f t="shared" si="11"/>
        <v>4</v>
      </c>
      <c r="AJ29" s="11">
        <f t="shared" si="12"/>
        <v>12</v>
      </c>
      <c r="AK29" s="12">
        <f t="shared" si="13"/>
        <v>5</v>
      </c>
      <c r="AL29" s="13" t="str">
        <f t="shared" si="14"/>
        <v>excellent</v>
      </c>
      <c r="AM29" s="7"/>
      <c r="AN29" s="7"/>
    </row>
    <row r="30">
      <c r="A30" s="7" t="s">
        <v>99</v>
      </c>
      <c r="B30" s="7"/>
      <c r="C30" s="7" t="s">
        <v>71</v>
      </c>
      <c r="D30" s="7" t="s">
        <v>100</v>
      </c>
      <c r="E30" s="8" t="b">
        <f t="shared" ref="E30:K30" si="93">IF(IFERROR(SEARCH(E$1, $D30),0) &gt;= 1, TRUE,FALSE)</f>
        <v>0</v>
      </c>
      <c r="F30" s="8" t="b">
        <f t="shared" si="93"/>
        <v>0</v>
      </c>
      <c r="G30" s="8" t="b">
        <f t="shared" si="93"/>
        <v>0</v>
      </c>
      <c r="H30" s="8" t="b">
        <f t="shared" si="93"/>
        <v>1</v>
      </c>
      <c r="I30" s="8" t="b">
        <f t="shared" si="93"/>
        <v>1</v>
      </c>
      <c r="J30" s="8" t="b">
        <f t="shared" si="93"/>
        <v>1</v>
      </c>
      <c r="K30" s="8" t="b">
        <f t="shared" si="93"/>
        <v>0</v>
      </c>
      <c r="L30" s="9" t="b">
        <v>1</v>
      </c>
      <c r="M30" s="9" t="b">
        <v>0</v>
      </c>
      <c r="N30" s="9" t="b">
        <v>1</v>
      </c>
      <c r="O30" s="9" t="b">
        <v>0</v>
      </c>
      <c r="P30" s="7" t="str">
        <f t="shared" si="5"/>
        <v>Het Lijsternest | Streuvelshuis &amp; Schrijversresidentie</v>
      </c>
      <c r="Q30" s="10">
        <v>3.0</v>
      </c>
      <c r="R30" s="9" t="b">
        <v>1</v>
      </c>
      <c r="S30" s="9" t="b">
        <v>0</v>
      </c>
      <c r="T30" s="7"/>
      <c r="U30" s="11">
        <f t="shared" si="6"/>
        <v>0</v>
      </c>
      <c r="V30" s="11">
        <f t="shared" ref="V30:AB30" si="94">IF(OR(AW30 = $AO$4, AW30 = $AQ$4), 1, 0)</f>
        <v>1</v>
      </c>
      <c r="W30" s="11">
        <f t="shared" si="94"/>
        <v>1</v>
      </c>
      <c r="X30" s="11">
        <f t="shared" si="94"/>
        <v>1</v>
      </c>
      <c r="Y30" s="11">
        <f t="shared" si="94"/>
        <v>1</v>
      </c>
      <c r="Z30" s="11">
        <f t="shared" si="94"/>
        <v>1</v>
      </c>
      <c r="AA30" s="11">
        <f t="shared" si="94"/>
        <v>1</v>
      </c>
      <c r="AB30" s="11">
        <f t="shared" si="94"/>
        <v>1</v>
      </c>
      <c r="AC30" s="11">
        <f t="shared" si="8"/>
        <v>7</v>
      </c>
      <c r="AD30" s="11">
        <f t="shared" si="9"/>
        <v>1</v>
      </c>
      <c r="AE30" s="11">
        <f t="shared" ref="AE30:AH30" si="95">IF(OR(BD30 = $AO$6, BD30 = $AS$6, BD30 = $AT$6, BD30 = $AU$6), 1, 0)</f>
        <v>1</v>
      </c>
      <c r="AF30" s="11">
        <f t="shared" si="95"/>
        <v>1</v>
      </c>
      <c r="AG30" s="11">
        <f t="shared" si="95"/>
        <v>1</v>
      </c>
      <c r="AH30" s="11">
        <f t="shared" si="95"/>
        <v>1</v>
      </c>
      <c r="AI30" s="11">
        <f t="shared" si="11"/>
        <v>4</v>
      </c>
      <c r="AJ30" s="11">
        <f t="shared" si="12"/>
        <v>12</v>
      </c>
      <c r="AK30" s="12">
        <f t="shared" si="13"/>
        <v>5</v>
      </c>
      <c r="AL30" s="13" t="str">
        <f t="shared" si="14"/>
        <v>excellent</v>
      </c>
      <c r="AM30" s="7"/>
      <c r="AN30" s="7"/>
    </row>
    <row r="31">
      <c r="A31" s="7" t="s">
        <v>101</v>
      </c>
      <c r="B31" s="7"/>
      <c r="C31" s="7" t="s">
        <v>71</v>
      </c>
      <c r="D31" s="7" t="s">
        <v>102</v>
      </c>
      <c r="E31" s="8" t="b">
        <f t="shared" ref="E31:K31" si="96">IF(IFERROR(SEARCH(E$1, $D31),0) &gt;= 1, TRUE,FALSE)</f>
        <v>1</v>
      </c>
      <c r="F31" s="8" t="b">
        <f t="shared" si="96"/>
        <v>0</v>
      </c>
      <c r="G31" s="8" t="b">
        <f t="shared" si="96"/>
        <v>0</v>
      </c>
      <c r="H31" s="8" t="b">
        <f t="shared" si="96"/>
        <v>0</v>
      </c>
      <c r="I31" s="8" t="b">
        <f t="shared" si="96"/>
        <v>0</v>
      </c>
      <c r="J31" s="8" t="b">
        <f t="shared" si="96"/>
        <v>1</v>
      </c>
      <c r="K31" s="8" t="b">
        <f t="shared" si="96"/>
        <v>0</v>
      </c>
      <c r="L31" s="9" t="b">
        <v>1</v>
      </c>
      <c r="M31" s="9" t="b">
        <v>0</v>
      </c>
      <c r="N31" s="9" t="b">
        <v>0</v>
      </c>
      <c r="O31" s="9" t="b">
        <v>0</v>
      </c>
      <c r="P31" s="7" t="str">
        <f t="shared" si="5"/>
        <v>HEY Museum</v>
      </c>
      <c r="Q31" s="10">
        <v>10.0</v>
      </c>
      <c r="R31" s="9" t="b">
        <v>0</v>
      </c>
      <c r="S31" s="9" t="b">
        <v>0</v>
      </c>
      <c r="T31" s="7"/>
      <c r="U31" s="11">
        <f t="shared" si="6"/>
        <v>0</v>
      </c>
      <c r="V31" s="11">
        <f t="shared" ref="V31:AB31" si="97">IF(OR(AW31 = $AO$4, AW31 = $AQ$4), 1, 0)</f>
        <v>1</v>
      </c>
      <c r="W31" s="11">
        <f t="shared" si="97"/>
        <v>1</v>
      </c>
      <c r="X31" s="11">
        <f t="shared" si="97"/>
        <v>1</v>
      </c>
      <c r="Y31" s="11">
        <f t="shared" si="97"/>
        <v>1</v>
      </c>
      <c r="Z31" s="11">
        <f t="shared" si="97"/>
        <v>1</v>
      </c>
      <c r="AA31" s="11">
        <f t="shared" si="97"/>
        <v>1</v>
      </c>
      <c r="AB31" s="11">
        <f t="shared" si="97"/>
        <v>1</v>
      </c>
      <c r="AC31" s="11">
        <f t="shared" si="8"/>
        <v>7</v>
      </c>
      <c r="AD31" s="11">
        <f t="shared" si="9"/>
        <v>1</v>
      </c>
      <c r="AE31" s="11">
        <f t="shared" ref="AE31:AH31" si="98">IF(OR(BD31 = $AO$6, BD31 = $AS$6, BD31 = $AT$6, BD31 = $AU$6), 1, 0)</f>
        <v>1</v>
      </c>
      <c r="AF31" s="11">
        <f t="shared" si="98"/>
        <v>1</v>
      </c>
      <c r="AG31" s="11">
        <f t="shared" si="98"/>
        <v>1</v>
      </c>
      <c r="AH31" s="11">
        <f t="shared" si="98"/>
        <v>1</v>
      </c>
      <c r="AI31" s="11">
        <f t="shared" si="11"/>
        <v>4</v>
      </c>
      <c r="AJ31" s="11">
        <f t="shared" si="12"/>
        <v>12</v>
      </c>
      <c r="AK31" s="12">
        <f t="shared" si="13"/>
        <v>5</v>
      </c>
      <c r="AL31" s="13" t="str">
        <f t="shared" si="14"/>
        <v>excellent</v>
      </c>
      <c r="AM31" s="7"/>
      <c r="AN31" s="7"/>
    </row>
    <row r="32">
      <c r="A32" s="7" t="s">
        <v>103</v>
      </c>
      <c r="B32" s="7" t="s">
        <v>104</v>
      </c>
      <c r="C32" s="7" t="s">
        <v>71</v>
      </c>
      <c r="D32" s="7" t="s">
        <v>4</v>
      </c>
      <c r="E32" s="8" t="b">
        <f t="shared" ref="E32:K32" si="99">IF(IFERROR(SEARCH(E$1, $D32),0) &gt;= 1, TRUE,FALSE)</f>
        <v>1</v>
      </c>
      <c r="F32" s="8" t="b">
        <f t="shared" si="99"/>
        <v>0</v>
      </c>
      <c r="G32" s="8" t="b">
        <f t="shared" si="99"/>
        <v>0</v>
      </c>
      <c r="H32" s="8" t="b">
        <f t="shared" si="99"/>
        <v>0</v>
      </c>
      <c r="I32" s="8" t="b">
        <f t="shared" si="99"/>
        <v>0</v>
      </c>
      <c r="J32" s="8" t="b">
        <f t="shared" si="99"/>
        <v>0</v>
      </c>
      <c r="K32" s="8" t="b">
        <f t="shared" si="99"/>
        <v>0</v>
      </c>
      <c r="L32" s="9" t="b">
        <v>1</v>
      </c>
      <c r="M32" s="9" t="b">
        <v>1</v>
      </c>
      <c r="N32" s="9" t="b">
        <v>0</v>
      </c>
      <c r="O32" s="9" t="b">
        <v>0</v>
      </c>
      <c r="P32" s="7" t="str">
        <f t="shared" si="5"/>
        <v>Hopmuseum Poperinge</v>
      </c>
      <c r="Q32" s="10">
        <v>7.0</v>
      </c>
      <c r="R32" s="9" t="b">
        <v>0</v>
      </c>
      <c r="S32" s="9" t="b">
        <v>0</v>
      </c>
      <c r="T32" s="7"/>
      <c r="U32" s="11">
        <f t="shared" si="6"/>
        <v>0</v>
      </c>
      <c r="V32" s="11">
        <f t="shared" ref="V32:AB32" si="100">IF(OR(AW32 = $AO$4, AW32 = $AQ$4), 1, 0)</f>
        <v>1</v>
      </c>
      <c r="W32" s="11">
        <f t="shared" si="100"/>
        <v>1</v>
      </c>
      <c r="X32" s="11">
        <f t="shared" si="100"/>
        <v>1</v>
      </c>
      <c r="Y32" s="11">
        <f t="shared" si="100"/>
        <v>1</v>
      </c>
      <c r="Z32" s="11">
        <f t="shared" si="100"/>
        <v>1</v>
      </c>
      <c r="AA32" s="11">
        <f t="shared" si="100"/>
        <v>1</v>
      </c>
      <c r="AB32" s="11">
        <f t="shared" si="100"/>
        <v>1</v>
      </c>
      <c r="AC32" s="11">
        <f t="shared" si="8"/>
        <v>7</v>
      </c>
      <c r="AD32" s="11">
        <f t="shared" si="9"/>
        <v>1</v>
      </c>
      <c r="AE32" s="11">
        <f t="shared" ref="AE32:AH32" si="101">IF(OR(BD32 = $AO$6, BD32 = $AS$6, BD32 = $AT$6, BD32 = $AU$6), 1, 0)</f>
        <v>1</v>
      </c>
      <c r="AF32" s="11">
        <f t="shared" si="101"/>
        <v>1</v>
      </c>
      <c r="AG32" s="11">
        <f t="shared" si="101"/>
        <v>1</v>
      </c>
      <c r="AH32" s="11">
        <f t="shared" si="101"/>
        <v>1</v>
      </c>
      <c r="AI32" s="11">
        <f t="shared" si="11"/>
        <v>4</v>
      </c>
      <c r="AJ32" s="11">
        <f t="shared" si="12"/>
        <v>12</v>
      </c>
      <c r="AK32" s="12">
        <f t="shared" si="13"/>
        <v>5</v>
      </c>
      <c r="AL32" s="13" t="str">
        <f t="shared" si="14"/>
        <v>excellent</v>
      </c>
      <c r="AM32" s="7"/>
      <c r="AN32" s="7"/>
    </row>
    <row r="33">
      <c r="A33" s="7" t="s">
        <v>105</v>
      </c>
      <c r="B33" s="7" t="s">
        <v>106</v>
      </c>
      <c r="C33" s="7" t="s">
        <v>71</v>
      </c>
      <c r="D33" s="7" t="s">
        <v>4</v>
      </c>
      <c r="E33" s="8" t="b">
        <f t="shared" ref="E33:K33" si="102">IF(IFERROR(SEARCH(E$1, $D33),0) &gt;= 1, TRUE,FALSE)</f>
        <v>1</v>
      </c>
      <c r="F33" s="8" t="b">
        <f t="shared" si="102"/>
        <v>0</v>
      </c>
      <c r="G33" s="8" t="b">
        <f t="shared" si="102"/>
        <v>0</v>
      </c>
      <c r="H33" s="8" t="b">
        <f t="shared" si="102"/>
        <v>0</v>
      </c>
      <c r="I33" s="8" t="b">
        <f t="shared" si="102"/>
        <v>0</v>
      </c>
      <c r="J33" s="8" t="b">
        <f t="shared" si="102"/>
        <v>0</v>
      </c>
      <c r="K33" s="8" t="b">
        <f t="shared" si="102"/>
        <v>0</v>
      </c>
      <c r="L33" s="9" t="b">
        <v>1</v>
      </c>
      <c r="M33" s="9" t="b">
        <v>1</v>
      </c>
      <c r="N33" s="9" t="b">
        <v>0</v>
      </c>
      <c r="O33" s="9" t="b">
        <v>0</v>
      </c>
      <c r="P33" s="7" t="str">
        <f t="shared" si="5"/>
        <v>In Flanders Fields Museum</v>
      </c>
      <c r="Q33" s="10">
        <v>12.0</v>
      </c>
      <c r="R33" s="9" t="b">
        <v>0</v>
      </c>
      <c r="S33" s="9" t="b">
        <v>1</v>
      </c>
      <c r="T33" s="10">
        <v>12.0</v>
      </c>
      <c r="U33" s="11">
        <f t="shared" si="6"/>
        <v>0</v>
      </c>
      <c r="V33" s="11">
        <f t="shared" ref="V33:AB33" si="103">IF(OR(AW33 = $AO$4, AW33 = $AQ$4), 1, 0)</f>
        <v>1</v>
      </c>
      <c r="W33" s="11">
        <f t="shared" si="103"/>
        <v>1</v>
      </c>
      <c r="X33" s="11">
        <f t="shared" si="103"/>
        <v>1</v>
      </c>
      <c r="Y33" s="11">
        <f t="shared" si="103"/>
        <v>1</v>
      </c>
      <c r="Z33" s="11">
        <f t="shared" si="103"/>
        <v>1</v>
      </c>
      <c r="AA33" s="11">
        <f t="shared" si="103"/>
        <v>1</v>
      </c>
      <c r="AB33" s="11">
        <f t="shared" si="103"/>
        <v>1</v>
      </c>
      <c r="AC33" s="11">
        <f t="shared" si="8"/>
        <v>7</v>
      </c>
      <c r="AD33" s="11">
        <f t="shared" si="9"/>
        <v>1</v>
      </c>
      <c r="AE33" s="11">
        <f t="shared" ref="AE33:AH33" si="104">IF(OR(BD33 = $AO$6, BD33 = $AS$6, BD33 = $AT$6, BD33 = $AU$6), 1, 0)</f>
        <v>1</v>
      </c>
      <c r="AF33" s="11">
        <f t="shared" si="104"/>
        <v>1</v>
      </c>
      <c r="AG33" s="11">
        <f t="shared" si="104"/>
        <v>1</v>
      </c>
      <c r="AH33" s="11">
        <f t="shared" si="104"/>
        <v>1</v>
      </c>
      <c r="AI33" s="11">
        <f t="shared" si="11"/>
        <v>4</v>
      </c>
      <c r="AJ33" s="11">
        <f t="shared" si="12"/>
        <v>12</v>
      </c>
      <c r="AK33" s="12">
        <f t="shared" si="13"/>
        <v>5</v>
      </c>
      <c r="AL33" s="13" t="str">
        <f t="shared" si="14"/>
        <v>excellent</v>
      </c>
      <c r="AM33" s="7"/>
      <c r="AN33" s="7"/>
    </row>
    <row r="34">
      <c r="A34" s="7" t="s">
        <v>107</v>
      </c>
      <c r="B34" s="7" t="s">
        <v>108</v>
      </c>
      <c r="C34" s="7" t="s">
        <v>71</v>
      </c>
      <c r="D34" s="7" t="s">
        <v>109</v>
      </c>
      <c r="E34" s="8" t="b">
        <f t="shared" ref="E34:K34" si="105">IF(IFERROR(SEARCH(E$1, $D34),0) &gt;= 1, TRUE,FALSE)</f>
        <v>1</v>
      </c>
      <c r="F34" s="8" t="b">
        <f t="shared" si="105"/>
        <v>0</v>
      </c>
      <c r="G34" s="8" t="b">
        <f t="shared" si="105"/>
        <v>1</v>
      </c>
      <c r="H34" s="8" t="b">
        <f t="shared" si="105"/>
        <v>0</v>
      </c>
      <c r="I34" s="8" t="b">
        <f t="shared" si="105"/>
        <v>0</v>
      </c>
      <c r="J34" s="8" t="b">
        <f t="shared" si="105"/>
        <v>0</v>
      </c>
      <c r="K34" s="8" t="b">
        <f t="shared" si="105"/>
        <v>1</v>
      </c>
      <c r="L34" s="9" t="b">
        <v>1</v>
      </c>
      <c r="M34" s="9" t="b">
        <v>0</v>
      </c>
      <c r="N34" s="9" t="b">
        <v>0</v>
      </c>
      <c r="O34" s="9" t="b">
        <v>0</v>
      </c>
      <c r="P34" s="7" t="str">
        <f t="shared" si="5"/>
        <v>Kantmuseum Brugge</v>
      </c>
      <c r="Q34" s="10">
        <v>8.0</v>
      </c>
      <c r="R34" s="9" t="b">
        <v>0</v>
      </c>
      <c r="S34" s="9" t="b">
        <v>0</v>
      </c>
      <c r="T34" s="7"/>
      <c r="U34" s="11">
        <f t="shared" si="6"/>
        <v>0</v>
      </c>
      <c r="V34" s="11">
        <f t="shared" ref="V34:AB34" si="106">IF(OR(AW34 = $AO$4, AW34 = $AQ$4), 1, 0)</f>
        <v>1</v>
      </c>
      <c r="W34" s="11">
        <f t="shared" si="106"/>
        <v>1</v>
      </c>
      <c r="X34" s="11">
        <f t="shared" si="106"/>
        <v>1</v>
      </c>
      <c r="Y34" s="11">
        <f t="shared" si="106"/>
        <v>1</v>
      </c>
      <c r="Z34" s="11">
        <f t="shared" si="106"/>
        <v>1</v>
      </c>
      <c r="AA34" s="11">
        <f t="shared" si="106"/>
        <v>1</v>
      </c>
      <c r="AB34" s="11">
        <f t="shared" si="106"/>
        <v>1</v>
      </c>
      <c r="AC34" s="11">
        <f t="shared" si="8"/>
        <v>7</v>
      </c>
      <c r="AD34" s="11">
        <f t="shared" si="9"/>
        <v>1</v>
      </c>
      <c r="AE34" s="11">
        <f t="shared" ref="AE34:AH34" si="107">IF(OR(BD34 = $AO$6, BD34 = $AS$6, BD34 = $AT$6, BD34 = $AU$6), 1, 0)</f>
        <v>1</v>
      </c>
      <c r="AF34" s="11">
        <f t="shared" si="107"/>
        <v>1</v>
      </c>
      <c r="AG34" s="11">
        <f t="shared" si="107"/>
        <v>1</v>
      </c>
      <c r="AH34" s="11">
        <f t="shared" si="107"/>
        <v>1</v>
      </c>
      <c r="AI34" s="11">
        <f t="shared" si="11"/>
        <v>4</v>
      </c>
      <c r="AJ34" s="11">
        <f t="shared" si="12"/>
        <v>12</v>
      </c>
      <c r="AK34" s="12">
        <f t="shared" si="13"/>
        <v>5</v>
      </c>
      <c r="AL34" s="13" t="str">
        <f t="shared" si="14"/>
        <v>excellent</v>
      </c>
      <c r="AM34" s="7"/>
      <c r="AN34" s="7"/>
    </row>
    <row r="35">
      <c r="A35" s="7" t="s">
        <v>110</v>
      </c>
      <c r="B35" s="7" t="s">
        <v>111</v>
      </c>
      <c r="C35" s="7" t="s">
        <v>71</v>
      </c>
      <c r="D35" s="7" t="s">
        <v>102</v>
      </c>
      <c r="E35" s="8" t="b">
        <f t="shared" ref="E35:K35" si="108">IF(IFERROR(SEARCH(E$1, $D35),0) &gt;= 1, TRUE,FALSE)</f>
        <v>1</v>
      </c>
      <c r="F35" s="8" t="b">
        <f t="shared" si="108"/>
        <v>0</v>
      </c>
      <c r="G35" s="8" t="b">
        <f t="shared" si="108"/>
        <v>0</v>
      </c>
      <c r="H35" s="8" t="b">
        <f t="shared" si="108"/>
        <v>0</v>
      </c>
      <c r="I35" s="8" t="b">
        <f t="shared" si="108"/>
        <v>0</v>
      </c>
      <c r="J35" s="8" t="b">
        <f t="shared" si="108"/>
        <v>1</v>
      </c>
      <c r="K35" s="8" t="b">
        <f t="shared" si="108"/>
        <v>0</v>
      </c>
      <c r="L35" s="9" t="b">
        <v>1</v>
      </c>
      <c r="M35" s="9" t="b">
        <v>0</v>
      </c>
      <c r="N35" s="9" t="b">
        <v>1</v>
      </c>
      <c r="O35" s="9" t="b">
        <v>0</v>
      </c>
      <c r="P35" s="7" t="str">
        <f t="shared" si="5"/>
        <v>Kasteel van Loppem</v>
      </c>
      <c r="Q35" s="10">
        <v>9.0</v>
      </c>
      <c r="R35" s="9" t="b">
        <v>0</v>
      </c>
      <c r="S35" s="9" t="b">
        <v>0</v>
      </c>
      <c r="T35" s="7"/>
      <c r="U35" s="11">
        <f t="shared" si="6"/>
        <v>0</v>
      </c>
      <c r="V35" s="11">
        <f t="shared" ref="V35:AB35" si="109">IF(OR(AW35 = $AO$4, AW35 = $AQ$4), 1, 0)</f>
        <v>1</v>
      </c>
      <c r="W35" s="11">
        <f t="shared" si="109"/>
        <v>1</v>
      </c>
      <c r="X35" s="11">
        <f t="shared" si="109"/>
        <v>1</v>
      </c>
      <c r="Y35" s="11">
        <f t="shared" si="109"/>
        <v>1</v>
      </c>
      <c r="Z35" s="11">
        <f t="shared" si="109"/>
        <v>1</v>
      </c>
      <c r="AA35" s="11">
        <f t="shared" si="109"/>
        <v>1</v>
      </c>
      <c r="AB35" s="11">
        <f t="shared" si="109"/>
        <v>1</v>
      </c>
      <c r="AC35" s="11">
        <f t="shared" si="8"/>
        <v>7</v>
      </c>
      <c r="AD35" s="11">
        <f t="shared" si="9"/>
        <v>1</v>
      </c>
      <c r="AE35" s="11">
        <f t="shared" ref="AE35:AH35" si="110">IF(OR(BD35 = $AO$6, BD35 = $AS$6, BD35 = $AT$6, BD35 = $AU$6), 1, 0)</f>
        <v>1</v>
      </c>
      <c r="AF35" s="11">
        <f t="shared" si="110"/>
        <v>1</v>
      </c>
      <c r="AG35" s="11">
        <f t="shared" si="110"/>
        <v>1</v>
      </c>
      <c r="AH35" s="11">
        <f t="shared" si="110"/>
        <v>1</v>
      </c>
      <c r="AI35" s="11">
        <f t="shared" si="11"/>
        <v>4</v>
      </c>
      <c r="AJ35" s="11">
        <f t="shared" si="12"/>
        <v>12</v>
      </c>
      <c r="AK35" s="12">
        <f t="shared" si="13"/>
        <v>5</v>
      </c>
      <c r="AL35" s="13" t="str">
        <f t="shared" si="14"/>
        <v>excellent</v>
      </c>
      <c r="AM35" s="7"/>
      <c r="AN35" s="7"/>
    </row>
    <row r="36">
      <c r="A36" s="7" t="s">
        <v>112</v>
      </c>
      <c r="B36" s="7" t="s">
        <v>113</v>
      </c>
      <c r="C36" s="7" t="s">
        <v>71</v>
      </c>
      <c r="D36" s="7" t="s">
        <v>114</v>
      </c>
      <c r="E36" s="8" t="b">
        <f t="shared" ref="E36:K36" si="111">IF(IFERROR(SEARCH(E$1, $D36),0) &gt;= 1, TRUE,FALSE)</f>
        <v>1</v>
      </c>
      <c r="F36" s="8" t="b">
        <f t="shared" si="111"/>
        <v>1</v>
      </c>
      <c r="G36" s="8" t="b">
        <f t="shared" si="111"/>
        <v>0</v>
      </c>
      <c r="H36" s="8" t="b">
        <f t="shared" si="111"/>
        <v>0</v>
      </c>
      <c r="I36" s="8" t="b">
        <f t="shared" si="111"/>
        <v>0</v>
      </c>
      <c r="J36" s="8" t="b">
        <f t="shared" si="111"/>
        <v>0</v>
      </c>
      <c r="K36" s="8" t="b">
        <f t="shared" si="111"/>
        <v>0</v>
      </c>
      <c r="L36" s="9" t="b">
        <v>1</v>
      </c>
      <c r="M36" s="9" t="b">
        <v>1</v>
      </c>
      <c r="N36" s="9" t="b">
        <v>0</v>
      </c>
      <c r="O36" s="9" t="b">
        <v>1</v>
      </c>
      <c r="P36" s="7" t="str">
        <f t="shared" si="5"/>
        <v>KOERS | Museum van de Wielersport</v>
      </c>
      <c r="Q36" s="10">
        <v>9.0</v>
      </c>
      <c r="R36" s="9" t="b">
        <v>0</v>
      </c>
      <c r="S36" s="9" t="b">
        <v>0</v>
      </c>
      <c r="T36" s="7"/>
      <c r="U36" s="11">
        <f t="shared" si="6"/>
        <v>0</v>
      </c>
      <c r="V36" s="11">
        <f t="shared" ref="V36:AB36" si="112">IF(OR(AW36 = $AO$4, AW36 = $AQ$4), 1, 0)</f>
        <v>1</v>
      </c>
      <c r="W36" s="11">
        <f t="shared" si="112"/>
        <v>1</v>
      </c>
      <c r="X36" s="11">
        <f t="shared" si="112"/>
        <v>1</v>
      </c>
      <c r="Y36" s="11">
        <f t="shared" si="112"/>
        <v>1</v>
      </c>
      <c r="Z36" s="11">
        <f t="shared" si="112"/>
        <v>1</v>
      </c>
      <c r="AA36" s="11">
        <f t="shared" si="112"/>
        <v>1</v>
      </c>
      <c r="AB36" s="11">
        <f t="shared" si="112"/>
        <v>1</v>
      </c>
      <c r="AC36" s="11">
        <f t="shared" si="8"/>
        <v>7</v>
      </c>
      <c r="AD36" s="11">
        <f t="shared" si="9"/>
        <v>1</v>
      </c>
      <c r="AE36" s="11">
        <f t="shared" ref="AE36:AH36" si="113">IF(OR(BD36 = $AO$6, BD36 = $AS$6, BD36 = $AT$6, BD36 = $AU$6), 1, 0)</f>
        <v>1</v>
      </c>
      <c r="AF36" s="11">
        <f t="shared" si="113"/>
        <v>1</v>
      </c>
      <c r="AG36" s="11">
        <f t="shared" si="113"/>
        <v>1</v>
      </c>
      <c r="AH36" s="11">
        <f t="shared" si="113"/>
        <v>1</v>
      </c>
      <c r="AI36" s="11">
        <f t="shared" si="11"/>
        <v>4</v>
      </c>
      <c r="AJ36" s="11">
        <f t="shared" si="12"/>
        <v>12</v>
      </c>
      <c r="AK36" s="12">
        <f t="shared" si="13"/>
        <v>5</v>
      </c>
      <c r="AL36" s="13" t="str">
        <f t="shared" si="14"/>
        <v>excellent</v>
      </c>
      <c r="AM36" s="7"/>
      <c r="AN36" s="7"/>
    </row>
    <row r="37">
      <c r="A37" s="7" t="s">
        <v>115</v>
      </c>
      <c r="B37" s="7" t="s">
        <v>116</v>
      </c>
      <c r="C37" s="8" t="s">
        <v>71</v>
      </c>
      <c r="D37" s="7" t="s">
        <v>4</v>
      </c>
      <c r="E37" s="8" t="b">
        <f t="shared" ref="E37:K37" si="114">IF(IFERROR(SEARCH(E$1, $D37),0) &gt;= 1, TRUE,FALSE)</f>
        <v>1</v>
      </c>
      <c r="F37" s="8" t="b">
        <f t="shared" si="114"/>
        <v>0</v>
      </c>
      <c r="G37" s="8" t="b">
        <f t="shared" si="114"/>
        <v>0</v>
      </c>
      <c r="H37" s="8" t="b">
        <f t="shared" si="114"/>
        <v>0</v>
      </c>
      <c r="I37" s="8" t="b">
        <f t="shared" si="114"/>
        <v>0</v>
      </c>
      <c r="J37" s="8" t="b">
        <f t="shared" si="114"/>
        <v>0</v>
      </c>
      <c r="K37" s="8" t="b">
        <f t="shared" si="114"/>
        <v>0</v>
      </c>
      <c r="L37" s="9" t="b">
        <v>1</v>
      </c>
      <c r="M37" s="9" t="b">
        <v>1</v>
      </c>
      <c r="N37" s="9" t="b">
        <v>1</v>
      </c>
      <c r="O37" s="9" t="b">
        <v>0</v>
      </c>
      <c r="P37" s="7" t="str">
        <f t="shared" si="5"/>
        <v>Museum aan de IJzer</v>
      </c>
      <c r="Q37" s="10">
        <v>9.5</v>
      </c>
      <c r="R37" s="9" t="b">
        <v>0</v>
      </c>
      <c r="S37" s="9" t="b">
        <v>1</v>
      </c>
      <c r="T37" s="10">
        <v>9.5</v>
      </c>
      <c r="U37" s="11">
        <f t="shared" si="6"/>
        <v>0</v>
      </c>
      <c r="V37" s="11">
        <f t="shared" ref="V37:AB37" si="115">IF(OR(AW37 = $AO$4, AW37 = $AQ$4), 1, 0)</f>
        <v>1</v>
      </c>
      <c r="W37" s="11">
        <f t="shared" si="115"/>
        <v>1</v>
      </c>
      <c r="X37" s="11">
        <f t="shared" si="115"/>
        <v>1</v>
      </c>
      <c r="Y37" s="11">
        <f t="shared" si="115"/>
        <v>1</v>
      </c>
      <c r="Z37" s="11">
        <f t="shared" si="115"/>
        <v>1</v>
      </c>
      <c r="AA37" s="11">
        <f t="shared" si="115"/>
        <v>1</v>
      </c>
      <c r="AB37" s="11">
        <f t="shared" si="115"/>
        <v>1</v>
      </c>
      <c r="AC37" s="11">
        <f t="shared" si="8"/>
        <v>7</v>
      </c>
      <c r="AD37" s="11">
        <f t="shared" si="9"/>
        <v>1</v>
      </c>
      <c r="AE37" s="11">
        <f t="shared" ref="AE37:AH37" si="116">IF(OR(BD37 = $AO$6, BD37 = $AS$6, BD37 = $AT$6, BD37 = $AU$6), 1, 0)</f>
        <v>1</v>
      </c>
      <c r="AF37" s="11">
        <f t="shared" si="116"/>
        <v>1</v>
      </c>
      <c r="AG37" s="11">
        <f t="shared" si="116"/>
        <v>1</v>
      </c>
      <c r="AH37" s="11">
        <f t="shared" si="116"/>
        <v>1</v>
      </c>
      <c r="AI37" s="11">
        <f t="shared" si="11"/>
        <v>4</v>
      </c>
      <c r="AJ37" s="11">
        <f t="shared" si="12"/>
        <v>12</v>
      </c>
      <c r="AK37" s="12">
        <f t="shared" si="13"/>
        <v>5</v>
      </c>
      <c r="AL37" s="13" t="str">
        <f t="shared" si="14"/>
        <v>excellent</v>
      </c>
      <c r="AM37" s="7"/>
      <c r="AN37" s="7"/>
    </row>
    <row r="38">
      <c r="A38" s="7" t="s">
        <v>117</v>
      </c>
      <c r="B38" s="7" t="s">
        <v>118</v>
      </c>
      <c r="C38" s="8" t="s">
        <v>71</v>
      </c>
      <c r="D38" s="7" t="s">
        <v>77</v>
      </c>
      <c r="E38" s="8" t="b">
        <f t="shared" ref="E38:K38" si="117">IF(IFERROR(SEARCH(E$1, $D38),0) &gt;= 1, TRUE,FALSE)</f>
        <v>1</v>
      </c>
      <c r="F38" s="8" t="b">
        <f t="shared" si="117"/>
        <v>1</v>
      </c>
      <c r="G38" s="8" t="b">
        <f t="shared" si="117"/>
        <v>0</v>
      </c>
      <c r="H38" s="8" t="b">
        <f t="shared" si="117"/>
        <v>0</v>
      </c>
      <c r="I38" s="8" t="b">
        <f t="shared" si="117"/>
        <v>1</v>
      </c>
      <c r="J38" s="8" t="b">
        <f t="shared" si="117"/>
        <v>1</v>
      </c>
      <c r="K38" s="8" t="b">
        <f t="shared" si="117"/>
        <v>1</v>
      </c>
      <c r="L38" s="9" t="b">
        <v>1</v>
      </c>
      <c r="M38" s="9" t="b">
        <v>0</v>
      </c>
      <c r="N38" s="9" t="b">
        <v>0</v>
      </c>
      <c r="O38" s="9" t="b">
        <v>0</v>
      </c>
      <c r="P38" s="7" t="str">
        <f t="shared" si="5"/>
        <v>Museum Sint-Janshospitaal</v>
      </c>
      <c r="Q38" s="10">
        <v>15.0</v>
      </c>
      <c r="R38" s="9" t="b">
        <v>0</v>
      </c>
      <c r="S38" s="9" t="b">
        <v>1</v>
      </c>
      <c r="T38" s="10">
        <v>15.0</v>
      </c>
      <c r="U38" s="11">
        <f t="shared" si="6"/>
        <v>0</v>
      </c>
      <c r="V38" s="11">
        <f t="shared" ref="V38:AB38" si="118">IF(OR(AW38 = $AO$4, AW38 = $AQ$4), 1, 0)</f>
        <v>1</v>
      </c>
      <c r="W38" s="11">
        <f t="shared" si="118"/>
        <v>1</v>
      </c>
      <c r="X38" s="11">
        <f t="shared" si="118"/>
        <v>1</v>
      </c>
      <c r="Y38" s="11">
        <f t="shared" si="118"/>
        <v>1</v>
      </c>
      <c r="Z38" s="11">
        <f t="shared" si="118"/>
        <v>1</v>
      </c>
      <c r="AA38" s="11">
        <f t="shared" si="118"/>
        <v>1</v>
      </c>
      <c r="AB38" s="11">
        <f t="shared" si="118"/>
        <v>1</v>
      </c>
      <c r="AC38" s="11">
        <f t="shared" si="8"/>
        <v>7</v>
      </c>
      <c r="AD38" s="11">
        <f t="shared" si="9"/>
        <v>1</v>
      </c>
      <c r="AE38" s="11">
        <f t="shared" ref="AE38:AH38" si="119">IF(OR(BD38 = $AO$6, BD38 = $AS$6, BD38 = $AT$6, BD38 = $AU$6), 1, 0)</f>
        <v>1</v>
      </c>
      <c r="AF38" s="11">
        <f t="shared" si="119"/>
        <v>1</v>
      </c>
      <c r="AG38" s="11">
        <f t="shared" si="119"/>
        <v>1</v>
      </c>
      <c r="AH38" s="11">
        <f t="shared" si="119"/>
        <v>1</v>
      </c>
      <c r="AI38" s="11">
        <f t="shared" si="11"/>
        <v>4</v>
      </c>
      <c r="AJ38" s="11">
        <f t="shared" si="12"/>
        <v>12</v>
      </c>
      <c r="AK38" s="12">
        <f t="shared" si="13"/>
        <v>5</v>
      </c>
      <c r="AL38" s="13" t="str">
        <f t="shared" si="14"/>
        <v>excellent</v>
      </c>
      <c r="AM38" s="7"/>
      <c r="AN38" s="7"/>
    </row>
    <row r="39">
      <c r="A39" s="7" t="s">
        <v>119</v>
      </c>
      <c r="B39" s="7" t="s">
        <v>120</v>
      </c>
      <c r="C39" s="8" t="s">
        <v>71</v>
      </c>
      <c r="D39" s="7" t="s">
        <v>9</v>
      </c>
      <c r="E39" s="8" t="b">
        <f t="shared" ref="E39:K39" si="120">IF(IFERROR(SEARCH(E$1, $D39),0) &gt;= 1, TRUE,FALSE)</f>
        <v>0</v>
      </c>
      <c r="F39" s="8" t="b">
        <f t="shared" si="120"/>
        <v>0</v>
      </c>
      <c r="G39" s="8" t="b">
        <f t="shared" si="120"/>
        <v>0</v>
      </c>
      <c r="H39" s="8" t="b">
        <f t="shared" si="120"/>
        <v>0</v>
      </c>
      <c r="I39" s="8" t="b">
        <f t="shared" si="120"/>
        <v>0</v>
      </c>
      <c r="J39" s="8" t="b">
        <f t="shared" si="120"/>
        <v>1</v>
      </c>
      <c r="K39" s="8" t="b">
        <f t="shared" si="120"/>
        <v>0</v>
      </c>
      <c r="L39" s="9" t="b">
        <v>1</v>
      </c>
      <c r="M39" s="9" t="b">
        <v>0</v>
      </c>
      <c r="N39" s="9" t="b">
        <v>0</v>
      </c>
      <c r="O39" s="9" t="b">
        <v>0</v>
      </c>
      <c r="P39" s="7" t="str">
        <f t="shared" si="5"/>
        <v>Mu.ZEE | Kunstmuseum aan Zee</v>
      </c>
      <c r="Q39" s="10">
        <v>12.0</v>
      </c>
      <c r="R39" s="9" t="b">
        <v>1</v>
      </c>
      <c r="S39" s="9" t="b">
        <v>1</v>
      </c>
      <c r="T39" s="10">
        <v>12.0</v>
      </c>
      <c r="U39" s="11">
        <f t="shared" si="6"/>
        <v>0</v>
      </c>
      <c r="V39" s="11">
        <f t="shared" ref="V39:AB39" si="121">IF(OR(AW39 = $AO$4, AW39 = $AQ$4), 1, 0)</f>
        <v>1</v>
      </c>
      <c r="W39" s="11">
        <f t="shared" si="121"/>
        <v>1</v>
      </c>
      <c r="X39" s="11">
        <f t="shared" si="121"/>
        <v>1</v>
      </c>
      <c r="Y39" s="11">
        <f t="shared" si="121"/>
        <v>1</v>
      </c>
      <c r="Z39" s="11">
        <f t="shared" si="121"/>
        <v>1</v>
      </c>
      <c r="AA39" s="11">
        <f t="shared" si="121"/>
        <v>1</v>
      </c>
      <c r="AB39" s="11">
        <f t="shared" si="121"/>
        <v>1</v>
      </c>
      <c r="AC39" s="11">
        <f t="shared" si="8"/>
        <v>7</v>
      </c>
      <c r="AD39" s="11">
        <f t="shared" si="9"/>
        <v>1</v>
      </c>
      <c r="AE39" s="11">
        <f t="shared" ref="AE39:AH39" si="122">IF(OR(BD39 = $AO$6, BD39 = $AS$6, BD39 = $AT$6, BD39 = $AU$6), 1, 0)</f>
        <v>1</v>
      </c>
      <c r="AF39" s="11">
        <f t="shared" si="122"/>
        <v>1</v>
      </c>
      <c r="AG39" s="11">
        <f t="shared" si="122"/>
        <v>1</v>
      </c>
      <c r="AH39" s="11">
        <f t="shared" si="122"/>
        <v>1</v>
      </c>
      <c r="AI39" s="11">
        <f t="shared" si="11"/>
        <v>4</v>
      </c>
      <c r="AJ39" s="11">
        <f t="shared" si="12"/>
        <v>12</v>
      </c>
      <c r="AK39" s="12">
        <f t="shared" si="13"/>
        <v>5</v>
      </c>
      <c r="AL39" s="13" t="str">
        <f t="shared" si="14"/>
        <v>excellent</v>
      </c>
      <c r="AM39" s="7"/>
      <c r="AN39" s="7"/>
    </row>
    <row r="40">
      <c r="A40" s="7" t="s">
        <v>121</v>
      </c>
      <c r="B40" s="7" t="s">
        <v>122</v>
      </c>
      <c r="C40" s="8" t="s">
        <v>71</v>
      </c>
      <c r="D40" s="7" t="s">
        <v>4</v>
      </c>
      <c r="E40" s="8" t="b">
        <f t="shared" ref="E40:K40" si="123">IF(IFERROR(SEARCH(E$1, $D40),0) &gt;= 1, TRUE,FALSE)</f>
        <v>1</v>
      </c>
      <c r="F40" s="8" t="b">
        <f t="shared" si="123"/>
        <v>0</v>
      </c>
      <c r="G40" s="8" t="b">
        <f t="shared" si="123"/>
        <v>0</v>
      </c>
      <c r="H40" s="8" t="b">
        <f t="shared" si="123"/>
        <v>0</v>
      </c>
      <c r="I40" s="8" t="b">
        <f t="shared" si="123"/>
        <v>0</v>
      </c>
      <c r="J40" s="8" t="b">
        <f t="shared" si="123"/>
        <v>0</v>
      </c>
      <c r="K40" s="8" t="b">
        <f t="shared" si="123"/>
        <v>0</v>
      </c>
      <c r="L40" s="9" t="b">
        <v>0</v>
      </c>
      <c r="M40" s="9" t="b">
        <v>0</v>
      </c>
      <c r="N40" s="9" t="b">
        <v>0</v>
      </c>
      <c r="O40" s="9" t="b">
        <v>0</v>
      </c>
      <c r="P40" s="7" t="str">
        <f t="shared" si="5"/>
        <v>Nationaal Tabaksmuseum</v>
      </c>
      <c r="Q40" s="10">
        <v>4.5</v>
      </c>
      <c r="R40" s="9" t="b">
        <v>0</v>
      </c>
      <c r="S40" s="9" t="b">
        <v>1</v>
      </c>
      <c r="T40" s="10">
        <v>4.5</v>
      </c>
      <c r="U40" s="11">
        <f t="shared" si="6"/>
        <v>0</v>
      </c>
      <c r="V40" s="11">
        <f t="shared" ref="V40:AB40" si="124">IF(OR(AW40 = $AO$4, AW40 = $AQ$4), 1, 0)</f>
        <v>1</v>
      </c>
      <c r="W40" s="11">
        <f t="shared" si="124"/>
        <v>1</v>
      </c>
      <c r="X40" s="11">
        <f t="shared" si="124"/>
        <v>1</v>
      </c>
      <c r="Y40" s="11">
        <f t="shared" si="124"/>
        <v>1</v>
      </c>
      <c r="Z40" s="11">
        <f t="shared" si="124"/>
        <v>1</v>
      </c>
      <c r="AA40" s="11">
        <f t="shared" si="124"/>
        <v>1</v>
      </c>
      <c r="AB40" s="11">
        <f t="shared" si="124"/>
        <v>1</v>
      </c>
      <c r="AC40" s="11">
        <f t="shared" si="8"/>
        <v>7</v>
      </c>
      <c r="AD40" s="11">
        <f t="shared" si="9"/>
        <v>1</v>
      </c>
      <c r="AE40" s="11">
        <f t="shared" ref="AE40:AH40" si="125">IF(OR(BD40 = $AO$6, BD40 = $AS$6, BD40 = $AT$6, BD40 = $AU$6), 1, 0)</f>
        <v>1</v>
      </c>
      <c r="AF40" s="11">
        <f t="shared" si="125"/>
        <v>1</v>
      </c>
      <c r="AG40" s="11">
        <f t="shared" si="125"/>
        <v>1</v>
      </c>
      <c r="AH40" s="11">
        <f t="shared" si="125"/>
        <v>1</v>
      </c>
      <c r="AI40" s="11">
        <f t="shared" si="11"/>
        <v>4</v>
      </c>
      <c r="AJ40" s="11">
        <f t="shared" si="12"/>
        <v>12</v>
      </c>
      <c r="AK40" s="12">
        <f t="shared" si="13"/>
        <v>5</v>
      </c>
      <c r="AL40" s="13" t="str">
        <f t="shared" si="14"/>
        <v>excellent</v>
      </c>
      <c r="AM40" s="7"/>
      <c r="AN40" s="7"/>
    </row>
    <row r="41">
      <c r="A41" s="7" t="s">
        <v>123</v>
      </c>
      <c r="B41" s="7" t="s">
        <v>124</v>
      </c>
      <c r="C41" s="8" t="s">
        <v>71</v>
      </c>
      <c r="D41" s="7" t="s">
        <v>53</v>
      </c>
      <c r="E41" s="8" t="b">
        <f t="shared" ref="E41:K41" si="126">IF(IFERROR(SEARCH(E$1, $D41),0) &gt;= 1, TRUE,FALSE)</f>
        <v>0</v>
      </c>
      <c r="F41" s="8" t="b">
        <f t="shared" si="126"/>
        <v>1</v>
      </c>
      <c r="G41" s="8" t="b">
        <f t="shared" si="126"/>
        <v>0</v>
      </c>
      <c r="H41" s="8" t="b">
        <f t="shared" si="126"/>
        <v>0</v>
      </c>
      <c r="I41" s="8" t="b">
        <f t="shared" si="126"/>
        <v>0</v>
      </c>
      <c r="J41" s="8" t="b">
        <f t="shared" si="126"/>
        <v>1</v>
      </c>
      <c r="K41" s="8" t="b">
        <f t="shared" si="126"/>
        <v>0</v>
      </c>
      <c r="L41" s="9" t="b">
        <v>1</v>
      </c>
      <c r="M41" s="9" t="b">
        <v>1</v>
      </c>
      <c r="N41" s="9" t="b">
        <v>1</v>
      </c>
      <c r="O41" s="9" t="b">
        <v>1</v>
      </c>
      <c r="P41" s="7" t="str">
        <f t="shared" si="5"/>
        <v>NAVIGO Visserijmuseum</v>
      </c>
      <c r="Q41" s="10">
        <v>10.0</v>
      </c>
      <c r="R41" s="9" t="b">
        <v>0</v>
      </c>
      <c r="S41" s="9" t="b">
        <v>1</v>
      </c>
      <c r="T41" s="10">
        <v>0.0</v>
      </c>
      <c r="U41" s="11">
        <f t="shared" si="6"/>
        <v>0</v>
      </c>
      <c r="V41" s="11">
        <f t="shared" ref="V41:AB41" si="127">IF(OR(AW41 = $AO$4, AW41 = $AQ$4), 1, 0)</f>
        <v>1</v>
      </c>
      <c r="W41" s="11">
        <f t="shared" si="127"/>
        <v>1</v>
      </c>
      <c r="X41" s="11">
        <f t="shared" si="127"/>
        <v>1</v>
      </c>
      <c r="Y41" s="11">
        <f t="shared" si="127"/>
        <v>1</v>
      </c>
      <c r="Z41" s="11">
        <f t="shared" si="127"/>
        <v>1</v>
      </c>
      <c r="AA41" s="11">
        <f t="shared" si="127"/>
        <v>1</v>
      </c>
      <c r="AB41" s="11">
        <f t="shared" si="127"/>
        <v>1</v>
      </c>
      <c r="AC41" s="11">
        <f t="shared" si="8"/>
        <v>7</v>
      </c>
      <c r="AD41" s="11">
        <f t="shared" si="9"/>
        <v>1</v>
      </c>
      <c r="AE41" s="11">
        <f t="shared" ref="AE41:AH41" si="128">IF(OR(BD41 = $AO$6, BD41 = $AS$6, BD41 = $AT$6, BD41 = $AU$6), 1, 0)</f>
        <v>1</v>
      </c>
      <c r="AF41" s="11">
        <f t="shared" si="128"/>
        <v>1</v>
      </c>
      <c r="AG41" s="11">
        <f t="shared" si="128"/>
        <v>1</v>
      </c>
      <c r="AH41" s="11">
        <f t="shared" si="128"/>
        <v>1</v>
      </c>
      <c r="AI41" s="11">
        <f t="shared" si="11"/>
        <v>4</v>
      </c>
      <c r="AJ41" s="11">
        <f t="shared" si="12"/>
        <v>12</v>
      </c>
      <c r="AK41" s="12">
        <f t="shared" si="13"/>
        <v>5</v>
      </c>
      <c r="AL41" s="13" t="str">
        <f t="shared" si="14"/>
        <v>excellent</v>
      </c>
      <c r="AM41" s="7"/>
      <c r="AN41" s="7"/>
    </row>
    <row r="42">
      <c r="A42" s="7" t="s">
        <v>125</v>
      </c>
      <c r="B42" s="7" t="s">
        <v>126</v>
      </c>
      <c r="C42" s="8" t="s">
        <v>71</v>
      </c>
      <c r="D42" s="7" t="s">
        <v>127</v>
      </c>
      <c r="E42" s="8" t="b">
        <f t="shared" ref="E42:K42" si="129">IF(IFERROR(SEARCH(E$1, $D42),0) &gt;= 1, TRUE,FALSE)</f>
        <v>0</v>
      </c>
      <c r="F42" s="8" t="b">
        <f t="shared" si="129"/>
        <v>0</v>
      </c>
      <c r="G42" s="8" t="b">
        <f t="shared" si="129"/>
        <v>0</v>
      </c>
      <c r="H42" s="8" t="b">
        <f t="shared" si="129"/>
        <v>0</v>
      </c>
      <c r="I42" s="8" t="b">
        <f t="shared" si="129"/>
        <v>1</v>
      </c>
      <c r="J42" s="8" t="b">
        <f t="shared" si="129"/>
        <v>1</v>
      </c>
      <c r="K42" s="8" t="b">
        <f t="shared" si="129"/>
        <v>0</v>
      </c>
      <c r="L42" s="9" t="b">
        <v>0</v>
      </c>
      <c r="M42" s="9" t="b">
        <v>0</v>
      </c>
      <c r="N42" s="9" t="b">
        <v>0</v>
      </c>
      <c r="O42" s="9" t="b">
        <v>0</v>
      </c>
      <c r="P42" s="7" t="str">
        <f t="shared" si="5"/>
        <v>O.L.V.-kerk Museum</v>
      </c>
      <c r="Q42" s="10">
        <v>8.0</v>
      </c>
      <c r="R42" s="9" t="b">
        <v>0</v>
      </c>
      <c r="S42" s="9" t="b">
        <v>0</v>
      </c>
      <c r="T42" s="7"/>
      <c r="U42" s="11">
        <f t="shared" si="6"/>
        <v>0</v>
      </c>
      <c r="V42" s="11">
        <f t="shared" ref="V42:AB42" si="130">IF(OR(AW42 = $AO$4, AW42 = $AQ$4), 1, 0)</f>
        <v>1</v>
      </c>
      <c r="W42" s="11">
        <f t="shared" si="130"/>
        <v>1</v>
      </c>
      <c r="X42" s="11">
        <f t="shared" si="130"/>
        <v>1</v>
      </c>
      <c r="Y42" s="11">
        <f t="shared" si="130"/>
        <v>1</v>
      </c>
      <c r="Z42" s="11">
        <f t="shared" si="130"/>
        <v>1</v>
      </c>
      <c r="AA42" s="11">
        <f t="shared" si="130"/>
        <v>1</v>
      </c>
      <c r="AB42" s="11">
        <f t="shared" si="130"/>
        <v>1</v>
      </c>
      <c r="AC42" s="11">
        <f t="shared" si="8"/>
        <v>7</v>
      </c>
      <c r="AD42" s="11">
        <f t="shared" si="9"/>
        <v>1</v>
      </c>
      <c r="AE42" s="11">
        <f t="shared" ref="AE42:AH42" si="131">IF(OR(BD42 = $AO$6, BD42 = $AS$6, BD42 = $AT$6, BD42 = $AU$6), 1, 0)</f>
        <v>1</v>
      </c>
      <c r="AF42" s="11">
        <f t="shared" si="131"/>
        <v>1</v>
      </c>
      <c r="AG42" s="11">
        <f t="shared" si="131"/>
        <v>1</v>
      </c>
      <c r="AH42" s="11">
        <f t="shared" si="131"/>
        <v>1</v>
      </c>
      <c r="AI42" s="11">
        <f t="shared" si="11"/>
        <v>4</v>
      </c>
      <c r="AJ42" s="11">
        <f t="shared" si="12"/>
        <v>12</v>
      </c>
      <c r="AK42" s="12">
        <f t="shared" si="13"/>
        <v>5</v>
      </c>
      <c r="AL42" s="13" t="str">
        <f t="shared" si="14"/>
        <v>excellent</v>
      </c>
      <c r="AM42" s="7"/>
      <c r="AN42" s="7"/>
    </row>
    <row r="43">
      <c r="A43" s="7" t="s">
        <v>128</v>
      </c>
      <c r="B43" s="7" t="s">
        <v>129</v>
      </c>
      <c r="C43" s="8" t="s">
        <v>71</v>
      </c>
      <c r="D43" s="7" t="s">
        <v>75</v>
      </c>
      <c r="E43" s="8" t="b">
        <f t="shared" ref="E43:K43" si="132">IF(IFERROR(SEARCH(E$1, $D43),0) &gt;= 1, TRUE,FALSE)</f>
        <v>1</v>
      </c>
      <c r="F43" s="8" t="b">
        <f t="shared" si="132"/>
        <v>0</v>
      </c>
      <c r="G43" s="8" t="b">
        <f t="shared" si="132"/>
        <v>0</v>
      </c>
      <c r="H43" s="8" t="b">
        <f t="shared" si="132"/>
        <v>0</v>
      </c>
      <c r="I43" s="8" t="b">
        <f t="shared" si="132"/>
        <v>1</v>
      </c>
      <c r="J43" s="8" t="b">
        <f t="shared" si="132"/>
        <v>1</v>
      </c>
      <c r="K43" s="8" t="b">
        <f t="shared" si="132"/>
        <v>1</v>
      </c>
      <c r="L43" s="9" t="b">
        <v>0</v>
      </c>
      <c r="M43" s="9" t="b">
        <v>0</v>
      </c>
      <c r="N43" s="9" t="b">
        <v>0</v>
      </c>
      <c r="O43" s="9" t="b">
        <v>0</v>
      </c>
      <c r="P43" s="7" t="str">
        <f t="shared" si="5"/>
        <v>O.L.V. ter Potterie</v>
      </c>
      <c r="Q43" s="10">
        <v>8.0</v>
      </c>
      <c r="R43" s="9" t="b">
        <v>0</v>
      </c>
      <c r="S43" s="9" t="b">
        <v>0</v>
      </c>
      <c r="T43" s="7"/>
      <c r="U43" s="11">
        <f t="shared" si="6"/>
        <v>0</v>
      </c>
      <c r="V43" s="11">
        <f t="shared" ref="V43:AB43" si="133">IF(OR(AW43 = $AO$4, AW43 = $AQ$4), 1, 0)</f>
        <v>1</v>
      </c>
      <c r="W43" s="11">
        <f t="shared" si="133"/>
        <v>1</v>
      </c>
      <c r="X43" s="11">
        <f t="shared" si="133"/>
        <v>1</v>
      </c>
      <c r="Y43" s="11">
        <f t="shared" si="133"/>
        <v>1</v>
      </c>
      <c r="Z43" s="11">
        <f t="shared" si="133"/>
        <v>1</v>
      </c>
      <c r="AA43" s="11">
        <f t="shared" si="133"/>
        <v>1</v>
      </c>
      <c r="AB43" s="11">
        <f t="shared" si="133"/>
        <v>1</v>
      </c>
      <c r="AC43" s="11">
        <f t="shared" si="8"/>
        <v>7</v>
      </c>
      <c r="AD43" s="11">
        <f t="shared" si="9"/>
        <v>1</v>
      </c>
      <c r="AE43" s="11">
        <f t="shared" ref="AE43:AH43" si="134">IF(OR(BD43 = $AO$6, BD43 = $AS$6, BD43 = $AT$6, BD43 = $AU$6), 1, 0)</f>
        <v>1</v>
      </c>
      <c r="AF43" s="11">
        <f t="shared" si="134"/>
        <v>1</v>
      </c>
      <c r="AG43" s="11">
        <f t="shared" si="134"/>
        <v>1</v>
      </c>
      <c r="AH43" s="11">
        <f t="shared" si="134"/>
        <v>1</v>
      </c>
      <c r="AI43" s="11">
        <f t="shared" si="11"/>
        <v>4</v>
      </c>
      <c r="AJ43" s="11">
        <f t="shared" si="12"/>
        <v>12</v>
      </c>
      <c r="AK43" s="12">
        <f t="shared" si="13"/>
        <v>5</v>
      </c>
      <c r="AL43" s="13" t="str">
        <f t="shared" si="14"/>
        <v>excellent</v>
      </c>
      <c r="AM43" s="7"/>
      <c r="AN43" s="7"/>
    </row>
    <row r="44">
      <c r="A44" s="7" t="s">
        <v>130</v>
      </c>
      <c r="B44" s="7"/>
      <c r="C44" s="8" t="s">
        <v>71</v>
      </c>
      <c r="D44" s="7" t="s">
        <v>4</v>
      </c>
      <c r="E44" s="8" t="b">
        <f t="shared" ref="E44:K44" si="135">IF(IFERROR(SEARCH(E$1, $D44),0) &gt;= 1, TRUE,FALSE)</f>
        <v>1</v>
      </c>
      <c r="F44" s="8" t="b">
        <f t="shared" si="135"/>
        <v>0</v>
      </c>
      <c r="G44" s="8" t="b">
        <f t="shared" si="135"/>
        <v>0</v>
      </c>
      <c r="H44" s="8" t="b">
        <f t="shared" si="135"/>
        <v>0</v>
      </c>
      <c r="I44" s="8" t="b">
        <f t="shared" si="135"/>
        <v>0</v>
      </c>
      <c r="J44" s="8" t="b">
        <f t="shared" si="135"/>
        <v>0</v>
      </c>
      <c r="K44" s="8" t="b">
        <f t="shared" si="135"/>
        <v>0</v>
      </c>
      <c r="L44" s="9" t="b">
        <v>1</v>
      </c>
      <c r="M44" s="9" t="b">
        <v>0</v>
      </c>
      <c r="N44" s="9" t="b">
        <v>1</v>
      </c>
      <c r="O44" s="9" t="b">
        <v>0</v>
      </c>
      <c r="P44" s="7" t="str">
        <f t="shared" si="5"/>
        <v>Passchendaele Museum</v>
      </c>
      <c r="Q44" s="10">
        <v>13.0</v>
      </c>
      <c r="R44" s="9" t="b">
        <v>0</v>
      </c>
      <c r="S44" s="9" t="b">
        <v>1</v>
      </c>
      <c r="T44" s="10">
        <v>13.0</v>
      </c>
      <c r="U44" s="11">
        <f t="shared" si="6"/>
        <v>0</v>
      </c>
      <c r="V44" s="11">
        <f t="shared" ref="V44:AB44" si="136">IF(OR(AW44 = $AO$4, AW44 = $AQ$4), 1, 0)</f>
        <v>1</v>
      </c>
      <c r="W44" s="11">
        <f t="shared" si="136"/>
        <v>1</v>
      </c>
      <c r="X44" s="11">
        <f t="shared" si="136"/>
        <v>1</v>
      </c>
      <c r="Y44" s="11">
        <f t="shared" si="136"/>
        <v>1</v>
      </c>
      <c r="Z44" s="11">
        <f t="shared" si="136"/>
        <v>1</v>
      </c>
      <c r="AA44" s="11">
        <f t="shared" si="136"/>
        <v>1</v>
      </c>
      <c r="AB44" s="11">
        <f t="shared" si="136"/>
        <v>1</v>
      </c>
      <c r="AC44" s="11">
        <f t="shared" si="8"/>
        <v>7</v>
      </c>
      <c r="AD44" s="11">
        <f t="shared" si="9"/>
        <v>1</v>
      </c>
      <c r="AE44" s="11">
        <f t="shared" ref="AE44:AH44" si="137">IF(OR(BD44 = $AO$6, BD44 = $AS$6, BD44 = $AT$6, BD44 = $AU$6), 1, 0)</f>
        <v>1</v>
      </c>
      <c r="AF44" s="11">
        <f t="shared" si="137"/>
        <v>1</v>
      </c>
      <c r="AG44" s="11">
        <f t="shared" si="137"/>
        <v>1</v>
      </c>
      <c r="AH44" s="11">
        <f t="shared" si="137"/>
        <v>1</v>
      </c>
      <c r="AI44" s="11">
        <f t="shared" si="11"/>
        <v>4</v>
      </c>
      <c r="AJ44" s="11">
        <f t="shared" si="12"/>
        <v>12</v>
      </c>
      <c r="AK44" s="12">
        <f t="shared" si="13"/>
        <v>5</v>
      </c>
      <c r="AL44" s="13" t="str">
        <f t="shared" si="14"/>
        <v>excellent</v>
      </c>
      <c r="AM44" s="7"/>
      <c r="AN44" s="7"/>
    </row>
    <row r="45">
      <c r="A45" s="7" t="s">
        <v>131</v>
      </c>
      <c r="B45" s="7" t="s">
        <v>132</v>
      </c>
      <c r="C45" s="8" t="s">
        <v>71</v>
      </c>
      <c r="D45" s="7" t="s">
        <v>9</v>
      </c>
      <c r="E45" s="8" t="b">
        <f t="shared" ref="E45:K45" si="138">IF(IFERROR(SEARCH(E$1, $D45),0) &gt;= 1, TRUE,FALSE)</f>
        <v>0</v>
      </c>
      <c r="F45" s="8" t="b">
        <f t="shared" si="138"/>
        <v>0</v>
      </c>
      <c r="G45" s="8" t="b">
        <f t="shared" si="138"/>
        <v>0</v>
      </c>
      <c r="H45" s="8" t="b">
        <f t="shared" si="138"/>
        <v>0</v>
      </c>
      <c r="I45" s="8" t="b">
        <f t="shared" si="138"/>
        <v>0</v>
      </c>
      <c r="J45" s="8" t="b">
        <f t="shared" si="138"/>
        <v>1</v>
      </c>
      <c r="K45" s="8" t="b">
        <f t="shared" si="138"/>
        <v>0</v>
      </c>
      <c r="L45" s="9" t="b">
        <v>1</v>
      </c>
      <c r="M45" s="9" t="b">
        <v>1</v>
      </c>
      <c r="N45" s="9" t="b">
        <v>1</v>
      </c>
      <c r="O45" s="9" t="b">
        <v>0</v>
      </c>
      <c r="P45" s="7" t="str">
        <f t="shared" si="5"/>
        <v>Paul Delvaux Museum</v>
      </c>
      <c r="Q45" s="10">
        <v>12.0</v>
      </c>
      <c r="R45" s="9" t="b">
        <v>0</v>
      </c>
      <c r="S45" s="9" t="b">
        <v>0</v>
      </c>
      <c r="T45" s="7"/>
      <c r="U45" s="11">
        <f t="shared" si="6"/>
        <v>0</v>
      </c>
      <c r="V45" s="11">
        <f t="shared" ref="V45:AB45" si="139">IF(OR(AW45 = $AO$4, AW45 = $AQ$4), 1, 0)</f>
        <v>1</v>
      </c>
      <c r="W45" s="11">
        <f t="shared" si="139"/>
        <v>1</v>
      </c>
      <c r="X45" s="11">
        <f t="shared" si="139"/>
        <v>1</v>
      </c>
      <c r="Y45" s="11">
        <f t="shared" si="139"/>
        <v>1</v>
      </c>
      <c r="Z45" s="11">
        <f t="shared" si="139"/>
        <v>1</v>
      </c>
      <c r="AA45" s="11">
        <f t="shared" si="139"/>
        <v>1</v>
      </c>
      <c r="AB45" s="11">
        <f t="shared" si="139"/>
        <v>1</v>
      </c>
      <c r="AC45" s="11">
        <f t="shared" si="8"/>
        <v>7</v>
      </c>
      <c r="AD45" s="11">
        <f t="shared" si="9"/>
        <v>1</v>
      </c>
      <c r="AE45" s="11">
        <f t="shared" ref="AE45:AH45" si="140">IF(OR(BD45 = $AO$6, BD45 = $AS$6, BD45 = $AT$6, BD45 = $AU$6), 1, 0)</f>
        <v>1</v>
      </c>
      <c r="AF45" s="11">
        <f t="shared" si="140"/>
        <v>1</v>
      </c>
      <c r="AG45" s="11">
        <f t="shared" si="140"/>
        <v>1</v>
      </c>
      <c r="AH45" s="11">
        <f t="shared" si="140"/>
        <v>1</v>
      </c>
      <c r="AI45" s="11">
        <f t="shared" si="11"/>
        <v>4</v>
      </c>
      <c r="AJ45" s="11">
        <f t="shared" si="12"/>
        <v>12</v>
      </c>
      <c r="AK45" s="12">
        <f t="shared" si="13"/>
        <v>5</v>
      </c>
      <c r="AL45" s="13" t="str">
        <f t="shared" si="14"/>
        <v>excellent</v>
      </c>
      <c r="AM45" s="7"/>
      <c r="AN45" s="7"/>
    </row>
    <row r="46">
      <c r="A46" s="7" t="s">
        <v>133</v>
      </c>
      <c r="B46" s="7"/>
      <c r="C46" s="8" t="s">
        <v>71</v>
      </c>
      <c r="D46" s="7" t="s">
        <v>9</v>
      </c>
      <c r="E46" s="8" t="b">
        <f t="shared" ref="E46:K46" si="141">IF(IFERROR(SEARCH(E$1, $D46),0) &gt;= 1, TRUE,FALSE)</f>
        <v>0</v>
      </c>
      <c r="F46" s="8" t="b">
        <f t="shared" si="141"/>
        <v>0</v>
      </c>
      <c r="G46" s="8" t="b">
        <f t="shared" si="141"/>
        <v>0</v>
      </c>
      <c r="H46" s="8" t="b">
        <f t="shared" si="141"/>
        <v>0</v>
      </c>
      <c r="I46" s="8" t="b">
        <f t="shared" si="141"/>
        <v>0</v>
      </c>
      <c r="J46" s="8" t="b">
        <f t="shared" si="141"/>
        <v>1</v>
      </c>
      <c r="K46" s="8" t="b">
        <f t="shared" si="141"/>
        <v>0</v>
      </c>
      <c r="L46" s="9" t="b">
        <v>1</v>
      </c>
      <c r="M46" s="9" t="b">
        <v>0</v>
      </c>
      <c r="N46" s="9" t="b">
        <v>0</v>
      </c>
      <c r="O46" s="9" t="b">
        <v>0</v>
      </c>
      <c r="P46" s="7" t="str">
        <f t="shared" si="5"/>
        <v>Peiremuzee</v>
      </c>
      <c r="Q46" s="10">
        <v>12.0</v>
      </c>
      <c r="R46" s="9" t="b">
        <v>0</v>
      </c>
      <c r="S46" s="9" t="b">
        <v>0</v>
      </c>
      <c r="T46" s="7"/>
      <c r="U46" s="11">
        <f t="shared" si="6"/>
        <v>0</v>
      </c>
      <c r="V46" s="11">
        <f t="shared" ref="V46:AB46" si="142">IF(OR(AW46 = $AO$4, AW46 = $AQ$4), 1, 0)</f>
        <v>1</v>
      </c>
      <c r="W46" s="11">
        <f t="shared" si="142"/>
        <v>1</v>
      </c>
      <c r="X46" s="11">
        <f t="shared" si="142"/>
        <v>1</v>
      </c>
      <c r="Y46" s="11">
        <f t="shared" si="142"/>
        <v>1</v>
      </c>
      <c r="Z46" s="11">
        <f t="shared" si="142"/>
        <v>1</v>
      </c>
      <c r="AA46" s="11">
        <f t="shared" si="142"/>
        <v>1</v>
      </c>
      <c r="AB46" s="11">
        <f t="shared" si="142"/>
        <v>1</v>
      </c>
      <c r="AC46" s="11">
        <f t="shared" si="8"/>
        <v>7</v>
      </c>
      <c r="AD46" s="11">
        <f t="shared" si="9"/>
        <v>1</v>
      </c>
      <c r="AE46" s="11">
        <f t="shared" ref="AE46:AH46" si="143">IF(OR(BD46 = $AO$6, BD46 = $AS$6, BD46 = $AT$6, BD46 = $AU$6), 1, 0)</f>
        <v>1</v>
      </c>
      <c r="AF46" s="11">
        <f t="shared" si="143"/>
        <v>1</v>
      </c>
      <c r="AG46" s="11">
        <f t="shared" si="143"/>
        <v>1</v>
      </c>
      <c r="AH46" s="11">
        <f t="shared" si="143"/>
        <v>1</v>
      </c>
      <c r="AI46" s="11">
        <f t="shared" si="11"/>
        <v>4</v>
      </c>
      <c r="AJ46" s="11">
        <f t="shared" si="12"/>
        <v>12</v>
      </c>
      <c r="AK46" s="12">
        <f t="shared" si="13"/>
        <v>5</v>
      </c>
      <c r="AL46" s="13" t="str">
        <f t="shared" si="14"/>
        <v>excellent</v>
      </c>
      <c r="AM46" s="7"/>
      <c r="AN46" s="7"/>
    </row>
    <row r="47">
      <c r="A47" s="7" t="s">
        <v>134</v>
      </c>
      <c r="B47" s="7" t="s">
        <v>135</v>
      </c>
      <c r="C47" s="8" t="s">
        <v>71</v>
      </c>
      <c r="D47" s="7" t="s">
        <v>9</v>
      </c>
      <c r="E47" s="8" t="b">
        <f t="shared" ref="E47:K47" si="144">IF(IFERROR(SEARCH(E$1, $D47),0) &gt;= 1, TRUE,FALSE)</f>
        <v>0</v>
      </c>
      <c r="F47" s="8" t="b">
        <f t="shared" si="144"/>
        <v>0</v>
      </c>
      <c r="G47" s="8" t="b">
        <f t="shared" si="144"/>
        <v>0</v>
      </c>
      <c r="H47" s="8" t="b">
        <f t="shared" si="144"/>
        <v>0</v>
      </c>
      <c r="I47" s="8" t="b">
        <f t="shared" si="144"/>
        <v>0</v>
      </c>
      <c r="J47" s="8" t="b">
        <f t="shared" si="144"/>
        <v>1</v>
      </c>
      <c r="K47" s="8" t="b">
        <f t="shared" si="144"/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7" t="str">
        <f t="shared" si="5"/>
        <v>Permekemuseum</v>
      </c>
      <c r="Q47" s="10">
        <v>12.0</v>
      </c>
      <c r="R47" s="9" t="b">
        <v>0</v>
      </c>
      <c r="S47" s="9" t="b">
        <v>0</v>
      </c>
      <c r="T47" s="7"/>
      <c r="U47" s="11">
        <f t="shared" si="6"/>
        <v>0</v>
      </c>
      <c r="V47" s="11">
        <f t="shared" ref="V47:AB47" si="145">IF(OR(AW47 = $AO$4, AW47 = $AQ$4), 1, 0)</f>
        <v>1</v>
      </c>
      <c r="W47" s="11">
        <f t="shared" si="145"/>
        <v>1</v>
      </c>
      <c r="X47" s="11">
        <f t="shared" si="145"/>
        <v>1</v>
      </c>
      <c r="Y47" s="11">
        <f t="shared" si="145"/>
        <v>1</v>
      </c>
      <c r="Z47" s="11">
        <f t="shared" si="145"/>
        <v>1</v>
      </c>
      <c r="AA47" s="11">
        <f t="shared" si="145"/>
        <v>1</v>
      </c>
      <c r="AB47" s="11">
        <f t="shared" si="145"/>
        <v>1</v>
      </c>
      <c r="AC47" s="11">
        <f t="shared" si="8"/>
        <v>7</v>
      </c>
      <c r="AD47" s="11">
        <f t="shared" si="9"/>
        <v>1</v>
      </c>
      <c r="AE47" s="11">
        <f t="shared" ref="AE47:AH47" si="146">IF(OR(BD47 = $AO$6, BD47 = $AS$6, BD47 = $AT$6, BD47 = $AU$6), 1, 0)</f>
        <v>1</v>
      </c>
      <c r="AF47" s="11">
        <f t="shared" si="146"/>
        <v>1</v>
      </c>
      <c r="AG47" s="11">
        <f t="shared" si="146"/>
        <v>1</v>
      </c>
      <c r="AH47" s="11">
        <f t="shared" si="146"/>
        <v>1</v>
      </c>
      <c r="AI47" s="11">
        <f t="shared" si="11"/>
        <v>4</v>
      </c>
      <c r="AJ47" s="11">
        <f t="shared" si="12"/>
        <v>12</v>
      </c>
      <c r="AK47" s="12">
        <f t="shared" si="13"/>
        <v>5</v>
      </c>
      <c r="AL47" s="13" t="str">
        <f t="shared" si="14"/>
        <v>excellent</v>
      </c>
      <c r="AM47" s="7"/>
      <c r="AN47" s="7"/>
    </row>
    <row r="48">
      <c r="A48" s="7" t="s">
        <v>136</v>
      </c>
      <c r="B48" s="7" t="s">
        <v>137</v>
      </c>
      <c r="C48" s="8" t="s">
        <v>71</v>
      </c>
      <c r="D48" s="7" t="s">
        <v>4</v>
      </c>
      <c r="E48" s="8" t="b">
        <f t="shared" ref="E48:K48" si="147">IF(IFERROR(SEARCH(E$1, $D48),0) &gt;= 1, TRUE,FALSE)</f>
        <v>1</v>
      </c>
      <c r="F48" s="8" t="b">
        <f t="shared" si="147"/>
        <v>0</v>
      </c>
      <c r="G48" s="8" t="b">
        <f t="shared" si="147"/>
        <v>0</v>
      </c>
      <c r="H48" s="8" t="b">
        <f t="shared" si="147"/>
        <v>0</v>
      </c>
      <c r="I48" s="8" t="b">
        <f t="shared" si="147"/>
        <v>0</v>
      </c>
      <c r="J48" s="8" t="b">
        <f t="shared" si="147"/>
        <v>0</v>
      </c>
      <c r="K48" s="8" t="b">
        <f t="shared" si="147"/>
        <v>0</v>
      </c>
      <c r="L48" s="9" t="b">
        <v>1</v>
      </c>
      <c r="M48" s="9" t="b">
        <v>1</v>
      </c>
      <c r="N48" s="9" t="b">
        <v>1</v>
      </c>
      <c r="O48" s="9" t="b">
        <v>0</v>
      </c>
      <c r="P48" s="7" t="str">
        <f t="shared" si="5"/>
        <v>Romeins Archeologisch Museum Oudenburg</v>
      </c>
      <c r="Q48" s="14">
        <v>8.0</v>
      </c>
      <c r="R48" s="9" t="b">
        <v>0</v>
      </c>
      <c r="S48" s="9" t="b">
        <v>0</v>
      </c>
      <c r="T48" s="7"/>
      <c r="U48" s="11">
        <f t="shared" si="6"/>
        <v>0</v>
      </c>
      <c r="V48" s="11">
        <f t="shared" ref="V48:AB48" si="148">IF(OR(AW48 = $AO$4, AW48 = $AQ$4), 1, 0)</f>
        <v>1</v>
      </c>
      <c r="W48" s="11">
        <f t="shared" si="148"/>
        <v>1</v>
      </c>
      <c r="X48" s="11">
        <f t="shared" si="148"/>
        <v>1</v>
      </c>
      <c r="Y48" s="11">
        <f t="shared" si="148"/>
        <v>1</v>
      </c>
      <c r="Z48" s="11">
        <f t="shared" si="148"/>
        <v>1</v>
      </c>
      <c r="AA48" s="11">
        <f t="shared" si="148"/>
        <v>1</v>
      </c>
      <c r="AB48" s="11">
        <f t="shared" si="148"/>
        <v>1</v>
      </c>
      <c r="AC48" s="11">
        <f t="shared" si="8"/>
        <v>7</v>
      </c>
      <c r="AD48" s="11">
        <f t="shared" si="9"/>
        <v>1</v>
      </c>
      <c r="AE48" s="11">
        <f t="shared" ref="AE48:AH48" si="149">IF(OR(BD48 = $AO$6, BD48 = $AS$6, BD48 = $AT$6, BD48 = $AU$6), 1, 0)</f>
        <v>1</v>
      </c>
      <c r="AF48" s="11">
        <f t="shared" si="149"/>
        <v>1</v>
      </c>
      <c r="AG48" s="11">
        <f t="shared" si="149"/>
        <v>1</v>
      </c>
      <c r="AH48" s="11">
        <f t="shared" si="149"/>
        <v>1</v>
      </c>
      <c r="AI48" s="11">
        <f t="shared" si="11"/>
        <v>4</v>
      </c>
      <c r="AJ48" s="11">
        <f t="shared" si="12"/>
        <v>12</v>
      </c>
      <c r="AK48" s="12">
        <f t="shared" si="13"/>
        <v>5</v>
      </c>
      <c r="AL48" s="13" t="str">
        <f t="shared" si="14"/>
        <v>excellent</v>
      </c>
      <c r="AM48" s="7"/>
      <c r="AN48" s="7"/>
    </row>
    <row r="49">
      <c r="A49" s="7" t="s">
        <v>138</v>
      </c>
      <c r="B49" s="7" t="s">
        <v>139</v>
      </c>
      <c r="C49" s="8" t="s">
        <v>71</v>
      </c>
      <c r="D49" s="7" t="s">
        <v>114</v>
      </c>
      <c r="E49" s="8" t="b">
        <f t="shared" ref="E49:K49" si="150">IF(IFERROR(SEARCH(E$1, $D49),0) &gt;= 1, TRUE,FALSE)</f>
        <v>1</v>
      </c>
      <c r="F49" s="8" t="b">
        <f t="shared" si="150"/>
        <v>1</v>
      </c>
      <c r="G49" s="8" t="b">
        <f t="shared" si="150"/>
        <v>0</v>
      </c>
      <c r="H49" s="8" t="b">
        <f t="shared" si="150"/>
        <v>0</v>
      </c>
      <c r="I49" s="8" t="b">
        <f t="shared" si="150"/>
        <v>0</v>
      </c>
      <c r="J49" s="8" t="b">
        <f t="shared" si="150"/>
        <v>0</v>
      </c>
      <c r="K49" s="8" t="b">
        <f t="shared" si="150"/>
        <v>0</v>
      </c>
      <c r="L49" s="9" t="b">
        <v>0</v>
      </c>
      <c r="M49" s="9" t="b">
        <v>0</v>
      </c>
      <c r="N49" s="9" t="b">
        <v>0</v>
      </c>
      <c r="O49" s="9" t="b">
        <v>0</v>
      </c>
      <c r="P49" s="7" t="str">
        <f t="shared" si="5"/>
        <v>Sint-Janshuismolen</v>
      </c>
      <c r="Q49" s="10">
        <v>5.0</v>
      </c>
      <c r="R49" s="9" t="b">
        <v>0</v>
      </c>
      <c r="S49" s="9" t="b">
        <v>0</v>
      </c>
      <c r="T49" s="7"/>
      <c r="U49" s="11">
        <f t="shared" si="6"/>
        <v>0</v>
      </c>
      <c r="V49" s="11">
        <f t="shared" ref="V49:AB49" si="151">IF(OR(AW49 = $AO$4, AW49 = $AQ$4), 1, 0)</f>
        <v>1</v>
      </c>
      <c r="W49" s="11">
        <f t="shared" si="151"/>
        <v>1</v>
      </c>
      <c r="X49" s="11">
        <f t="shared" si="151"/>
        <v>1</v>
      </c>
      <c r="Y49" s="11">
        <f t="shared" si="151"/>
        <v>1</v>
      </c>
      <c r="Z49" s="11">
        <f t="shared" si="151"/>
        <v>1</v>
      </c>
      <c r="AA49" s="11">
        <f t="shared" si="151"/>
        <v>1</v>
      </c>
      <c r="AB49" s="11">
        <f t="shared" si="151"/>
        <v>1</v>
      </c>
      <c r="AC49" s="11">
        <f t="shared" si="8"/>
        <v>7</v>
      </c>
      <c r="AD49" s="11">
        <f t="shared" si="9"/>
        <v>1</v>
      </c>
      <c r="AE49" s="11">
        <f t="shared" ref="AE49:AH49" si="152">IF(OR(BD49 = $AO$6, BD49 = $AS$6, BD49 = $AT$6, BD49 = $AU$6), 1, 0)</f>
        <v>1</v>
      </c>
      <c r="AF49" s="11">
        <f t="shared" si="152"/>
        <v>1</v>
      </c>
      <c r="AG49" s="11">
        <f t="shared" si="152"/>
        <v>1</v>
      </c>
      <c r="AH49" s="11">
        <f t="shared" si="152"/>
        <v>1</v>
      </c>
      <c r="AI49" s="11">
        <f t="shared" si="11"/>
        <v>4</v>
      </c>
      <c r="AJ49" s="11">
        <f t="shared" si="12"/>
        <v>12</v>
      </c>
      <c r="AK49" s="12">
        <f t="shared" si="13"/>
        <v>5</v>
      </c>
      <c r="AL49" s="13" t="str">
        <f t="shared" si="14"/>
        <v>excellent</v>
      </c>
      <c r="AM49" s="7"/>
      <c r="AN49" s="7"/>
    </row>
    <row r="50">
      <c r="A50" s="7" t="s">
        <v>140</v>
      </c>
      <c r="B50" s="7" t="s">
        <v>141</v>
      </c>
      <c r="C50" s="8" t="s">
        <v>71</v>
      </c>
      <c r="D50" s="7" t="s">
        <v>75</v>
      </c>
      <c r="E50" s="8" t="b">
        <f t="shared" ref="E50:K50" si="153">IF(IFERROR(SEARCH(E$1, $D50),0) &gt;= 1, TRUE,FALSE)</f>
        <v>1</v>
      </c>
      <c r="F50" s="8" t="b">
        <f t="shared" si="153"/>
        <v>0</v>
      </c>
      <c r="G50" s="8" t="b">
        <f t="shared" si="153"/>
        <v>0</v>
      </c>
      <c r="H50" s="8" t="b">
        <f t="shared" si="153"/>
        <v>0</v>
      </c>
      <c r="I50" s="8" t="b">
        <f t="shared" si="153"/>
        <v>1</v>
      </c>
      <c r="J50" s="8" t="b">
        <f t="shared" si="153"/>
        <v>1</v>
      </c>
      <c r="K50" s="8" t="b">
        <f t="shared" si="153"/>
        <v>1</v>
      </c>
      <c r="L50" s="9" t="b">
        <v>0</v>
      </c>
      <c r="M50" s="9" t="b">
        <v>0</v>
      </c>
      <c r="N50" s="9" t="b">
        <v>0</v>
      </c>
      <c r="O50" s="9" t="b">
        <v>0</v>
      </c>
      <c r="P50" s="7" t="str">
        <f t="shared" si="5"/>
        <v>Stadhuis Brugge</v>
      </c>
      <c r="Q50" s="10">
        <v>8.0</v>
      </c>
      <c r="R50" s="9" t="b">
        <v>0</v>
      </c>
      <c r="S50" s="9" t="b">
        <v>0</v>
      </c>
      <c r="T50" s="7"/>
      <c r="U50" s="11">
        <f t="shared" si="6"/>
        <v>0</v>
      </c>
      <c r="V50" s="11">
        <f t="shared" ref="V50:AB50" si="154">IF(OR(AW50 = $AO$4, AW50 = $AQ$4), 1, 0)</f>
        <v>1</v>
      </c>
      <c r="W50" s="11">
        <f t="shared" si="154"/>
        <v>1</v>
      </c>
      <c r="X50" s="11">
        <f t="shared" si="154"/>
        <v>1</v>
      </c>
      <c r="Y50" s="11">
        <f t="shared" si="154"/>
        <v>1</v>
      </c>
      <c r="Z50" s="11">
        <f t="shared" si="154"/>
        <v>1</v>
      </c>
      <c r="AA50" s="11">
        <f t="shared" si="154"/>
        <v>1</v>
      </c>
      <c r="AB50" s="11">
        <f t="shared" si="154"/>
        <v>1</v>
      </c>
      <c r="AC50" s="11">
        <f t="shared" si="8"/>
        <v>7</v>
      </c>
      <c r="AD50" s="11">
        <f t="shared" si="9"/>
        <v>1</v>
      </c>
      <c r="AE50" s="11">
        <f t="shared" ref="AE50:AH50" si="155">IF(OR(BD50 = $AO$6, BD50 = $AS$6, BD50 = $AT$6, BD50 = $AU$6), 1, 0)</f>
        <v>1</v>
      </c>
      <c r="AF50" s="11">
        <f t="shared" si="155"/>
        <v>1</v>
      </c>
      <c r="AG50" s="11">
        <f t="shared" si="155"/>
        <v>1</v>
      </c>
      <c r="AH50" s="11">
        <f t="shared" si="155"/>
        <v>1</v>
      </c>
      <c r="AI50" s="11">
        <f t="shared" si="11"/>
        <v>4</v>
      </c>
      <c r="AJ50" s="11">
        <f t="shared" si="12"/>
        <v>12</v>
      </c>
      <c r="AK50" s="12">
        <f t="shared" si="13"/>
        <v>5</v>
      </c>
      <c r="AL50" s="13" t="str">
        <f t="shared" si="14"/>
        <v>excellent</v>
      </c>
      <c r="AM50" s="7"/>
      <c r="AN50" s="7"/>
    </row>
    <row r="51">
      <c r="A51" s="7" t="s">
        <v>142</v>
      </c>
      <c r="B51" s="7"/>
      <c r="C51" s="8" t="s">
        <v>71</v>
      </c>
      <c r="D51" s="7" t="s">
        <v>4</v>
      </c>
      <c r="E51" s="8" t="b">
        <f t="shared" ref="E51:K51" si="156">IF(IFERROR(SEARCH(E$1, $D51),0) &gt;= 1, TRUE,FALSE)</f>
        <v>1</v>
      </c>
      <c r="F51" s="8" t="b">
        <f t="shared" si="156"/>
        <v>0</v>
      </c>
      <c r="G51" s="8" t="b">
        <f t="shared" si="156"/>
        <v>0</v>
      </c>
      <c r="H51" s="8" t="b">
        <f t="shared" si="156"/>
        <v>0</v>
      </c>
      <c r="I51" s="8" t="b">
        <f t="shared" si="156"/>
        <v>0</v>
      </c>
      <c r="J51" s="8" t="b">
        <f t="shared" si="156"/>
        <v>0</v>
      </c>
      <c r="K51" s="8" t="b">
        <f t="shared" si="156"/>
        <v>0</v>
      </c>
      <c r="L51" s="9" t="b">
        <v>1</v>
      </c>
      <c r="M51" s="9" t="b">
        <v>0</v>
      </c>
      <c r="N51" s="9" t="b">
        <v>0</v>
      </c>
      <c r="O51" s="9" t="b">
        <v>0</v>
      </c>
      <c r="P51" s="7" t="str">
        <f t="shared" si="5"/>
        <v>Talbot House</v>
      </c>
      <c r="Q51" s="10">
        <v>10.0</v>
      </c>
      <c r="R51" s="9" t="b">
        <v>0</v>
      </c>
      <c r="S51" s="9" t="b">
        <v>1</v>
      </c>
      <c r="T51" s="10">
        <v>10.0</v>
      </c>
      <c r="U51" s="11">
        <f t="shared" si="6"/>
        <v>0</v>
      </c>
      <c r="V51" s="11">
        <f t="shared" ref="V51:AB51" si="157">IF(OR(AW51 = $AO$4, AW51 = $AQ$4), 1, 0)</f>
        <v>1</v>
      </c>
      <c r="W51" s="11">
        <f t="shared" si="157"/>
        <v>1</v>
      </c>
      <c r="X51" s="11">
        <f t="shared" si="157"/>
        <v>1</v>
      </c>
      <c r="Y51" s="11">
        <f t="shared" si="157"/>
        <v>1</v>
      </c>
      <c r="Z51" s="11">
        <f t="shared" si="157"/>
        <v>1</v>
      </c>
      <c r="AA51" s="11">
        <f t="shared" si="157"/>
        <v>1</v>
      </c>
      <c r="AB51" s="11">
        <f t="shared" si="157"/>
        <v>1</v>
      </c>
      <c r="AC51" s="11">
        <f t="shared" si="8"/>
        <v>7</v>
      </c>
      <c r="AD51" s="11">
        <f t="shared" si="9"/>
        <v>1</v>
      </c>
      <c r="AE51" s="11">
        <f t="shared" ref="AE51:AH51" si="158">IF(OR(BD51 = $AO$6, BD51 = $AS$6, BD51 = $AT$6, BD51 = $AU$6), 1, 0)</f>
        <v>1</v>
      </c>
      <c r="AF51" s="11">
        <f t="shared" si="158"/>
        <v>1</v>
      </c>
      <c r="AG51" s="11">
        <f t="shared" si="158"/>
        <v>1</v>
      </c>
      <c r="AH51" s="11">
        <f t="shared" si="158"/>
        <v>1</v>
      </c>
      <c r="AI51" s="11">
        <f t="shared" si="11"/>
        <v>4</v>
      </c>
      <c r="AJ51" s="11">
        <f t="shared" si="12"/>
        <v>12</v>
      </c>
      <c r="AK51" s="12">
        <f t="shared" si="13"/>
        <v>5</v>
      </c>
      <c r="AL51" s="13" t="str">
        <f t="shared" si="14"/>
        <v>excellent</v>
      </c>
      <c r="AM51" s="7"/>
      <c r="AN51" s="7"/>
    </row>
    <row r="52">
      <c r="A52" s="7" t="s">
        <v>143</v>
      </c>
      <c r="B52" s="7" t="s">
        <v>144</v>
      </c>
      <c r="C52" s="8" t="s">
        <v>71</v>
      </c>
      <c r="D52" s="7" t="s">
        <v>145</v>
      </c>
      <c r="E52" s="8" t="b">
        <f t="shared" ref="E52:K52" si="159">IF(IFERROR(SEARCH(E$1, $D52),0) &gt;= 1, TRUE,FALSE)</f>
        <v>0</v>
      </c>
      <c r="F52" s="8" t="b">
        <f t="shared" si="159"/>
        <v>1</v>
      </c>
      <c r="G52" s="8" t="b">
        <f t="shared" si="159"/>
        <v>1</v>
      </c>
      <c r="H52" s="8" t="b">
        <f t="shared" si="159"/>
        <v>0</v>
      </c>
      <c r="I52" s="8" t="b">
        <f t="shared" si="159"/>
        <v>1</v>
      </c>
      <c r="J52" s="8" t="b">
        <f t="shared" si="159"/>
        <v>0</v>
      </c>
      <c r="K52" s="8" t="b">
        <f t="shared" si="159"/>
        <v>1</v>
      </c>
      <c r="L52" s="9" t="b">
        <v>1</v>
      </c>
      <c r="M52" s="9" t="b">
        <v>1</v>
      </c>
      <c r="N52" s="9" t="b">
        <v>1</v>
      </c>
      <c r="O52" s="9" t="b">
        <v>0</v>
      </c>
      <c r="P52" s="7" t="str">
        <f t="shared" si="5"/>
        <v>Texture | Museum van Vlas en Textiel</v>
      </c>
      <c r="Q52" s="10">
        <v>8.0</v>
      </c>
      <c r="R52" s="9" t="b">
        <v>0</v>
      </c>
      <c r="S52" s="9" t="b">
        <v>1</v>
      </c>
      <c r="T52" s="10">
        <v>8.0</v>
      </c>
      <c r="U52" s="11">
        <f t="shared" si="6"/>
        <v>0</v>
      </c>
      <c r="V52" s="11">
        <f t="shared" ref="V52:AB52" si="160">IF(OR(AW52 = $AO$4, AW52 = $AQ$4), 1, 0)</f>
        <v>1</v>
      </c>
      <c r="W52" s="11">
        <f t="shared" si="160"/>
        <v>1</v>
      </c>
      <c r="X52" s="11">
        <f t="shared" si="160"/>
        <v>1</v>
      </c>
      <c r="Y52" s="11">
        <f t="shared" si="160"/>
        <v>1</v>
      </c>
      <c r="Z52" s="11">
        <f t="shared" si="160"/>
        <v>1</v>
      </c>
      <c r="AA52" s="11">
        <f t="shared" si="160"/>
        <v>1</v>
      </c>
      <c r="AB52" s="11">
        <f t="shared" si="160"/>
        <v>1</v>
      </c>
      <c r="AC52" s="11">
        <f t="shared" si="8"/>
        <v>7</v>
      </c>
      <c r="AD52" s="11">
        <f t="shared" si="9"/>
        <v>1</v>
      </c>
      <c r="AE52" s="11">
        <f t="shared" ref="AE52:AH52" si="161">IF(OR(BD52 = $AO$6, BD52 = $AS$6, BD52 = $AT$6, BD52 = $AU$6), 1, 0)</f>
        <v>1</v>
      </c>
      <c r="AF52" s="11">
        <f t="shared" si="161"/>
        <v>1</v>
      </c>
      <c r="AG52" s="11">
        <f t="shared" si="161"/>
        <v>1</v>
      </c>
      <c r="AH52" s="11">
        <f t="shared" si="161"/>
        <v>1</v>
      </c>
      <c r="AI52" s="11">
        <f t="shared" si="11"/>
        <v>4</v>
      </c>
      <c r="AJ52" s="11">
        <f t="shared" si="12"/>
        <v>12</v>
      </c>
      <c r="AK52" s="12">
        <f t="shared" si="13"/>
        <v>5</v>
      </c>
      <c r="AL52" s="13" t="str">
        <f t="shared" si="14"/>
        <v>excellent</v>
      </c>
      <c r="AM52" s="7"/>
      <c r="AN52" s="7"/>
    </row>
    <row r="53">
      <c r="A53" s="7" t="s">
        <v>146</v>
      </c>
      <c r="B53" s="7" t="s">
        <v>147</v>
      </c>
      <c r="C53" s="8" t="s">
        <v>71</v>
      </c>
      <c r="D53" s="7" t="s">
        <v>7</v>
      </c>
      <c r="E53" s="8" t="b">
        <f t="shared" ref="E53:K53" si="162">IF(IFERROR(SEARCH(E$1, $D53),0) &gt;= 1, TRUE,FALSE)</f>
        <v>0</v>
      </c>
      <c r="F53" s="8" t="b">
        <f t="shared" si="162"/>
        <v>0</v>
      </c>
      <c r="G53" s="8" t="b">
        <f t="shared" si="162"/>
        <v>0</v>
      </c>
      <c r="H53" s="8" t="b">
        <f t="shared" si="162"/>
        <v>1</v>
      </c>
      <c r="I53" s="8" t="b">
        <f t="shared" si="162"/>
        <v>0</v>
      </c>
      <c r="J53" s="8" t="b">
        <f t="shared" si="162"/>
        <v>0</v>
      </c>
      <c r="K53" s="8" t="b">
        <f t="shared" si="162"/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7" t="str">
        <f t="shared" si="5"/>
        <v>Uilenspiegelmuseum</v>
      </c>
      <c r="Q53" s="10">
        <v>6.0</v>
      </c>
      <c r="R53" s="9" t="b">
        <v>0</v>
      </c>
      <c r="S53" s="9" t="b">
        <v>0</v>
      </c>
      <c r="T53" s="7"/>
      <c r="U53" s="11">
        <f t="shared" si="6"/>
        <v>0</v>
      </c>
      <c r="V53" s="11">
        <f t="shared" ref="V53:AB53" si="163">IF(OR(AW53 = $AO$4, AW53 = $AQ$4), 1, 0)</f>
        <v>1</v>
      </c>
      <c r="W53" s="11">
        <f t="shared" si="163"/>
        <v>1</v>
      </c>
      <c r="X53" s="11">
        <f t="shared" si="163"/>
        <v>1</v>
      </c>
      <c r="Y53" s="11">
        <f t="shared" si="163"/>
        <v>1</v>
      </c>
      <c r="Z53" s="11">
        <f t="shared" si="163"/>
        <v>1</v>
      </c>
      <c r="AA53" s="11">
        <f t="shared" si="163"/>
        <v>1</v>
      </c>
      <c r="AB53" s="11">
        <f t="shared" si="163"/>
        <v>1</v>
      </c>
      <c r="AC53" s="11">
        <f t="shared" si="8"/>
        <v>7</v>
      </c>
      <c r="AD53" s="11">
        <f t="shared" si="9"/>
        <v>1</v>
      </c>
      <c r="AE53" s="11">
        <f t="shared" ref="AE53:AH53" si="164">IF(OR(BD53 = $AO$6, BD53 = $AS$6, BD53 = $AT$6, BD53 = $AU$6), 1, 0)</f>
        <v>1</v>
      </c>
      <c r="AF53" s="11">
        <f t="shared" si="164"/>
        <v>1</v>
      </c>
      <c r="AG53" s="11">
        <f t="shared" si="164"/>
        <v>1</v>
      </c>
      <c r="AH53" s="11">
        <f t="shared" si="164"/>
        <v>1</v>
      </c>
      <c r="AI53" s="11">
        <f t="shared" si="11"/>
        <v>4</v>
      </c>
      <c r="AJ53" s="11">
        <f t="shared" si="12"/>
        <v>12</v>
      </c>
      <c r="AK53" s="12">
        <f t="shared" si="13"/>
        <v>5</v>
      </c>
      <c r="AL53" s="13" t="str">
        <f t="shared" si="14"/>
        <v>excellent</v>
      </c>
      <c r="AM53" s="7"/>
      <c r="AN53" s="7"/>
    </row>
    <row r="54">
      <c r="A54" s="7" t="s">
        <v>148</v>
      </c>
      <c r="B54" s="7" t="s">
        <v>149</v>
      </c>
      <c r="C54" s="8" t="s">
        <v>71</v>
      </c>
      <c r="D54" s="7" t="s">
        <v>4</v>
      </c>
      <c r="E54" s="8" t="b">
        <f t="shared" ref="E54:K54" si="165">IF(IFERROR(SEARCH(E$1, $D54),0) &gt;= 1, TRUE,FALSE)</f>
        <v>1</v>
      </c>
      <c r="F54" s="8" t="b">
        <f t="shared" si="165"/>
        <v>0</v>
      </c>
      <c r="G54" s="8" t="b">
        <f t="shared" si="165"/>
        <v>0</v>
      </c>
      <c r="H54" s="8" t="b">
        <f t="shared" si="165"/>
        <v>0</v>
      </c>
      <c r="I54" s="8" t="b">
        <f t="shared" si="165"/>
        <v>0</v>
      </c>
      <c r="J54" s="8" t="b">
        <f t="shared" si="165"/>
        <v>0</v>
      </c>
      <c r="K54" s="8" t="b">
        <f t="shared" si="165"/>
        <v>0</v>
      </c>
      <c r="L54" s="9" t="b">
        <v>0</v>
      </c>
      <c r="M54" s="9" t="b">
        <v>0</v>
      </c>
      <c r="N54" s="9" t="b">
        <v>0</v>
      </c>
      <c r="O54" s="9" t="b">
        <v>0</v>
      </c>
      <c r="P54" s="7" t="str">
        <f t="shared" si="5"/>
        <v>Volkskundemuseum</v>
      </c>
      <c r="Q54" s="10">
        <v>8.0</v>
      </c>
      <c r="R54" s="9" t="b">
        <v>0</v>
      </c>
      <c r="S54" s="9" t="b">
        <v>0</v>
      </c>
      <c r="T54" s="7"/>
      <c r="U54" s="11">
        <f t="shared" si="6"/>
        <v>0</v>
      </c>
      <c r="V54" s="11">
        <f t="shared" ref="V54:AB54" si="166">IF(OR(AW54 = $AO$4, AW54 = $AQ$4), 1, 0)</f>
        <v>1</v>
      </c>
      <c r="W54" s="11">
        <f t="shared" si="166"/>
        <v>1</v>
      </c>
      <c r="X54" s="11">
        <f t="shared" si="166"/>
        <v>1</v>
      </c>
      <c r="Y54" s="11">
        <f t="shared" si="166"/>
        <v>1</v>
      </c>
      <c r="Z54" s="11">
        <f t="shared" si="166"/>
        <v>1</v>
      </c>
      <c r="AA54" s="11">
        <f t="shared" si="166"/>
        <v>1</v>
      </c>
      <c r="AB54" s="11">
        <f t="shared" si="166"/>
        <v>1</v>
      </c>
      <c r="AC54" s="11">
        <f t="shared" si="8"/>
        <v>7</v>
      </c>
      <c r="AD54" s="11">
        <f t="shared" si="9"/>
        <v>1</v>
      </c>
      <c r="AE54" s="11">
        <f t="shared" ref="AE54:AH54" si="167">IF(OR(BD54 = $AO$6, BD54 = $AS$6, BD54 = $AT$6, BD54 = $AU$6), 1, 0)</f>
        <v>1</v>
      </c>
      <c r="AF54" s="11">
        <f t="shared" si="167"/>
        <v>1</v>
      </c>
      <c r="AG54" s="11">
        <f t="shared" si="167"/>
        <v>1</v>
      </c>
      <c r="AH54" s="11">
        <f t="shared" si="167"/>
        <v>1</v>
      </c>
      <c r="AI54" s="11">
        <f t="shared" si="11"/>
        <v>4</v>
      </c>
      <c r="AJ54" s="11">
        <f t="shared" si="12"/>
        <v>12</v>
      </c>
      <c r="AK54" s="12">
        <f t="shared" si="13"/>
        <v>5</v>
      </c>
      <c r="AL54" s="13" t="str">
        <f t="shared" si="14"/>
        <v>excellent</v>
      </c>
      <c r="AM54" s="7"/>
      <c r="AN54" s="7"/>
    </row>
    <row r="55">
      <c r="A55" s="7" t="s">
        <v>150</v>
      </c>
      <c r="B55" s="7"/>
      <c r="C55" s="8" t="s">
        <v>71</v>
      </c>
      <c r="D55" s="7" t="s">
        <v>151</v>
      </c>
      <c r="E55" s="8" t="b">
        <f t="shared" ref="E55:K55" si="168">IF(IFERROR(SEARCH(E$1, $D55),0) &gt;= 1, TRUE,FALSE)</f>
        <v>1</v>
      </c>
      <c r="F55" s="8" t="b">
        <f t="shared" si="168"/>
        <v>0</v>
      </c>
      <c r="G55" s="8" t="b">
        <f t="shared" si="168"/>
        <v>0</v>
      </c>
      <c r="H55" s="8" t="b">
        <f t="shared" si="168"/>
        <v>0</v>
      </c>
      <c r="I55" s="8" t="b">
        <f t="shared" si="168"/>
        <v>1</v>
      </c>
      <c r="J55" s="8" t="b">
        <f t="shared" si="168"/>
        <v>0</v>
      </c>
      <c r="K55" s="8" t="b">
        <f t="shared" si="168"/>
        <v>0</v>
      </c>
      <c r="L55" s="9" t="b">
        <v>1</v>
      </c>
      <c r="M55" s="9" t="b">
        <v>0</v>
      </c>
      <c r="N55" s="9" t="b">
        <v>0</v>
      </c>
      <c r="O55" s="9" t="b">
        <v>0</v>
      </c>
      <c r="P55" s="7" t="str">
        <f t="shared" si="5"/>
        <v>Westfront Nieuwpoort</v>
      </c>
      <c r="Q55" s="10">
        <v>9.5</v>
      </c>
      <c r="R55" s="9" t="b">
        <v>0</v>
      </c>
      <c r="S55" s="9" t="b">
        <v>0</v>
      </c>
      <c r="T55" s="7"/>
      <c r="U55" s="11">
        <f t="shared" si="6"/>
        <v>0</v>
      </c>
      <c r="V55" s="11">
        <f t="shared" ref="V55:AB55" si="169">IF(OR(AW55 = $AO$4, AW55 = $AQ$4), 1, 0)</f>
        <v>1</v>
      </c>
      <c r="W55" s="11">
        <f t="shared" si="169"/>
        <v>1</v>
      </c>
      <c r="X55" s="11">
        <f t="shared" si="169"/>
        <v>1</v>
      </c>
      <c r="Y55" s="11">
        <f t="shared" si="169"/>
        <v>1</v>
      </c>
      <c r="Z55" s="11">
        <f t="shared" si="169"/>
        <v>1</v>
      </c>
      <c r="AA55" s="11">
        <f t="shared" si="169"/>
        <v>1</v>
      </c>
      <c r="AB55" s="11">
        <f t="shared" si="169"/>
        <v>1</v>
      </c>
      <c r="AC55" s="11">
        <f t="shared" si="8"/>
        <v>7</v>
      </c>
      <c r="AD55" s="11">
        <f t="shared" si="9"/>
        <v>1</v>
      </c>
      <c r="AE55" s="11">
        <f t="shared" ref="AE55:AH55" si="170">IF(OR(BD55 = $AO$6, BD55 = $AS$6, BD55 = $AT$6, BD55 = $AU$6), 1, 0)</f>
        <v>1</v>
      </c>
      <c r="AF55" s="11">
        <f t="shared" si="170"/>
        <v>1</v>
      </c>
      <c r="AG55" s="11">
        <f t="shared" si="170"/>
        <v>1</v>
      </c>
      <c r="AH55" s="11">
        <f t="shared" si="170"/>
        <v>1</v>
      </c>
      <c r="AI55" s="11">
        <f t="shared" si="11"/>
        <v>4</v>
      </c>
      <c r="AJ55" s="11">
        <f t="shared" si="12"/>
        <v>12</v>
      </c>
      <c r="AK55" s="12">
        <f t="shared" si="13"/>
        <v>5</v>
      </c>
      <c r="AL55" s="13" t="str">
        <f t="shared" si="14"/>
        <v>excellent</v>
      </c>
      <c r="AM55" s="7"/>
      <c r="AN55" s="7"/>
    </row>
    <row r="56">
      <c r="A56" s="7" t="s">
        <v>152</v>
      </c>
      <c r="B56" s="7"/>
      <c r="C56" s="8" t="s">
        <v>71</v>
      </c>
      <c r="D56" s="7" t="s">
        <v>75</v>
      </c>
      <c r="E56" s="8" t="b">
        <f t="shared" ref="E56:K56" si="171">IF(IFERROR(SEARCH(E$1, $D56),0) &gt;= 1, TRUE,FALSE)</f>
        <v>1</v>
      </c>
      <c r="F56" s="8" t="b">
        <f t="shared" si="171"/>
        <v>0</v>
      </c>
      <c r="G56" s="8" t="b">
        <f t="shared" si="171"/>
        <v>0</v>
      </c>
      <c r="H56" s="8" t="b">
        <f t="shared" si="171"/>
        <v>0</v>
      </c>
      <c r="I56" s="8" t="b">
        <f t="shared" si="171"/>
        <v>1</v>
      </c>
      <c r="J56" s="8" t="b">
        <f t="shared" si="171"/>
        <v>1</v>
      </c>
      <c r="K56" s="8" t="b">
        <f t="shared" si="171"/>
        <v>1</v>
      </c>
      <c r="L56" s="9" t="b">
        <v>0</v>
      </c>
      <c r="M56" s="9" t="b">
        <v>1</v>
      </c>
      <c r="N56" s="9" t="b">
        <v>0</v>
      </c>
      <c r="O56" s="9" t="b">
        <v>0</v>
      </c>
      <c r="P56" s="7" t="str">
        <f t="shared" si="5"/>
        <v>Yper Museum</v>
      </c>
      <c r="Q56" s="10">
        <v>8.5</v>
      </c>
      <c r="R56" s="9" t="b">
        <v>0</v>
      </c>
      <c r="S56" s="9" t="b">
        <v>0</v>
      </c>
      <c r="T56" s="7"/>
      <c r="U56" s="11">
        <f t="shared" si="6"/>
        <v>0</v>
      </c>
      <c r="V56" s="11">
        <f t="shared" ref="V56:AB56" si="172">IF(OR(AW56 = $AO$4, AW56 = $AQ$4), 1, 0)</f>
        <v>1</v>
      </c>
      <c r="W56" s="11">
        <f t="shared" si="172"/>
        <v>1</v>
      </c>
      <c r="X56" s="11">
        <f t="shared" si="172"/>
        <v>1</v>
      </c>
      <c r="Y56" s="11">
        <f t="shared" si="172"/>
        <v>1</v>
      </c>
      <c r="Z56" s="11">
        <f t="shared" si="172"/>
        <v>1</v>
      </c>
      <c r="AA56" s="11">
        <f t="shared" si="172"/>
        <v>1</v>
      </c>
      <c r="AB56" s="11">
        <f t="shared" si="172"/>
        <v>1</v>
      </c>
      <c r="AC56" s="11">
        <f t="shared" si="8"/>
        <v>7</v>
      </c>
      <c r="AD56" s="11">
        <f t="shared" si="9"/>
        <v>1</v>
      </c>
      <c r="AE56" s="11">
        <f t="shared" ref="AE56:AH56" si="173">IF(OR(BD56 = $AO$6, BD56 = $AS$6, BD56 = $AT$6, BD56 = $AU$6), 1, 0)</f>
        <v>1</v>
      </c>
      <c r="AF56" s="11">
        <f t="shared" si="173"/>
        <v>1</v>
      </c>
      <c r="AG56" s="11">
        <f t="shared" si="173"/>
        <v>1</v>
      </c>
      <c r="AH56" s="11">
        <f t="shared" si="173"/>
        <v>1</v>
      </c>
      <c r="AI56" s="11">
        <f t="shared" si="11"/>
        <v>4</v>
      </c>
      <c r="AJ56" s="11">
        <f t="shared" si="12"/>
        <v>12</v>
      </c>
      <c r="AK56" s="12">
        <f t="shared" si="13"/>
        <v>5</v>
      </c>
      <c r="AL56" s="13" t="str">
        <f t="shared" si="14"/>
        <v>excellent</v>
      </c>
      <c r="AM56" s="7"/>
      <c r="AN56" s="7"/>
    </row>
    <row r="57">
      <c r="A57" s="7" t="s">
        <v>153</v>
      </c>
      <c r="B57" s="7" t="s">
        <v>154</v>
      </c>
      <c r="C57" s="8" t="s">
        <v>71</v>
      </c>
      <c r="D57" s="7" t="s">
        <v>114</v>
      </c>
      <c r="E57" s="8" t="b">
        <f t="shared" ref="E57:K57" si="174">IF(IFERROR(SEARCH(E$1, $D57),0) &gt;= 1, TRUE,FALSE)</f>
        <v>1</v>
      </c>
      <c r="F57" s="8" t="b">
        <f t="shared" si="174"/>
        <v>1</v>
      </c>
      <c r="G57" s="8" t="b">
        <f t="shared" si="174"/>
        <v>0</v>
      </c>
      <c r="H57" s="8" t="b">
        <f t="shared" si="174"/>
        <v>0</v>
      </c>
      <c r="I57" s="8" t="b">
        <f t="shared" si="174"/>
        <v>0</v>
      </c>
      <c r="J57" s="8" t="b">
        <f t="shared" si="174"/>
        <v>0</v>
      </c>
      <c r="K57" s="8" t="b">
        <f t="shared" si="174"/>
        <v>0</v>
      </c>
      <c r="L57" s="9" t="b">
        <v>1</v>
      </c>
      <c r="M57" s="9" t="b">
        <v>1</v>
      </c>
      <c r="N57" s="9" t="b">
        <v>1</v>
      </c>
      <c r="O57" s="9" t="b">
        <v>1</v>
      </c>
      <c r="P57" s="7" t="str">
        <f t="shared" si="5"/>
        <v>Zwin Natuur Park</v>
      </c>
      <c r="Q57" s="10">
        <v>12.0</v>
      </c>
      <c r="R57" s="9" t="b">
        <v>0</v>
      </c>
      <c r="S57" s="9" t="b">
        <v>1</v>
      </c>
      <c r="T57" s="10">
        <v>14.0</v>
      </c>
      <c r="U57" s="11">
        <f t="shared" si="6"/>
        <v>0</v>
      </c>
      <c r="V57" s="11">
        <f t="shared" ref="V57:AB57" si="175">IF(OR(AW57 = $AO$4, AW57 = $AQ$4), 1, 0)</f>
        <v>1</v>
      </c>
      <c r="W57" s="11">
        <f t="shared" si="175"/>
        <v>1</v>
      </c>
      <c r="X57" s="11">
        <f t="shared" si="175"/>
        <v>1</v>
      </c>
      <c r="Y57" s="11">
        <f t="shared" si="175"/>
        <v>1</v>
      </c>
      <c r="Z57" s="11">
        <f t="shared" si="175"/>
        <v>1</v>
      </c>
      <c r="AA57" s="11">
        <f t="shared" si="175"/>
        <v>1</v>
      </c>
      <c r="AB57" s="11">
        <f t="shared" si="175"/>
        <v>1</v>
      </c>
      <c r="AC57" s="11">
        <f t="shared" si="8"/>
        <v>7</v>
      </c>
      <c r="AD57" s="11">
        <f t="shared" si="9"/>
        <v>1</v>
      </c>
      <c r="AE57" s="11">
        <f t="shared" ref="AE57:AH57" si="176">IF(OR(BD57 = $AO$6, BD57 = $AS$6, BD57 = $AT$6, BD57 = $AU$6), 1, 0)</f>
        <v>1</v>
      </c>
      <c r="AF57" s="11">
        <f t="shared" si="176"/>
        <v>1</v>
      </c>
      <c r="AG57" s="11">
        <f t="shared" si="176"/>
        <v>1</v>
      </c>
      <c r="AH57" s="11">
        <f t="shared" si="176"/>
        <v>1</v>
      </c>
      <c r="AI57" s="11">
        <f t="shared" si="11"/>
        <v>4</v>
      </c>
      <c r="AJ57" s="11">
        <f t="shared" si="12"/>
        <v>12</v>
      </c>
      <c r="AK57" s="12">
        <f t="shared" si="13"/>
        <v>5</v>
      </c>
      <c r="AL57" s="13" t="str">
        <f t="shared" si="14"/>
        <v>excellent</v>
      </c>
      <c r="AM57" s="7"/>
      <c r="AN57" s="7"/>
    </row>
    <row r="58">
      <c r="A58" s="7" t="s">
        <v>155</v>
      </c>
      <c r="B58" s="7"/>
      <c r="C58" s="8" t="s">
        <v>156</v>
      </c>
      <c r="D58" s="7" t="s">
        <v>5</v>
      </c>
      <c r="E58" s="8" t="b">
        <f t="shared" ref="E58:K58" si="177">IF(IFERROR(SEARCH(E$1, $D58),0) &gt;= 1, TRUE,FALSE)</f>
        <v>0</v>
      </c>
      <c r="F58" s="8" t="b">
        <f t="shared" si="177"/>
        <v>1</v>
      </c>
      <c r="G58" s="8" t="b">
        <f t="shared" si="177"/>
        <v>0</v>
      </c>
      <c r="H58" s="8" t="b">
        <f t="shared" si="177"/>
        <v>0</v>
      </c>
      <c r="I58" s="8" t="b">
        <f t="shared" si="177"/>
        <v>0</v>
      </c>
      <c r="J58" s="8" t="b">
        <f t="shared" si="177"/>
        <v>0</v>
      </c>
      <c r="K58" s="8" t="b">
        <f t="shared" si="177"/>
        <v>0</v>
      </c>
      <c r="L58" s="9" t="b">
        <v>1</v>
      </c>
      <c r="M58" s="9" t="b">
        <v>1</v>
      </c>
      <c r="N58" s="9" t="b">
        <v>1</v>
      </c>
      <c r="O58" s="9" t="b">
        <v>1</v>
      </c>
      <c r="P58" s="7" t="str">
        <f t="shared" si="5"/>
        <v>Arboretum Kalmtout</v>
      </c>
      <c r="Q58" s="10">
        <v>8.0</v>
      </c>
      <c r="R58" s="9" t="b">
        <v>0</v>
      </c>
      <c r="S58" s="9" t="b">
        <v>1</v>
      </c>
      <c r="T58" s="10">
        <v>9.5</v>
      </c>
      <c r="U58" s="11">
        <f t="shared" si="6"/>
        <v>0</v>
      </c>
      <c r="V58" s="11">
        <f t="shared" ref="V58:AB58" si="178">IF(OR(AW58 = $AO$4, AW58 = $AQ$4), 1, 0)</f>
        <v>1</v>
      </c>
      <c r="W58" s="11">
        <f t="shared" si="178"/>
        <v>1</v>
      </c>
      <c r="X58" s="11">
        <f t="shared" si="178"/>
        <v>1</v>
      </c>
      <c r="Y58" s="11">
        <f t="shared" si="178"/>
        <v>1</v>
      </c>
      <c r="Z58" s="11">
        <f t="shared" si="178"/>
        <v>1</v>
      </c>
      <c r="AA58" s="11">
        <f t="shared" si="178"/>
        <v>1</v>
      </c>
      <c r="AB58" s="11">
        <f t="shared" si="178"/>
        <v>1</v>
      </c>
      <c r="AC58" s="11">
        <f t="shared" si="8"/>
        <v>7</v>
      </c>
      <c r="AD58" s="11">
        <f t="shared" si="9"/>
        <v>1</v>
      </c>
      <c r="AE58" s="11">
        <f t="shared" ref="AE58:AH58" si="179">IF(OR(BD58 = $AO$6, BD58 = $AS$6, BD58 = $AT$6, BD58 = $AU$6), 1, 0)</f>
        <v>1</v>
      </c>
      <c r="AF58" s="11">
        <f t="shared" si="179"/>
        <v>1</v>
      </c>
      <c r="AG58" s="11">
        <f t="shared" si="179"/>
        <v>1</v>
      </c>
      <c r="AH58" s="11">
        <f t="shared" si="179"/>
        <v>1</v>
      </c>
      <c r="AI58" s="11">
        <f t="shared" si="11"/>
        <v>4</v>
      </c>
      <c r="AJ58" s="11">
        <f t="shared" si="12"/>
        <v>12</v>
      </c>
      <c r="AK58" s="12">
        <f t="shared" si="13"/>
        <v>5</v>
      </c>
      <c r="AL58" s="13" t="str">
        <f t="shared" si="14"/>
        <v>excellent</v>
      </c>
      <c r="AM58" s="7"/>
      <c r="AN58" s="7"/>
    </row>
    <row r="59">
      <c r="A59" s="7" t="s">
        <v>157</v>
      </c>
      <c r="B59" s="7" t="s">
        <v>158</v>
      </c>
      <c r="C59" s="8" t="s">
        <v>156</v>
      </c>
      <c r="D59" s="7" t="s">
        <v>102</v>
      </c>
      <c r="E59" s="8" t="b">
        <f t="shared" ref="E59:K59" si="180">IF(IFERROR(SEARCH(E$1, $D59),0) &gt;= 1, TRUE,FALSE)</f>
        <v>1</v>
      </c>
      <c r="F59" s="8" t="b">
        <f t="shared" si="180"/>
        <v>0</v>
      </c>
      <c r="G59" s="8" t="b">
        <f t="shared" si="180"/>
        <v>0</v>
      </c>
      <c r="H59" s="8" t="b">
        <f t="shared" si="180"/>
        <v>0</v>
      </c>
      <c r="I59" s="8" t="b">
        <f t="shared" si="180"/>
        <v>0</v>
      </c>
      <c r="J59" s="8" t="b">
        <f t="shared" si="180"/>
        <v>1</v>
      </c>
      <c r="K59" s="8" t="b">
        <f t="shared" si="180"/>
        <v>0</v>
      </c>
      <c r="L59" s="9" t="b">
        <v>1</v>
      </c>
      <c r="M59" s="9" t="b">
        <v>0</v>
      </c>
      <c r="N59" s="9" t="b">
        <v>0</v>
      </c>
      <c r="O59" s="9" t="b">
        <v>0</v>
      </c>
      <c r="P59" s="7" t="str">
        <f t="shared" si="5"/>
        <v>Begijnhofmuseum Turnhout</v>
      </c>
      <c r="Q59" s="10">
        <v>5.0</v>
      </c>
      <c r="R59" s="9" t="b">
        <v>0</v>
      </c>
      <c r="S59" s="9" t="b">
        <v>0</v>
      </c>
      <c r="T59" s="7"/>
      <c r="U59" s="11">
        <f t="shared" si="6"/>
        <v>0</v>
      </c>
      <c r="V59" s="11">
        <f t="shared" ref="V59:AB59" si="181">IF(OR(AW59 = $AO$4, AW59 = $AQ$4), 1, 0)</f>
        <v>1</v>
      </c>
      <c r="W59" s="11">
        <f t="shared" si="181"/>
        <v>1</v>
      </c>
      <c r="X59" s="11">
        <f t="shared" si="181"/>
        <v>1</v>
      </c>
      <c r="Y59" s="11">
        <f t="shared" si="181"/>
        <v>1</v>
      </c>
      <c r="Z59" s="11">
        <f t="shared" si="181"/>
        <v>1</v>
      </c>
      <c r="AA59" s="11">
        <f t="shared" si="181"/>
        <v>1</v>
      </c>
      <c r="AB59" s="11">
        <f t="shared" si="181"/>
        <v>1</v>
      </c>
      <c r="AC59" s="11">
        <f t="shared" si="8"/>
        <v>7</v>
      </c>
      <c r="AD59" s="11">
        <f t="shared" si="9"/>
        <v>1</v>
      </c>
      <c r="AE59" s="11">
        <f t="shared" ref="AE59:AH59" si="182">IF(OR(BD59 = $AO$6, BD59 = $AS$6, BD59 = $AT$6, BD59 = $AU$6), 1, 0)</f>
        <v>1</v>
      </c>
      <c r="AF59" s="11">
        <f t="shared" si="182"/>
        <v>1</v>
      </c>
      <c r="AG59" s="11">
        <f t="shared" si="182"/>
        <v>1</v>
      </c>
      <c r="AH59" s="11">
        <f t="shared" si="182"/>
        <v>1</v>
      </c>
      <c r="AI59" s="11">
        <f t="shared" si="11"/>
        <v>4</v>
      </c>
      <c r="AJ59" s="11">
        <f t="shared" si="12"/>
        <v>12</v>
      </c>
      <c r="AK59" s="12">
        <f t="shared" si="13"/>
        <v>5</v>
      </c>
      <c r="AL59" s="13" t="str">
        <f t="shared" si="14"/>
        <v>excellent</v>
      </c>
      <c r="AM59" s="7"/>
      <c r="AN59" s="7"/>
    </row>
    <row r="60">
      <c r="A60" s="7" t="s">
        <v>159</v>
      </c>
      <c r="B60" s="7" t="s">
        <v>160</v>
      </c>
      <c r="C60" s="8" t="s">
        <v>156</v>
      </c>
      <c r="D60" s="7" t="s">
        <v>161</v>
      </c>
      <c r="E60" s="8" t="b">
        <f t="shared" ref="E60:K60" si="183">IF(IFERROR(SEARCH(E$1, $D60),0) &gt;= 1, TRUE,FALSE)</f>
        <v>1</v>
      </c>
      <c r="F60" s="8" t="b">
        <f t="shared" si="183"/>
        <v>1</v>
      </c>
      <c r="G60" s="8" t="b">
        <f t="shared" si="183"/>
        <v>0</v>
      </c>
      <c r="H60" s="8" t="b">
        <f t="shared" si="183"/>
        <v>0</v>
      </c>
      <c r="I60" s="8" t="b">
        <f t="shared" si="183"/>
        <v>0</v>
      </c>
      <c r="J60" s="8" t="b">
        <f t="shared" si="183"/>
        <v>0</v>
      </c>
      <c r="K60" s="8" t="b">
        <f t="shared" si="183"/>
        <v>1</v>
      </c>
      <c r="L60" s="9" t="b">
        <v>1</v>
      </c>
      <c r="M60" s="9" t="b">
        <v>0</v>
      </c>
      <c r="N60" s="9" t="b">
        <v>0</v>
      </c>
      <c r="O60" s="9" t="b">
        <v>0</v>
      </c>
      <c r="P60" s="7" t="str">
        <f t="shared" si="5"/>
        <v>DIVA | museum voor diamant juwelen en zilver</v>
      </c>
      <c r="Q60" s="10">
        <v>12.0</v>
      </c>
      <c r="R60" s="9" t="b">
        <v>0</v>
      </c>
      <c r="S60" s="9" t="b">
        <v>0</v>
      </c>
      <c r="T60" s="7"/>
      <c r="U60" s="11">
        <f t="shared" si="6"/>
        <v>0</v>
      </c>
      <c r="V60" s="11">
        <f t="shared" ref="V60:AB60" si="184">IF(OR(AW60 = $AO$4, AW60 = $AQ$4), 1, 0)</f>
        <v>1</v>
      </c>
      <c r="W60" s="11">
        <f t="shared" si="184"/>
        <v>1</v>
      </c>
      <c r="X60" s="11">
        <f t="shared" si="184"/>
        <v>1</v>
      </c>
      <c r="Y60" s="11">
        <f t="shared" si="184"/>
        <v>1</v>
      </c>
      <c r="Z60" s="11">
        <f t="shared" si="184"/>
        <v>1</v>
      </c>
      <c r="AA60" s="11">
        <f t="shared" si="184"/>
        <v>1</v>
      </c>
      <c r="AB60" s="11">
        <f t="shared" si="184"/>
        <v>1</v>
      </c>
      <c r="AC60" s="11">
        <f t="shared" si="8"/>
        <v>7</v>
      </c>
      <c r="AD60" s="11">
        <f t="shared" si="9"/>
        <v>1</v>
      </c>
      <c r="AE60" s="11">
        <f t="shared" ref="AE60:AH60" si="185">IF(OR(BD60 = $AO$6, BD60 = $AS$6, BD60 = $AT$6, BD60 = $AU$6), 1, 0)</f>
        <v>1</v>
      </c>
      <c r="AF60" s="11">
        <f t="shared" si="185"/>
        <v>1</v>
      </c>
      <c r="AG60" s="11">
        <f t="shared" si="185"/>
        <v>1</v>
      </c>
      <c r="AH60" s="11">
        <f t="shared" si="185"/>
        <v>1</v>
      </c>
      <c r="AI60" s="11">
        <f t="shared" si="11"/>
        <v>4</v>
      </c>
      <c r="AJ60" s="11">
        <f t="shared" si="12"/>
        <v>12</v>
      </c>
      <c r="AK60" s="12">
        <f t="shared" si="13"/>
        <v>5</v>
      </c>
      <c r="AL60" s="13" t="str">
        <f t="shared" si="14"/>
        <v>excellent</v>
      </c>
      <c r="AM60" s="7"/>
      <c r="AN60" s="7"/>
    </row>
    <row r="61">
      <c r="A61" s="7" t="s">
        <v>162</v>
      </c>
      <c r="B61" s="7" t="s">
        <v>163</v>
      </c>
      <c r="C61" s="8" t="s">
        <v>156</v>
      </c>
      <c r="D61" s="7" t="s">
        <v>164</v>
      </c>
      <c r="E61" s="8" t="b">
        <f t="shared" ref="E61:K61" si="186">IF(IFERROR(SEARCH(E$1, $D61),0) &gt;= 1, TRUE,FALSE)</f>
        <v>1</v>
      </c>
      <c r="F61" s="8" t="b">
        <f t="shared" si="186"/>
        <v>0</v>
      </c>
      <c r="G61" s="8" t="b">
        <f t="shared" si="186"/>
        <v>0</v>
      </c>
      <c r="H61" s="8" t="b">
        <f t="shared" si="186"/>
        <v>1</v>
      </c>
      <c r="I61" s="8" t="b">
        <f t="shared" si="186"/>
        <v>0</v>
      </c>
      <c r="J61" s="8" t="b">
        <f t="shared" si="186"/>
        <v>0</v>
      </c>
      <c r="K61" s="8" t="b">
        <f t="shared" si="186"/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7" t="str">
        <f t="shared" si="5"/>
        <v>Erfgoedbibliotheek Hendrik Conscience - Nottebohmzaal</v>
      </c>
      <c r="Q61" s="10">
        <v>0.0</v>
      </c>
      <c r="R61" s="9" t="b">
        <v>0</v>
      </c>
      <c r="S61" s="9" t="b">
        <v>0</v>
      </c>
      <c r="T61" s="7"/>
      <c r="U61" s="11">
        <f t="shared" si="6"/>
        <v>0</v>
      </c>
      <c r="V61" s="11">
        <f t="shared" ref="V61:AB61" si="187">IF(OR(AW61 = $AO$4, AW61 = $AQ$4), 1, 0)</f>
        <v>1</v>
      </c>
      <c r="W61" s="11">
        <f t="shared" si="187"/>
        <v>1</v>
      </c>
      <c r="X61" s="11">
        <f t="shared" si="187"/>
        <v>1</v>
      </c>
      <c r="Y61" s="11">
        <f t="shared" si="187"/>
        <v>1</v>
      </c>
      <c r="Z61" s="11">
        <f t="shared" si="187"/>
        <v>1</v>
      </c>
      <c r="AA61" s="11">
        <f t="shared" si="187"/>
        <v>1</v>
      </c>
      <c r="AB61" s="11">
        <f t="shared" si="187"/>
        <v>1</v>
      </c>
      <c r="AC61" s="11">
        <f t="shared" si="8"/>
        <v>7</v>
      </c>
      <c r="AD61" s="11">
        <f t="shared" si="9"/>
        <v>1</v>
      </c>
      <c r="AE61" s="11">
        <f t="shared" ref="AE61:AH61" si="188">IF(OR(BD61 = $AO$6, BD61 = $AS$6, BD61 = $AT$6, BD61 = $AU$6), 1, 0)</f>
        <v>1</v>
      </c>
      <c r="AF61" s="11">
        <f t="shared" si="188"/>
        <v>1</v>
      </c>
      <c r="AG61" s="11">
        <f t="shared" si="188"/>
        <v>1</v>
      </c>
      <c r="AH61" s="11">
        <f t="shared" si="188"/>
        <v>1</v>
      </c>
      <c r="AI61" s="11">
        <f t="shared" si="11"/>
        <v>4</v>
      </c>
      <c r="AJ61" s="11">
        <f t="shared" si="12"/>
        <v>12</v>
      </c>
      <c r="AK61" s="12">
        <f t="shared" si="13"/>
        <v>5</v>
      </c>
      <c r="AL61" s="13" t="str">
        <f t="shared" si="14"/>
        <v>excellent</v>
      </c>
      <c r="AM61" s="7"/>
      <c r="AN61" s="7"/>
    </row>
    <row r="62">
      <c r="A62" s="7" t="s">
        <v>165</v>
      </c>
      <c r="B62" s="7" t="s">
        <v>166</v>
      </c>
      <c r="C62" s="8" t="s">
        <v>156</v>
      </c>
      <c r="D62" s="7" t="s">
        <v>9</v>
      </c>
      <c r="E62" s="8" t="b">
        <f t="shared" ref="E62:K62" si="189">IF(IFERROR(SEARCH(E$1, $D62),0) &gt;= 1, TRUE,FALSE)</f>
        <v>0</v>
      </c>
      <c r="F62" s="8" t="b">
        <f t="shared" si="189"/>
        <v>0</v>
      </c>
      <c r="G62" s="8" t="b">
        <f t="shared" si="189"/>
        <v>0</v>
      </c>
      <c r="H62" s="8" t="b">
        <f t="shared" si="189"/>
        <v>0</v>
      </c>
      <c r="I62" s="8" t="b">
        <f t="shared" si="189"/>
        <v>0</v>
      </c>
      <c r="J62" s="8" t="b">
        <f t="shared" si="189"/>
        <v>1</v>
      </c>
      <c r="K62" s="8" t="b">
        <f t="shared" si="189"/>
        <v>0</v>
      </c>
      <c r="L62" s="9" t="b">
        <v>1</v>
      </c>
      <c r="M62" s="9" t="b">
        <v>1</v>
      </c>
      <c r="N62" s="9" t="b">
        <v>1</v>
      </c>
      <c r="O62" s="9" t="b">
        <v>0</v>
      </c>
      <c r="P62" s="7" t="str">
        <f t="shared" si="5"/>
        <v>FOMU | Fotomuseum Antwerpen</v>
      </c>
      <c r="Q62" s="10">
        <v>12.0</v>
      </c>
      <c r="R62" s="9" t="b">
        <v>0</v>
      </c>
      <c r="S62" s="9" t="b">
        <v>1</v>
      </c>
      <c r="T62" s="10">
        <v>12.0</v>
      </c>
      <c r="U62" s="11">
        <f t="shared" si="6"/>
        <v>0</v>
      </c>
      <c r="V62" s="11">
        <f t="shared" ref="V62:AB62" si="190">IF(OR(AW62 = $AO$4, AW62 = $AQ$4), 1, 0)</f>
        <v>1</v>
      </c>
      <c r="W62" s="11">
        <f t="shared" si="190"/>
        <v>1</v>
      </c>
      <c r="X62" s="11">
        <f t="shared" si="190"/>
        <v>1</v>
      </c>
      <c r="Y62" s="11">
        <f t="shared" si="190"/>
        <v>1</v>
      </c>
      <c r="Z62" s="11">
        <f t="shared" si="190"/>
        <v>1</v>
      </c>
      <c r="AA62" s="11">
        <f t="shared" si="190"/>
        <v>1</v>
      </c>
      <c r="AB62" s="11">
        <f t="shared" si="190"/>
        <v>1</v>
      </c>
      <c r="AC62" s="11">
        <f t="shared" si="8"/>
        <v>7</v>
      </c>
      <c r="AD62" s="11">
        <f t="shared" si="9"/>
        <v>1</v>
      </c>
      <c r="AE62" s="11">
        <f t="shared" ref="AE62:AH62" si="191">IF(OR(BD62 = $AO$6, BD62 = $AS$6, BD62 = $AT$6, BD62 = $AU$6), 1, 0)</f>
        <v>1</v>
      </c>
      <c r="AF62" s="11">
        <f t="shared" si="191"/>
        <v>1</v>
      </c>
      <c r="AG62" s="11">
        <f t="shared" si="191"/>
        <v>1</v>
      </c>
      <c r="AH62" s="11">
        <f t="shared" si="191"/>
        <v>1</v>
      </c>
      <c r="AI62" s="11">
        <f t="shared" si="11"/>
        <v>4</v>
      </c>
      <c r="AJ62" s="11">
        <f t="shared" si="12"/>
        <v>12</v>
      </c>
      <c r="AK62" s="12">
        <f t="shared" si="13"/>
        <v>5</v>
      </c>
      <c r="AL62" s="13" t="str">
        <f t="shared" si="14"/>
        <v>excellent</v>
      </c>
      <c r="AM62" s="7"/>
      <c r="AN62" s="7"/>
    </row>
    <row r="63">
      <c r="A63" s="7" t="s">
        <v>167</v>
      </c>
      <c r="B63" s="7" t="s">
        <v>168</v>
      </c>
      <c r="C63" s="8" t="s">
        <v>156</v>
      </c>
      <c r="D63" s="7" t="s">
        <v>4</v>
      </c>
      <c r="E63" s="8" t="b">
        <f t="shared" ref="E63:K63" si="192">IF(IFERROR(SEARCH(E$1, $D63),0) &gt;= 1, TRUE,FALSE)</f>
        <v>1</v>
      </c>
      <c r="F63" s="8" t="b">
        <f t="shared" si="192"/>
        <v>0</v>
      </c>
      <c r="G63" s="8" t="b">
        <f t="shared" si="192"/>
        <v>0</v>
      </c>
      <c r="H63" s="8" t="b">
        <f t="shared" si="192"/>
        <v>0</v>
      </c>
      <c r="I63" s="8" t="b">
        <f t="shared" si="192"/>
        <v>0</v>
      </c>
      <c r="J63" s="8" t="b">
        <f t="shared" si="192"/>
        <v>0</v>
      </c>
      <c r="K63" s="8" t="b">
        <f t="shared" si="192"/>
        <v>0</v>
      </c>
      <c r="L63" s="9" t="b">
        <v>0</v>
      </c>
      <c r="M63" s="9" t="b">
        <v>0</v>
      </c>
      <c r="N63" s="9" t="b">
        <v>1</v>
      </c>
      <c r="O63" s="9" t="b">
        <v>0</v>
      </c>
      <c r="P63" s="7" t="str">
        <f t="shared" si="5"/>
        <v>Fort van Breendonk</v>
      </c>
      <c r="Q63" s="10">
        <v>12.0</v>
      </c>
      <c r="R63" s="9" t="b">
        <v>0</v>
      </c>
      <c r="S63" s="9" t="b">
        <v>0</v>
      </c>
      <c r="T63" s="7"/>
      <c r="U63" s="11">
        <f t="shared" si="6"/>
        <v>0</v>
      </c>
      <c r="V63" s="11">
        <f t="shared" ref="V63:AB63" si="193">IF(OR(AW63 = $AO$4, AW63 = $AQ$4), 1, 0)</f>
        <v>1</v>
      </c>
      <c r="W63" s="11">
        <f t="shared" si="193"/>
        <v>1</v>
      </c>
      <c r="X63" s="11">
        <f t="shared" si="193"/>
        <v>1</v>
      </c>
      <c r="Y63" s="11">
        <f t="shared" si="193"/>
        <v>1</v>
      </c>
      <c r="Z63" s="11">
        <f t="shared" si="193"/>
        <v>1</v>
      </c>
      <c r="AA63" s="11">
        <f t="shared" si="193"/>
        <v>1</v>
      </c>
      <c r="AB63" s="11">
        <f t="shared" si="193"/>
        <v>1</v>
      </c>
      <c r="AC63" s="11">
        <f t="shared" si="8"/>
        <v>7</v>
      </c>
      <c r="AD63" s="11">
        <f t="shared" si="9"/>
        <v>1</v>
      </c>
      <c r="AE63" s="11">
        <f t="shared" ref="AE63:AH63" si="194">IF(OR(BD63 = $AO$6, BD63 = $AS$6, BD63 = $AT$6, BD63 = $AU$6), 1, 0)</f>
        <v>1</v>
      </c>
      <c r="AF63" s="11">
        <f t="shared" si="194"/>
        <v>1</v>
      </c>
      <c r="AG63" s="11">
        <f t="shared" si="194"/>
        <v>1</v>
      </c>
      <c r="AH63" s="11">
        <f t="shared" si="194"/>
        <v>1</v>
      </c>
      <c r="AI63" s="11">
        <f t="shared" si="11"/>
        <v>4</v>
      </c>
      <c r="AJ63" s="11">
        <f t="shared" si="12"/>
        <v>12</v>
      </c>
      <c r="AK63" s="12">
        <f t="shared" si="13"/>
        <v>5</v>
      </c>
      <c r="AL63" s="13" t="str">
        <f t="shared" si="14"/>
        <v>excellent</v>
      </c>
      <c r="AM63" s="7"/>
      <c r="AN63" s="7"/>
    </row>
    <row r="64">
      <c r="A64" s="7" t="s">
        <v>169</v>
      </c>
      <c r="B64" s="7" t="s">
        <v>170</v>
      </c>
      <c r="C64" s="8" t="s">
        <v>156</v>
      </c>
      <c r="D64" s="7" t="s">
        <v>171</v>
      </c>
      <c r="E64" s="8" t="b">
        <f t="shared" ref="E64:K64" si="195">IF(IFERROR(SEARCH(E$1, $D64),0) &gt;= 1, TRUE,FALSE)</f>
        <v>1</v>
      </c>
      <c r="F64" s="8" t="b">
        <f t="shared" si="195"/>
        <v>1</v>
      </c>
      <c r="G64" s="8" t="b">
        <f t="shared" si="195"/>
        <v>0</v>
      </c>
      <c r="H64" s="8" t="b">
        <f t="shared" si="195"/>
        <v>0</v>
      </c>
      <c r="I64" s="8" t="b">
        <f t="shared" si="195"/>
        <v>1</v>
      </c>
      <c r="J64" s="8" t="b">
        <f t="shared" si="195"/>
        <v>1</v>
      </c>
      <c r="K64" s="8" t="b">
        <f t="shared" si="195"/>
        <v>0</v>
      </c>
      <c r="L64" s="9" t="b">
        <v>1</v>
      </c>
      <c r="M64" s="9" t="b">
        <v>0</v>
      </c>
      <c r="N64" s="9" t="b">
        <v>1</v>
      </c>
      <c r="O64" s="9" t="b">
        <v>0</v>
      </c>
      <c r="P64" s="7" t="str">
        <f t="shared" si="5"/>
        <v>Gasthuismuseum Geel</v>
      </c>
      <c r="Q64" s="10">
        <v>12.0</v>
      </c>
      <c r="R64" s="9" t="b">
        <v>0</v>
      </c>
      <c r="S64" s="9" t="b">
        <v>1</v>
      </c>
      <c r="T64" s="10">
        <v>6.0</v>
      </c>
      <c r="U64" s="11">
        <f t="shared" si="6"/>
        <v>0</v>
      </c>
      <c r="V64" s="11">
        <f t="shared" ref="V64:AB64" si="196">IF(OR(AW64 = $AO$4, AW64 = $AQ$4), 1, 0)</f>
        <v>1</v>
      </c>
      <c r="W64" s="11">
        <f t="shared" si="196"/>
        <v>1</v>
      </c>
      <c r="X64" s="11">
        <f t="shared" si="196"/>
        <v>1</v>
      </c>
      <c r="Y64" s="11">
        <f t="shared" si="196"/>
        <v>1</v>
      </c>
      <c r="Z64" s="11">
        <f t="shared" si="196"/>
        <v>1</v>
      </c>
      <c r="AA64" s="11">
        <f t="shared" si="196"/>
        <v>1</v>
      </c>
      <c r="AB64" s="11">
        <f t="shared" si="196"/>
        <v>1</v>
      </c>
      <c r="AC64" s="11">
        <f t="shared" si="8"/>
        <v>7</v>
      </c>
      <c r="AD64" s="11">
        <f t="shared" si="9"/>
        <v>1</v>
      </c>
      <c r="AE64" s="11">
        <f t="shared" ref="AE64:AH64" si="197">IF(OR(BD64 = $AO$6, BD64 = $AS$6, BD64 = $AT$6, BD64 = $AU$6), 1, 0)</f>
        <v>1</v>
      </c>
      <c r="AF64" s="11">
        <f t="shared" si="197"/>
        <v>1</v>
      </c>
      <c r="AG64" s="11">
        <f t="shared" si="197"/>
        <v>1</v>
      </c>
      <c r="AH64" s="11">
        <f t="shared" si="197"/>
        <v>1</v>
      </c>
      <c r="AI64" s="11">
        <f t="shared" si="11"/>
        <v>4</v>
      </c>
      <c r="AJ64" s="11">
        <f t="shared" si="12"/>
        <v>12</v>
      </c>
      <c r="AK64" s="12">
        <f t="shared" si="13"/>
        <v>5</v>
      </c>
      <c r="AL64" s="13" t="str">
        <f t="shared" si="14"/>
        <v>excellent</v>
      </c>
      <c r="AM64" s="7"/>
      <c r="AN64" s="7"/>
    </row>
    <row r="65">
      <c r="A65" s="7" t="s">
        <v>172</v>
      </c>
      <c r="B65" s="7" t="s">
        <v>173</v>
      </c>
      <c r="C65" s="8" t="s">
        <v>156</v>
      </c>
      <c r="D65" s="7" t="s">
        <v>4</v>
      </c>
      <c r="E65" s="8" t="b">
        <f t="shared" ref="E65:K65" si="198">IF(IFERROR(SEARCH(E$1, $D65),0) &gt;= 1, TRUE,FALSE)</f>
        <v>1</v>
      </c>
      <c r="F65" s="8" t="b">
        <f t="shared" si="198"/>
        <v>0</v>
      </c>
      <c r="G65" s="8" t="b">
        <f t="shared" si="198"/>
        <v>0</v>
      </c>
      <c r="H65" s="8" t="b">
        <f t="shared" si="198"/>
        <v>0</v>
      </c>
      <c r="I65" s="8" t="b">
        <f t="shared" si="198"/>
        <v>0</v>
      </c>
      <c r="J65" s="8" t="b">
        <f t="shared" si="198"/>
        <v>0</v>
      </c>
      <c r="K65" s="8" t="b">
        <f t="shared" si="198"/>
        <v>0</v>
      </c>
      <c r="L65" s="9" t="b">
        <v>1</v>
      </c>
      <c r="M65" s="9" t="b">
        <v>0</v>
      </c>
      <c r="N65" s="9" t="b">
        <v>0</v>
      </c>
      <c r="O65" s="9" t="b">
        <v>0</v>
      </c>
      <c r="P65" s="7" t="str">
        <f t="shared" si="5"/>
        <v>Het Snijders&amp;Rockoxhuis</v>
      </c>
      <c r="Q65" s="10">
        <v>10.0</v>
      </c>
      <c r="R65" s="9" t="b">
        <v>0</v>
      </c>
      <c r="S65" s="9" t="b">
        <v>1</v>
      </c>
      <c r="T65" s="10">
        <v>10.0</v>
      </c>
      <c r="U65" s="11">
        <f t="shared" si="6"/>
        <v>0</v>
      </c>
      <c r="V65" s="11">
        <f t="shared" ref="V65:AB65" si="199">IF(OR(AW65 = $AO$4, AW65 = $AQ$4), 1, 0)</f>
        <v>1</v>
      </c>
      <c r="W65" s="11">
        <f t="shared" si="199"/>
        <v>1</v>
      </c>
      <c r="X65" s="11">
        <f t="shared" si="199"/>
        <v>1</v>
      </c>
      <c r="Y65" s="11">
        <f t="shared" si="199"/>
        <v>1</v>
      </c>
      <c r="Z65" s="11">
        <f t="shared" si="199"/>
        <v>1</v>
      </c>
      <c r="AA65" s="11">
        <f t="shared" si="199"/>
        <v>1</v>
      </c>
      <c r="AB65" s="11">
        <f t="shared" si="199"/>
        <v>1</v>
      </c>
      <c r="AC65" s="11">
        <f t="shared" si="8"/>
        <v>7</v>
      </c>
      <c r="AD65" s="11">
        <f t="shared" si="9"/>
        <v>1</v>
      </c>
      <c r="AE65" s="11">
        <f t="shared" ref="AE65:AH65" si="200">IF(OR(BD65 = $AO$6, BD65 = $AS$6, BD65 = $AT$6, BD65 = $AU$6), 1, 0)</f>
        <v>1</v>
      </c>
      <c r="AF65" s="11">
        <f t="shared" si="200"/>
        <v>1</v>
      </c>
      <c r="AG65" s="11">
        <f t="shared" si="200"/>
        <v>1</v>
      </c>
      <c r="AH65" s="11">
        <f t="shared" si="200"/>
        <v>1</v>
      </c>
      <c r="AI65" s="11">
        <f t="shared" si="11"/>
        <v>4</v>
      </c>
      <c r="AJ65" s="11">
        <f t="shared" si="12"/>
        <v>12</v>
      </c>
      <c r="AK65" s="12">
        <f t="shared" si="13"/>
        <v>5</v>
      </c>
      <c r="AL65" s="13" t="str">
        <f t="shared" si="14"/>
        <v>excellent</v>
      </c>
      <c r="AM65" s="7"/>
      <c r="AN65" s="7"/>
    </row>
    <row r="66">
      <c r="A66" s="7" t="s">
        <v>174</v>
      </c>
      <c r="B66" s="7" t="s">
        <v>175</v>
      </c>
      <c r="C66" s="8" t="s">
        <v>156</v>
      </c>
      <c r="D66" s="7" t="s">
        <v>9</v>
      </c>
      <c r="E66" s="8" t="b">
        <f t="shared" ref="E66:K66" si="201">IF(IFERROR(SEARCH(E$1, $D66),0) &gt;= 1, TRUE,FALSE)</f>
        <v>0</v>
      </c>
      <c r="F66" s="8" t="b">
        <f t="shared" si="201"/>
        <v>0</v>
      </c>
      <c r="G66" s="8" t="b">
        <f t="shared" si="201"/>
        <v>0</v>
      </c>
      <c r="H66" s="8" t="b">
        <f t="shared" si="201"/>
        <v>0</v>
      </c>
      <c r="I66" s="8" t="b">
        <f t="shared" si="201"/>
        <v>0</v>
      </c>
      <c r="J66" s="8" t="b">
        <f t="shared" si="201"/>
        <v>1</v>
      </c>
      <c r="K66" s="8" t="b">
        <f t="shared" si="201"/>
        <v>0</v>
      </c>
      <c r="L66" s="9" t="b">
        <v>1</v>
      </c>
      <c r="M66" s="9" t="b">
        <v>0</v>
      </c>
      <c r="N66" s="9" t="b">
        <v>1</v>
      </c>
      <c r="O66" s="9" t="b">
        <v>0</v>
      </c>
      <c r="P66" s="7" t="str">
        <f t="shared" si="5"/>
        <v>Jakob Smitsmuseum</v>
      </c>
      <c r="Q66" s="10">
        <v>5.0</v>
      </c>
      <c r="R66" s="9" t="b">
        <v>0</v>
      </c>
      <c r="S66" s="9" t="b">
        <v>1</v>
      </c>
      <c r="T66" s="10">
        <v>5.0</v>
      </c>
      <c r="U66" s="11">
        <f t="shared" si="6"/>
        <v>0</v>
      </c>
      <c r="V66" s="11">
        <f t="shared" ref="V66:AB66" si="202">IF(OR(AW66 = $AO$4, AW66 = $AQ$4), 1, 0)</f>
        <v>1</v>
      </c>
      <c r="W66" s="11">
        <f t="shared" si="202"/>
        <v>1</v>
      </c>
      <c r="X66" s="11">
        <f t="shared" si="202"/>
        <v>1</v>
      </c>
      <c r="Y66" s="11">
        <f t="shared" si="202"/>
        <v>1</v>
      </c>
      <c r="Z66" s="11">
        <f t="shared" si="202"/>
        <v>1</v>
      </c>
      <c r="AA66" s="11">
        <f t="shared" si="202"/>
        <v>1</v>
      </c>
      <c r="AB66" s="11">
        <f t="shared" si="202"/>
        <v>1</v>
      </c>
      <c r="AC66" s="11">
        <f t="shared" si="8"/>
        <v>7</v>
      </c>
      <c r="AD66" s="11">
        <f t="shared" si="9"/>
        <v>1</v>
      </c>
      <c r="AE66" s="11">
        <f t="shared" ref="AE66:AH66" si="203">IF(OR(BD66 = $AO$6, BD66 = $AS$6, BD66 = $AT$6, BD66 = $AU$6), 1, 0)</f>
        <v>1</v>
      </c>
      <c r="AF66" s="11">
        <f t="shared" si="203"/>
        <v>1</v>
      </c>
      <c r="AG66" s="11">
        <f t="shared" si="203"/>
        <v>1</v>
      </c>
      <c r="AH66" s="11">
        <f t="shared" si="203"/>
        <v>1</v>
      </c>
      <c r="AI66" s="11">
        <f t="shared" si="11"/>
        <v>4</v>
      </c>
      <c r="AJ66" s="11">
        <f t="shared" si="12"/>
        <v>12</v>
      </c>
      <c r="AK66" s="12">
        <f t="shared" si="13"/>
        <v>5</v>
      </c>
      <c r="AL66" s="13" t="str">
        <f t="shared" si="14"/>
        <v>excellent</v>
      </c>
      <c r="AM66" s="7"/>
      <c r="AN66" s="7"/>
    </row>
    <row r="67">
      <c r="A67" s="7" t="s">
        <v>176</v>
      </c>
      <c r="B67" s="7" t="s">
        <v>177</v>
      </c>
      <c r="C67" s="8" t="s">
        <v>156</v>
      </c>
      <c r="D67" s="7" t="s">
        <v>114</v>
      </c>
      <c r="E67" s="8" t="b">
        <f t="shared" ref="E67:K67" si="204">IF(IFERROR(SEARCH(E$1, $D67),0) &gt;= 1, TRUE,FALSE)</f>
        <v>1</v>
      </c>
      <c r="F67" s="8" t="b">
        <f t="shared" si="204"/>
        <v>1</v>
      </c>
      <c r="G67" s="8" t="b">
        <f t="shared" si="204"/>
        <v>0</v>
      </c>
      <c r="H67" s="8" t="b">
        <f t="shared" si="204"/>
        <v>0</v>
      </c>
      <c r="I67" s="8" t="b">
        <f t="shared" si="204"/>
        <v>0</v>
      </c>
      <c r="J67" s="8" t="b">
        <f t="shared" si="204"/>
        <v>0</v>
      </c>
      <c r="K67" s="8" t="b">
        <f t="shared" si="204"/>
        <v>0</v>
      </c>
      <c r="L67" s="9" t="b">
        <v>1</v>
      </c>
      <c r="M67" s="9" t="b">
        <v>1</v>
      </c>
      <c r="N67" s="9" t="b">
        <v>1</v>
      </c>
      <c r="O67" s="9" t="b">
        <v>1</v>
      </c>
      <c r="P67" s="7" t="str">
        <f t="shared" si="5"/>
        <v>Karrenmuseum Essen</v>
      </c>
      <c r="Q67" s="10">
        <v>6.0</v>
      </c>
      <c r="R67" s="9" t="b">
        <v>0</v>
      </c>
      <c r="S67" s="9" t="b">
        <v>0</v>
      </c>
      <c r="T67" s="7"/>
      <c r="U67" s="11">
        <f t="shared" si="6"/>
        <v>0</v>
      </c>
      <c r="V67" s="11">
        <f t="shared" ref="V67:AB67" si="205">IF(OR(AW67 = $AO$4, AW67 = $AQ$4), 1, 0)</f>
        <v>1</v>
      </c>
      <c r="W67" s="11">
        <f t="shared" si="205"/>
        <v>1</v>
      </c>
      <c r="X67" s="11">
        <f t="shared" si="205"/>
        <v>1</v>
      </c>
      <c r="Y67" s="11">
        <f t="shared" si="205"/>
        <v>1</v>
      </c>
      <c r="Z67" s="11">
        <f t="shared" si="205"/>
        <v>1</v>
      </c>
      <c r="AA67" s="11">
        <f t="shared" si="205"/>
        <v>1</v>
      </c>
      <c r="AB67" s="11">
        <f t="shared" si="205"/>
        <v>1</v>
      </c>
      <c r="AC67" s="11">
        <f t="shared" si="8"/>
        <v>7</v>
      </c>
      <c r="AD67" s="11">
        <f t="shared" si="9"/>
        <v>1</v>
      </c>
      <c r="AE67" s="11">
        <f t="shared" ref="AE67:AH67" si="206">IF(OR(BD67 = $AO$6, BD67 = $AS$6, BD67 = $AT$6, BD67 = $AU$6), 1, 0)</f>
        <v>1</v>
      </c>
      <c r="AF67" s="11">
        <f t="shared" si="206"/>
        <v>1</v>
      </c>
      <c r="AG67" s="11">
        <f t="shared" si="206"/>
        <v>1</v>
      </c>
      <c r="AH67" s="11">
        <f t="shared" si="206"/>
        <v>1</v>
      </c>
      <c r="AI67" s="11">
        <f t="shared" si="11"/>
        <v>4</v>
      </c>
      <c r="AJ67" s="11">
        <f t="shared" si="12"/>
        <v>12</v>
      </c>
      <c r="AK67" s="12">
        <f t="shared" si="13"/>
        <v>5</v>
      </c>
      <c r="AL67" s="13" t="str">
        <f t="shared" si="14"/>
        <v>excellent</v>
      </c>
      <c r="AM67" s="7"/>
      <c r="AN67" s="7"/>
    </row>
    <row r="68">
      <c r="A68" s="7" t="s">
        <v>178</v>
      </c>
      <c r="B68" s="7" t="s">
        <v>179</v>
      </c>
      <c r="C68" s="8" t="s">
        <v>156</v>
      </c>
      <c r="D68" s="7" t="s">
        <v>4</v>
      </c>
      <c r="E68" s="8" t="b">
        <f t="shared" ref="E68:K68" si="207">IF(IFERROR(SEARCH(E$1, $D68),0) &gt;= 1, TRUE,FALSE)</f>
        <v>1</v>
      </c>
      <c r="F68" s="8" t="b">
        <f t="shared" si="207"/>
        <v>0</v>
      </c>
      <c r="G68" s="8" t="b">
        <f t="shared" si="207"/>
        <v>0</v>
      </c>
      <c r="H68" s="8" t="b">
        <f t="shared" si="207"/>
        <v>0</v>
      </c>
      <c r="I68" s="8" t="b">
        <f t="shared" si="207"/>
        <v>0</v>
      </c>
      <c r="J68" s="8" t="b">
        <f t="shared" si="207"/>
        <v>0</v>
      </c>
      <c r="K68" s="8" t="b">
        <f t="shared" si="207"/>
        <v>0</v>
      </c>
      <c r="L68" s="9" t="b">
        <v>1</v>
      </c>
      <c r="M68" s="9" t="b">
        <v>0</v>
      </c>
      <c r="N68" s="9" t="b">
        <v>1</v>
      </c>
      <c r="O68" s="9" t="b">
        <v>0</v>
      </c>
      <c r="P68" s="7" t="str">
        <f t="shared" si="5"/>
        <v>Kazerne Dossin</v>
      </c>
      <c r="Q68" s="10">
        <v>12.0</v>
      </c>
      <c r="R68" s="9" t="b">
        <v>0</v>
      </c>
      <c r="S68" s="9" t="b">
        <v>1</v>
      </c>
      <c r="T68" s="10">
        <v>10.0</v>
      </c>
      <c r="U68" s="11">
        <f t="shared" si="6"/>
        <v>0</v>
      </c>
      <c r="V68" s="11">
        <f t="shared" ref="V68:AB68" si="208">IF(OR(AW68 = $AO$4, AW68 = $AQ$4), 1, 0)</f>
        <v>1</v>
      </c>
      <c r="W68" s="11">
        <f t="shared" si="208"/>
        <v>1</v>
      </c>
      <c r="X68" s="11">
        <f t="shared" si="208"/>
        <v>1</v>
      </c>
      <c r="Y68" s="11">
        <f t="shared" si="208"/>
        <v>1</v>
      </c>
      <c r="Z68" s="11">
        <f t="shared" si="208"/>
        <v>1</v>
      </c>
      <c r="AA68" s="11">
        <f t="shared" si="208"/>
        <v>1</v>
      </c>
      <c r="AB68" s="11">
        <f t="shared" si="208"/>
        <v>1</v>
      </c>
      <c r="AC68" s="11">
        <f t="shared" si="8"/>
        <v>7</v>
      </c>
      <c r="AD68" s="11">
        <f t="shared" si="9"/>
        <v>1</v>
      </c>
      <c r="AE68" s="11">
        <f t="shared" ref="AE68:AH68" si="209">IF(OR(BD68 = $AO$6, BD68 = $AS$6, BD68 = $AT$6, BD68 = $AU$6), 1, 0)</f>
        <v>1</v>
      </c>
      <c r="AF68" s="11">
        <f t="shared" si="209"/>
        <v>1</v>
      </c>
      <c r="AG68" s="11">
        <f t="shared" si="209"/>
        <v>1</v>
      </c>
      <c r="AH68" s="11">
        <f t="shared" si="209"/>
        <v>1</v>
      </c>
      <c r="AI68" s="11">
        <f t="shared" si="11"/>
        <v>4</v>
      </c>
      <c r="AJ68" s="11">
        <f t="shared" si="12"/>
        <v>12</v>
      </c>
      <c r="AK68" s="12">
        <f t="shared" si="13"/>
        <v>5</v>
      </c>
      <c r="AL68" s="13" t="str">
        <f t="shared" si="14"/>
        <v>excellent</v>
      </c>
      <c r="AM68" s="7"/>
      <c r="AN68" s="7"/>
    </row>
    <row r="69">
      <c r="A69" s="7" t="s">
        <v>180</v>
      </c>
      <c r="B69" s="7" t="s">
        <v>181</v>
      </c>
      <c r="C69" s="8" t="s">
        <v>156</v>
      </c>
      <c r="D69" s="7" t="s">
        <v>9</v>
      </c>
      <c r="E69" s="8" t="b">
        <f t="shared" ref="E69:K69" si="210">IF(IFERROR(SEARCH(E$1, $D69),0) &gt;= 1, TRUE,FALSE)</f>
        <v>0</v>
      </c>
      <c r="F69" s="8" t="b">
        <f t="shared" si="210"/>
        <v>0</v>
      </c>
      <c r="G69" s="8" t="b">
        <f t="shared" si="210"/>
        <v>0</v>
      </c>
      <c r="H69" s="8" t="b">
        <f t="shared" si="210"/>
        <v>0</v>
      </c>
      <c r="I69" s="8" t="b">
        <f t="shared" si="210"/>
        <v>0</v>
      </c>
      <c r="J69" s="8" t="b">
        <f t="shared" si="210"/>
        <v>1</v>
      </c>
      <c r="K69" s="8" t="b">
        <f t="shared" si="210"/>
        <v>0</v>
      </c>
      <c r="L69" s="9" t="b">
        <v>1</v>
      </c>
      <c r="M69" s="9" t="b">
        <v>1</v>
      </c>
      <c r="N69" s="9" t="b">
        <v>0</v>
      </c>
      <c r="O69" s="9" t="b">
        <v>1</v>
      </c>
      <c r="P69" s="7" t="str">
        <f t="shared" si="5"/>
        <v>KMSKA | Koninklijk Museum voor Schone Kunsten Antwerpen</v>
      </c>
      <c r="Q69" s="10">
        <v>20.0</v>
      </c>
      <c r="R69" s="9" t="b">
        <v>0</v>
      </c>
      <c r="S69" s="9" t="b">
        <v>1</v>
      </c>
      <c r="T69" s="10">
        <v>20.0</v>
      </c>
      <c r="U69" s="11">
        <f t="shared" si="6"/>
        <v>0</v>
      </c>
      <c r="V69" s="11">
        <f t="shared" ref="V69:AB69" si="211">IF(OR(AW69 = $AO$4, AW69 = $AQ$4), 1, 0)</f>
        <v>1</v>
      </c>
      <c r="W69" s="11">
        <f t="shared" si="211"/>
        <v>1</v>
      </c>
      <c r="X69" s="11">
        <f t="shared" si="211"/>
        <v>1</v>
      </c>
      <c r="Y69" s="11">
        <f t="shared" si="211"/>
        <v>1</v>
      </c>
      <c r="Z69" s="11">
        <f t="shared" si="211"/>
        <v>1</v>
      </c>
      <c r="AA69" s="11">
        <f t="shared" si="211"/>
        <v>1</v>
      </c>
      <c r="AB69" s="11">
        <f t="shared" si="211"/>
        <v>1</v>
      </c>
      <c r="AC69" s="11">
        <f t="shared" si="8"/>
        <v>7</v>
      </c>
      <c r="AD69" s="11">
        <f t="shared" si="9"/>
        <v>0</v>
      </c>
      <c r="AE69" s="11">
        <f t="shared" ref="AE69:AH69" si="212">IF(OR(BD69 = $AO$6, BD69 = $AS$6, BD69 = $AT$6, BD69 = $AU$6), 1, 0)</f>
        <v>1</v>
      </c>
      <c r="AF69" s="11">
        <f t="shared" si="212"/>
        <v>1</v>
      </c>
      <c r="AG69" s="11">
        <f t="shared" si="212"/>
        <v>1</v>
      </c>
      <c r="AH69" s="11">
        <f t="shared" si="212"/>
        <v>1</v>
      </c>
      <c r="AI69" s="11">
        <f t="shared" si="11"/>
        <v>4</v>
      </c>
      <c r="AJ69" s="11">
        <f t="shared" si="12"/>
        <v>11</v>
      </c>
      <c r="AK69" s="12">
        <f t="shared" si="13"/>
        <v>4.583333333</v>
      </c>
      <c r="AL69" s="13" t="str">
        <f t="shared" si="14"/>
        <v>excellent</v>
      </c>
      <c r="AM69" s="7"/>
      <c r="AN69" s="7"/>
    </row>
    <row r="70">
      <c r="A70" s="7" t="s">
        <v>182</v>
      </c>
      <c r="B70" s="7"/>
      <c r="C70" s="8" t="s">
        <v>156</v>
      </c>
      <c r="D70" s="7" t="s">
        <v>9</v>
      </c>
      <c r="E70" s="8" t="b">
        <f t="shared" ref="E70:K70" si="213">IF(IFERROR(SEARCH(E$1, $D70),0) &gt;= 1, TRUE,FALSE)</f>
        <v>0</v>
      </c>
      <c r="F70" s="8" t="b">
        <f t="shared" si="213"/>
        <v>0</v>
      </c>
      <c r="G70" s="8" t="b">
        <f t="shared" si="213"/>
        <v>0</v>
      </c>
      <c r="H70" s="8" t="b">
        <f t="shared" si="213"/>
        <v>0</v>
      </c>
      <c r="I70" s="8" t="b">
        <f t="shared" si="213"/>
        <v>0</v>
      </c>
      <c r="J70" s="8" t="b">
        <f t="shared" si="213"/>
        <v>1</v>
      </c>
      <c r="K70" s="8" t="b">
        <f t="shared" si="213"/>
        <v>0</v>
      </c>
      <c r="L70" s="9" t="b">
        <v>1</v>
      </c>
      <c r="M70" s="9" t="b">
        <v>1</v>
      </c>
      <c r="N70" s="9" t="b">
        <v>0</v>
      </c>
      <c r="O70" s="9" t="b">
        <v>0</v>
      </c>
      <c r="P70" s="7" t="str">
        <f t="shared" si="5"/>
        <v>Kunsthal Extra City</v>
      </c>
      <c r="Q70" s="10">
        <v>7.0</v>
      </c>
      <c r="R70" s="9" t="b">
        <v>0</v>
      </c>
      <c r="S70" s="9" t="b">
        <v>1</v>
      </c>
      <c r="T70" s="10">
        <v>7.0</v>
      </c>
      <c r="U70" s="11">
        <f t="shared" si="6"/>
        <v>0</v>
      </c>
      <c r="V70" s="11">
        <f t="shared" ref="V70:AB70" si="214">IF(OR(AW70 = $AO$4, AW70 = $AQ$4), 1, 0)</f>
        <v>1</v>
      </c>
      <c r="W70" s="11">
        <f t="shared" si="214"/>
        <v>1</v>
      </c>
      <c r="X70" s="11">
        <f t="shared" si="214"/>
        <v>1</v>
      </c>
      <c r="Y70" s="11">
        <f t="shared" si="214"/>
        <v>1</v>
      </c>
      <c r="Z70" s="11">
        <f t="shared" si="214"/>
        <v>1</v>
      </c>
      <c r="AA70" s="11">
        <f t="shared" si="214"/>
        <v>1</v>
      </c>
      <c r="AB70" s="11">
        <f t="shared" si="214"/>
        <v>1</v>
      </c>
      <c r="AC70" s="11">
        <f t="shared" si="8"/>
        <v>7</v>
      </c>
      <c r="AD70" s="11">
        <f t="shared" si="9"/>
        <v>1</v>
      </c>
      <c r="AE70" s="11">
        <f t="shared" ref="AE70:AH70" si="215">IF(OR(BD70 = $AO$6, BD70 = $AS$6, BD70 = $AT$6, BD70 = $AU$6), 1, 0)</f>
        <v>1</v>
      </c>
      <c r="AF70" s="11">
        <f t="shared" si="215"/>
        <v>1</v>
      </c>
      <c r="AG70" s="11">
        <f t="shared" si="215"/>
        <v>1</v>
      </c>
      <c r="AH70" s="11">
        <f t="shared" si="215"/>
        <v>1</v>
      </c>
      <c r="AI70" s="11">
        <f t="shared" si="11"/>
        <v>4</v>
      </c>
      <c r="AJ70" s="11">
        <f t="shared" si="12"/>
        <v>12</v>
      </c>
      <c r="AK70" s="12">
        <f t="shared" si="13"/>
        <v>5</v>
      </c>
      <c r="AL70" s="13" t="str">
        <f t="shared" si="14"/>
        <v>excellent</v>
      </c>
      <c r="AM70" s="7"/>
      <c r="AN70" s="7"/>
    </row>
    <row r="71">
      <c r="A71" s="7" t="s">
        <v>183</v>
      </c>
      <c r="B71" s="7" t="s">
        <v>184</v>
      </c>
      <c r="C71" s="8" t="s">
        <v>156</v>
      </c>
      <c r="D71" s="7" t="s">
        <v>9</v>
      </c>
      <c r="E71" s="8" t="b">
        <f t="shared" ref="E71:K71" si="216">IF(IFERROR(SEARCH(E$1, $D71),0) &gt;= 1, TRUE,FALSE)</f>
        <v>0</v>
      </c>
      <c r="F71" s="8" t="b">
        <f t="shared" si="216"/>
        <v>0</v>
      </c>
      <c r="G71" s="8" t="b">
        <f t="shared" si="216"/>
        <v>0</v>
      </c>
      <c r="H71" s="8" t="b">
        <f t="shared" si="216"/>
        <v>0</v>
      </c>
      <c r="I71" s="8" t="b">
        <f t="shared" si="216"/>
        <v>0</v>
      </c>
      <c r="J71" s="8" t="b">
        <f t="shared" si="216"/>
        <v>1</v>
      </c>
      <c r="K71" s="8" t="b">
        <f t="shared" si="216"/>
        <v>0</v>
      </c>
      <c r="L71" s="9" t="b">
        <v>1</v>
      </c>
      <c r="M71" s="9" t="b">
        <v>1</v>
      </c>
      <c r="N71" s="9" t="b">
        <v>0</v>
      </c>
      <c r="O71" s="9" t="b">
        <v>0</v>
      </c>
      <c r="P71" s="7" t="str">
        <f t="shared" si="5"/>
        <v>Kunsthal Mechelen</v>
      </c>
      <c r="Q71" s="10">
        <v>5.0</v>
      </c>
      <c r="R71" s="9" t="b">
        <v>0</v>
      </c>
      <c r="S71" s="9" t="b">
        <v>1</v>
      </c>
      <c r="T71" s="10">
        <v>5.0</v>
      </c>
      <c r="U71" s="11">
        <f t="shared" si="6"/>
        <v>0</v>
      </c>
      <c r="V71" s="11">
        <f t="shared" ref="V71:AB71" si="217">IF(OR(AW71 = $AO$4, AW71 = $AQ$4), 1, 0)</f>
        <v>1</v>
      </c>
      <c r="W71" s="11">
        <f t="shared" si="217"/>
        <v>1</v>
      </c>
      <c r="X71" s="11">
        <f t="shared" si="217"/>
        <v>1</v>
      </c>
      <c r="Y71" s="11">
        <f t="shared" si="217"/>
        <v>1</v>
      </c>
      <c r="Z71" s="11">
        <f t="shared" si="217"/>
        <v>1</v>
      </c>
      <c r="AA71" s="11">
        <f t="shared" si="217"/>
        <v>1</v>
      </c>
      <c r="AB71" s="11">
        <f t="shared" si="217"/>
        <v>1</v>
      </c>
      <c r="AC71" s="11">
        <f t="shared" si="8"/>
        <v>7</v>
      </c>
      <c r="AD71" s="11">
        <f t="shared" si="9"/>
        <v>1</v>
      </c>
      <c r="AE71" s="11">
        <f t="shared" ref="AE71:AH71" si="218">IF(OR(BD71 = $AO$6, BD71 = $AS$6, BD71 = $AT$6, BD71 = $AU$6), 1, 0)</f>
        <v>1</v>
      </c>
      <c r="AF71" s="11">
        <f t="shared" si="218"/>
        <v>1</v>
      </c>
      <c r="AG71" s="11">
        <f t="shared" si="218"/>
        <v>1</v>
      </c>
      <c r="AH71" s="11">
        <f t="shared" si="218"/>
        <v>1</v>
      </c>
      <c r="AI71" s="11">
        <f t="shared" si="11"/>
        <v>4</v>
      </c>
      <c r="AJ71" s="11">
        <f t="shared" si="12"/>
        <v>12</v>
      </c>
      <c r="AK71" s="12">
        <f t="shared" si="13"/>
        <v>5</v>
      </c>
      <c r="AL71" s="13" t="str">
        <f t="shared" si="14"/>
        <v>excellent</v>
      </c>
      <c r="AM71" s="7"/>
      <c r="AN71" s="7"/>
    </row>
    <row r="72">
      <c r="A72" s="7" t="s">
        <v>185</v>
      </c>
      <c r="B72" s="7"/>
      <c r="C72" s="8" t="s">
        <v>156</v>
      </c>
      <c r="D72" s="7" t="s">
        <v>86</v>
      </c>
      <c r="E72" s="8" t="b">
        <f t="shared" ref="E72:K72" si="219">IF(IFERROR(SEARCH(E$1, $D72),0) &gt;= 1, TRUE,FALSE)</f>
        <v>1</v>
      </c>
      <c r="F72" s="8" t="b">
        <f t="shared" si="219"/>
        <v>0</v>
      </c>
      <c r="G72" s="8" t="b">
        <f t="shared" si="219"/>
        <v>0</v>
      </c>
      <c r="H72" s="8" t="b">
        <f t="shared" si="219"/>
        <v>0</v>
      </c>
      <c r="I72" s="8" t="b">
        <f t="shared" si="219"/>
        <v>0</v>
      </c>
      <c r="J72" s="8" t="b">
        <f t="shared" si="219"/>
        <v>1</v>
      </c>
      <c r="K72" s="8" t="b">
        <f t="shared" si="219"/>
        <v>1</v>
      </c>
      <c r="L72" s="9" t="b">
        <v>1</v>
      </c>
      <c r="M72" s="9" t="b">
        <v>1</v>
      </c>
      <c r="N72" s="9" t="b">
        <v>0</v>
      </c>
      <c r="O72" s="9" t="b">
        <v>1</v>
      </c>
      <c r="P72" s="7" t="str">
        <f t="shared" si="5"/>
        <v>MAS | Museum aan de Stroom</v>
      </c>
      <c r="Q72" s="10">
        <v>10.0</v>
      </c>
      <c r="R72" s="9" t="b">
        <v>0</v>
      </c>
      <c r="S72" s="9" t="b">
        <v>1</v>
      </c>
      <c r="T72" s="10">
        <v>10.0</v>
      </c>
      <c r="U72" s="11">
        <f t="shared" si="6"/>
        <v>0</v>
      </c>
      <c r="V72" s="11">
        <f t="shared" ref="V72:AB72" si="220">IF(OR(AW72 = $AO$4, AW72 = $AQ$4), 1, 0)</f>
        <v>1</v>
      </c>
      <c r="W72" s="11">
        <f t="shared" si="220"/>
        <v>1</v>
      </c>
      <c r="X72" s="11">
        <f t="shared" si="220"/>
        <v>1</v>
      </c>
      <c r="Y72" s="11">
        <f t="shared" si="220"/>
        <v>1</v>
      </c>
      <c r="Z72" s="11">
        <f t="shared" si="220"/>
        <v>1</v>
      </c>
      <c r="AA72" s="11">
        <f t="shared" si="220"/>
        <v>1</v>
      </c>
      <c r="AB72" s="11">
        <f t="shared" si="220"/>
        <v>1</v>
      </c>
      <c r="AC72" s="11">
        <f t="shared" si="8"/>
        <v>7</v>
      </c>
      <c r="AD72" s="11">
        <f t="shared" si="9"/>
        <v>1</v>
      </c>
      <c r="AE72" s="11">
        <f t="shared" ref="AE72:AH72" si="221">IF(OR(BD72 = $AO$6, BD72 = $AS$6, BD72 = $AT$6, BD72 = $AU$6), 1, 0)</f>
        <v>1</v>
      </c>
      <c r="AF72" s="11">
        <f t="shared" si="221"/>
        <v>1</v>
      </c>
      <c r="AG72" s="11">
        <f t="shared" si="221"/>
        <v>1</v>
      </c>
      <c r="AH72" s="11">
        <f t="shared" si="221"/>
        <v>1</v>
      </c>
      <c r="AI72" s="11">
        <f t="shared" si="11"/>
        <v>4</v>
      </c>
      <c r="AJ72" s="11">
        <f t="shared" si="12"/>
        <v>12</v>
      </c>
      <c r="AK72" s="12">
        <f t="shared" si="13"/>
        <v>5</v>
      </c>
      <c r="AL72" s="13" t="str">
        <f t="shared" si="14"/>
        <v>excellent</v>
      </c>
      <c r="AM72" s="7"/>
      <c r="AN72" s="7"/>
    </row>
    <row r="73">
      <c r="A73" s="7" t="s">
        <v>186</v>
      </c>
      <c r="B73" s="7" t="s">
        <v>187</v>
      </c>
      <c r="C73" s="8" t="s">
        <v>156</v>
      </c>
      <c r="D73" s="7" t="s">
        <v>188</v>
      </c>
      <c r="E73" s="8" t="b">
        <f t="shared" ref="E73:K73" si="222">IF(IFERROR(SEARCH(E$1, $D73),0) &gt;= 1, TRUE,FALSE)</f>
        <v>0</v>
      </c>
      <c r="F73" s="8" t="b">
        <f t="shared" si="222"/>
        <v>0</v>
      </c>
      <c r="G73" s="8" t="b">
        <f t="shared" si="222"/>
        <v>0</v>
      </c>
      <c r="H73" s="8" t="b">
        <f t="shared" si="222"/>
        <v>0</v>
      </c>
      <c r="I73" s="8" t="b">
        <f t="shared" si="222"/>
        <v>0</v>
      </c>
      <c r="J73" s="8" t="b">
        <f t="shared" si="222"/>
        <v>1</v>
      </c>
      <c r="K73" s="8" t="b">
        <f t="shared" si="222"/>
        <v>1</v>
      </c>
      <c r="L73" s="9" t="b">
        <v>1</v>
      </c>
      <c r="M73" s="9" t="b">
        <v>1</v>
      </c>
      <c r="N73" s="9" t="b">
        <v>0</v>
      </c>
      <c r="O73" s="9" t="b">
        <v>0</v>
      </c>
      <c r="P73" s="7" t="str">
        <f t="shared" si="5"/>
        <v>M HKA | Museum van Hedendaagse Kunst Antwerpen</v>
      </c>
      <c r="Q73" s="10">
        <v>14.0</v>
      </c>
      <c r="R73" s="9" t="b">
        <v>0</v>
      </c>
      <c r="S73" s="9" t="b">
        <v>1</v>
      </c>
      <c r="T73" s="10">
        <v>14.0</v>
      </c>
      <c r="U73" s="11">
        <f t="shared" si="6"/>
        <v>0</v>
      </c>
      <c r="V73" s="11">
        <f t="shared" ref="V73:AB73" si="223">IF(OR(AW73 = $AO$4, AW73 = $AQ$4), 1, 0)</f>
        <v>1</v>
      </c>
      <c r="W73" s="11">
        <f t="shared" si="223"/>
        <v>1</v>
      </c>
      <c r="X73" s="11">
        <f t="shared" si="223"/>
        <v>1</v>
      </c>
      <c r="Y73" s="11">
        <f t="shared" si="223"/>
        <v>1</v>
      </c>
      <c r="Z73" s="11">
        <f t="shared" si="223"/>
        <v>1</v>
      </c>
      <c r="AA73" s="11">
        <f t="shared" si="223"/>
        <v>1</v>
      </c>
      <c r="AB73" s="11">
        <f t="shared" si="223"/>
        <v>1</v>
      </c>
      <c r="AC73" s="11">
        <f t="shared" si="8"/>
        <v>7</v>
      </c>
      <c r="AD73" s="11">
        <f t="shared" si="9"/>
        <v>1</v>
      </c>
      <c r="AE73" s="11">
        <f t="shared" ref="AE73:AH73" si="224">IF(OR(BD73 = $AO$6, BD73 = $AS$6, BD73 = $AT$6, BD73 = $AU$6), 1, 0)</f>
        <v>1</v>
      </c>
      <c r="AF73" s="11">
        <f t="shared" si="224"/>
        <v>1</v>
      </c>
      <c r="AG73" s="11">
        <f t="shared" si="224"/>
        <v>1</v>
      </c>
      <c r="AH73" s="11">
        <f t="shared" si="224"/>
        <v>1</v>
      </c>
      <c r="AI73" s="11">
        <f t="shared" si="11"/>
        <v>4</v>
      </c>
      <c r="AJ73" s="11">
        <f t="shared" si="12"/>
        <v>12</v>
      </c>
      <c r="AK73" s="12">
        <f t="shared" si="13"/>
        <v>5</v>
      </c>
      <c r="AL73" s="13" t="str">
        <f t="shared" si="14"/>
        <v>excellent</v>
      </c>
      <c r="AM73" s="7"/>
      <c r="AN73" s="7"/>
    </row>
    <row r="74">
      <c r="A74" s="7" t="s">
        <v>189</v>
      </c>
      <c r="B74" s="7" t="s">
        <v>190</v>
      </c>
      <c r="C74" s="8" t="s">
        <v>156</v>
      </c>
      <c r="D74" s="7" t="s">
        <v>188</v>
      </c>
      <c r="E74" s="8" t="b">
        <f t="shared" ref="E74:K74" si="225">IF(IFERROR(SEARCH(E$1, $D74),0) &gt;= 1, TRUE,FALSE)</f>
        <v>0</v>
      </c>
      <c r="F74" s="8" t="b">
        <f t="shared" si="225"/>
        <v>0</v>
      </c>
      <c r="G74" s="8" t="b">
        <f t="shared" si="225"/>
        <v>0</v>
      </c>
      <c r="H74" s="8" t="b">
        <f t="shared" si="225"/>
        <v>0</v>
      </c>
      <c r="I74" s="8" t="b">
        <f t="shared" si="225"/>
        <v>0</v>
      </c>
      <c r="J74" s="8" t="b">
        <f t="shared" si="225"/>
        <v>1</v>
      </c>
      <c r="K74" s="8" t="b">
        <f t="shared" si="225"/>
        <v>1</v>
      </c>
      <c r="L74" s="9" t="b">
        <v>1</v>
      </c>
      <c r="M74" s="9" t="b">
        <v>1</v>
      </c>
      <c r="N74" s="9" t="b">
        <v>0</v>
      </c>
      <c r="O74" s="9" t="b">
        <v>0</v>
      </c>
      <c r="P74" s="7" t="str">
        <f t="shared" si="5"/>
        <v>Middelheimmuseum</v>
      </c>
      <c r="Q74" s="10">
        <v>0.0</v>
      </c>
      <c r="R74" s="9" t="b">
        <v>0</v>
      </c>
      <c r="S74" s="9" t="b">
        <v>1</v>
      </c>
      <c r="T74" s="10">
        <v>0.0</v>
      </c>
      <c r="U74" s="11">
        <f t="shared" si="6"/>
        <v>0</v>
      </c>
      <c r="V74" s="11">
        <f t="shared" ref="V74:AB74" si="226">IF(OR(AW74 = $AO$4, AW74 = $AQ$4), 1, 0)</f>
        <v>1</v>
      </c>
      <c r="W74" s="11">
        <f t="shared" si="226"/>
        <v>1</v>
      </c>
      <c r="X74" s="11">
        <f t="shared" si="226"/>
        <v>1</v>
      </c>
      <c r="Y74" s="11">
        <f t="shared" si="226"/>
        <v>1</v>
      </c>
      <c r="Z74" s="11">
        <f t="shared" si="226"/>
        <v>1</v>
      </c>
      <c r="AA74" s="11">
        <f t="shared" si="226"/>
        <v>1</v>
      </c>
      <c r="AB74" s="11">
        <f t="shared" si="226"/>
        <v>1</v>
      </c>
      <c r="AC74" s="11">
        <f t="shared" si="8"/>
        <v>7</v>
      </c>
      <c r="AD74" s="11">
        <f t="shared" si="9"/>
        <v>1</v>
      </c>
      <c r="AE74" s="11">
        <f t="shared" ref="AE74:AH74" si="227">IF(OR(BD74 = $AO$6, BD74 = $AS$6, BD74 = $AT$6, BD74 = $AU$6), 1, 0)</f>
        <v>1</v>
      </c>
      <c r="AF74" s="11">
        <f t="shared" si="227"/>
        <v>1</v>
      </c>
      <c r="AG74" s="11">
        <f t="shared" si="227"/>
        <v>1</v>
      </c>
      <c r="AH74" s="11">
        <f t="shared" si="227"/>
        <v>1</v>
      </c>
      <c r="AI74" s="11">
        <f t="shared" si="11"/>
        <v>4</v>
      </c>
      <c r="AJ74" s="11">
        <f t="shared" si="12"/>
        <v>12</v>
      </c>
      <c r="AK74" s="12">
        <f t="shared" si="13"/>
        <v>5</v>
      </c>
      <c r="AL74" s="13" t="str">
        <f t="shared" si="14"/>
        <v>excellent</v>
      </c>
      <c r="AM74" s="7"/>
      <c r="AN74" s="7"/>
    </row>
    <row r="75">
      <c r="A75" s="7" t="s">
        <v>191</v>
      </c>
      <c r="B75" s="7" t="s">
        <v>192</v>
      </c>
      <c r="C75" s="8" t="s">
        <v>156</v>
      </c>
      <c r="D75" s="7" t="s">
        <v>193</v>
      </c>
      <c r="E75" s="8" t="b">
        <f t="shared" ref="E75:K75" si="228">IF(IFERROR(SEARCH(E$1, $D75),0) &gt;= 1, TRUE,FALSE)</f>
        <v>0</v>
      </c>
      <c r="F75" s="8" t="b">
        <f t="shared" si="228"/>
        <v>0</v>
      </c>
      <c r="G75" s="8" t="b">
        <f t="shared" si="228"/>
        <v>1</v>
      </c>
      <c r="H75" s="8" t="b">
        <f t="shared" si="228"/>
        <v>0</v>
      </c>
      <c r="I75" s="8" t="b">
        <f t="shared" si="228"/>
        <v>0</v>
      </c>
      <c r="J75" s="8" t="b">
        <f t="shared" si="228"/>
        <v>0</v>
      </c>
      <c r="K75" s="8" t="b">
        <f t="shared" si="228"/>
        <v>1</v>
      </c>
      <c r="L75" s="9" t="b">
        <v>1</v>
      </c>
      <c r="M75" s="9" t="b">
        <v>1</v>
      </c>
      <c r="N75" s="9" t="b">
        <v>0</v>
      </c>
      <c r="O75" s="9" t="b">
        <v>0</v>
      </c>
      <c r="P75" s="7" t="str">
        <f t="shared" si="5"/>
        <v>MoMu | ModeMuseum Antwerpen</v>
      </c>
      <c r="Q75" s="10">
        <v>12.0</v>
      </c>
      <c r="R75" s="9" t="b">
        <v>0</v>
      </c>
      <c r="S75" s="9" t="b">
        <v>1</v>
      </c>
      <c r="T75" s="10">
        <v>12.0</v>
      </c>
      <c r="U75" s="11">
        <f t="shared" si="6"/>
        <v>0</v>
      </c>
      <c r="V75" s="11">
        <f t="shared" ref="V75:AB75" si="229">IF(OR(AW75 = $AO$4, AW75 = $AQ$4), 1, 0)</f>
        <v>1</v>
      </c>
      <c r="W75" s="11">
        <f t="shared" si="229"/>
        <v>1</v>
      </c>
      <c r="X75" s="11">
        <f t="shared" si="229"/>
        <v>1</v>
      </c>
      <c r="Y75" s="11">
        <f t="shared" si="229"/>
        <v>1</v>
      </c>
      <c r="Z75" s="11">
        <f t="shared" si="229"/>
        <v>1</v>
      </c>
      <c r="AA75" s="11">
        <f t="shared" si="229"/>
        <v>1</v>
      </c>
      <c r="AB75" s="11">
        <f t="shared" si="229"/>
        <v>1</v>
      </c>
      <c r="AC75" s="11">
        <f t="shared" si="8"/>
        <v>7</v>
      </c>
      <c r="AD75" s="11">
        <f t="shared" si="9"/>
        <v>1</v>
      </c>
      <c r="AE75" s="11">
        <f t="shared" ref="AE75:AH75" si="230">IF(OR(BD75 = $AO$6, BD75 = $AS$6, BD75 = $AT$6, BD75 = $AU$6), 1, 0)</f>
        <v>1</v>
      </c>
      <c r="AF75" s="11">
        <f t="shared" si="230"/>
        <v>1</v>
      </c>
      <c r="AG75" s="11">
        <f t="shared" si="230"/>
        <v>1</v>
      </c>
      <c r="AH75" s="11">
        <f t="shared" si="230"/>
        <v>1</v>
      </c>
      <c r="AI75" s="11">
        <f t="shared" si="11"/>
        <v>4</v>
      </c>
      <c r="AJ75" s="11">
        <f t="shared" si="12"/>
        <v>12</v>
      </c>
      <c r="AK75" s="12">
        <f t="shared" si="13"/>
        <v>5</v>
      </c>
      <c r="AL75" s="13" t="str">
        <f t="shared" si="14"/>
        <v>excellent</v>
      </c>
      <c r="AM75" s="7"/>
      <c r="AN75" s="7"/>
    </row>
    <row r="76">
      <c r="A76" s="7" t="s">
        <v>194</v>
      </c>
      <c r="B76" s="7" t="s">
        <v>195</v>
      </c>
      <c r="C76" s="8" t="s">
        <v>156</v>
      </c>
      <c r="D76" s="7" t="s">
        <v>9</v>
      </c>
      <c r="E76" s="8" t="b">
        <f t="shared" ref="E76:K76" si="231">IF(IFERROR(SEARCH(E$1, $D76),0) &gt;= 1, TRUE,FALSE)</f>
        <v>0</v>
      </c>
      <c r="F76" s="8" t="b">
        <f t="shared" si="231"/>
        <v>0</v>
      </c>
      <c r="G76" s="8" t="b">
        <f t="shared" si="231"/>
        <v>0</v>
      </c>
      <c r="H76" s="8" t="b">
        <f t="shared" si="231"/>
        <v>0</v>
      </c>
      <c r="I76" s="8" t="b">
        <f t="shared" si="231"/>
        <v>0</v>
      </c>
      <c r="J76" s="8" t="b">
        <f t="shared" si="231"/>
        <v>1</v>
      </c>
      <c r="K76" s="8" t="b">
        <f t="shared" si="231"/>
        <v>0</v>
      </c>
      <c r="L76" s="9" t="b">
        <v>1</v>
      </c>
      <c r="M76" s="9" t="b">
        <v>0</v>
      </c>
      <c r="N76" s="9" t="b">
        <v>0</v>
      </c>
      <c r="O76" s="9" t="b">
        <v>0</v>
      </c>
      <c r="P76" s="7" t="str">
        <f t="shared" si="5"/>
        <v>Museum De Reede</v>
      </c>
      <c r="Q76" s="10">
        <v>15.0</v>
      </c>
      <c r="R76" s="9" t="b">
        <v>0</v>
      </c>
      <c r="S76" s="9" t="b">
        <v>1</v>
      </c>
      <c r="T76" s="10">
        <v>15.0</v>
      </c>
      <c r="U76" s="11">
        <f t="shared" si="6"/>
        <v>0</v>
      </c>
      <c r="V76" s="11">
        <f t="shared" ref="V76:AB76" si="232">IF(OR(AW76 = $AO$4, AW76 = $AQ$4), 1, 0)</f>
        <v>1</v>
      </c>
      <c r="W76" s="11">
        <f t="shared" si="232"/>
        <v>1</v>
      </c>
      <c r="X76" s="11">
        <f t="shared" si="232"/>
        <v>1</v>
      </c>
      <c r="Y76" s="11">
        <f t="shared" si="232"/>
        <v>1</v>
      </c>
      <c r="Z76" s="11">
        <f t="shared" si="232"/>
        <v>1</v>
      </c>
      <c r="AA76" s="11">
        <f t="shared" si="232"/>
        <v>1</v>
      </c>
      <c r="AB76" s="11">
        <f t="shared" si="232"/>
        <v>1</v>
      </c>
      <c r="AC76" s="11">
        <f t="shared" si="8"/>
        <v>7</v>
      </c>
      <c r="AD76" s="11">
        <f t="shared" si="9"/>
        <v>1</v>
      </c>
      <c r="AE76" s="11">
        <f t="shared" ref="AE76:AH76" si="233">IF(OR(BD76 = $AO$6, BD76 = $AS$6, BD76 = $AT$6, BD76 = $AU$6), 1, 0)</f>
        <v>1</v>
      </c>
      <c r="AF76" s="11">
        <f t="shared" si="233"/>
        <v>1</v>
      </c>
      <c r="AG76" s="11">
        <f t="shared" si="233"/>
        <v>1</v>
      </c>
      <c r="AH76" s="11">
        <f t="shared" si="233"/>
        <v>1</v>
      </c>
      <c r="AI76" s="11">
        <f t="shared" si="11"/>
        <v>4</v>
      </c>
      <c r="AJ76" s="11">
        <f t="shared" si="12"/>
        <v>12</v>
      </c>
      <c r="AK76" s="12">
        <f t="shared" si="13"/>
        <v>5</v>
      </c>
      <c r="AL76" s="13" t="str">
        <f t="shared" si="14"/>
        <v>excellent</v>
      </c>
      <c r="AM76" s="7"/>
      <c r="AN76" s="7"/>
    </row>
    <row r="77">
      <c r="A77" s="7" t="s">
        <v>196</v>
      </c>
      <c r="B77" s="7" t="s">
        <v>197</v>
      </c>
      <c r="C77" s="8" t="s">
        <v>156</v>
      </c>
      <c r="D77" s="7" t="s">
        <v>4</v>
      </c>
      <c r="E77" s="8" t="b">
        <f t="shared" ref="E77:K77" si="234">IF(IFERROR(SEARCH(E$1, $D77),0) &gt;= 1, TRUE,FALSE)</f>
        <v>1</v>
      </c>
      <c r="F77" s="8" t="b">
        <f t="shared" si="234"/>
        <v>0</v>
      </c>
      <c r="G77" s="8" t="b">
        <f t="shared" si="234"/>
        <v>0</v>
      </c>
      <c r="H77" s="8" t="b">
        <f t="shared" si="234"/>
        <v>0</v>
      </c>
      <c r="I77" s="8" t="b">
        <f t="shared" si="234"/>
        <v>0</v>
      </c>
      <c r="J77" s="8" t="b">
        <f t="shared" si="234"/>
        <v>0</v>
      </c>
      <c r="K77" s="8" t="b">
        <f t="shared" si="234"/>
        <v>0</v>
      </c>
      <c r="L77" s="9" t="b">
        <v>1</v>
      </c>
      <c r="M77" s="9" t="b">
        <v>1</v>
      </c>
      <c r="N77" s="9" t="b">
        <v>1</v>
      </c>
      <c r="O77" s="9" t="b">
        <v>1</v>
      </c>
      <c r="P77" s="7" t="str">
        <f t="shared" si="5"/>
        <v>Museum Fort Liezele</v>
      </c>
      <c r="Q77" s="10">
        <v>12.0</v>
      </c>
      <c r="R77" s="9" t="b">
        <v>0</v>
      </c>
      <c r="S77" s="9" t="b">
        <v>0</v>
      </c>
      <c r="T77" s="7"/>
      <c r="U77" s="11">
        <f t="shared" si="6"/>
        <v>0</v>
      </c>
      <c r="V77" s="11">
        <f t="shared" ref="V77:AB77" si="235">IF(OR(AW77 = $AO$4, AW77 = $AQ$4), 1, 0)</f>
        <v>1</v>
      </c>
      <c r="W77" s="11">
        <f t="shared" si="235"/>
        <v>1</v>
      </c>
      <c r="X77" s="11">
        <f t="shared" si="235"/>
        <v>1</v>
      </c>
      <c r="Y77" s="11">
        <f t="shared" si="235"/>
        <v>1</v>
      </c>
      <c r="Z77" s="11">
        <f t="shared" si="235"/>
        <v>1</v>
      </c>
      <c r="AA77" s="11">
        <f t="shared" si="235"/>
        <v>1</v>
      </c>
      <c r="AB77" s="11">
        <f t="shared" si="235"/>
        <v>1</v>
      </c>
      <c r="AC77" s="11">
        <f t="shared" si="8"/>
        <v>7</v>
      </c>
      <c r="AD77" s="11">
        <f t="shared" si="9"/>
        <v>1</v>
      </c>
      <c r="AE77" s="11">
        <f t="shared" ref="AE77:AH77" si="236">IF(OR(BD77 = $AO$6, BD77 = $AS$6, BD77 = $AT$6, BD77 = $AU$6), 1, 0)</f>
        <v>1</v>
      </c>
      <c r="AF77" s="11">
        <f t="shared" si="236"/>
        <v>1</v>
      </c>
      <c r="AG77" s="11">
        <f t="shared" si="236"/>
        <v>1</v>
      </c>
      <c r="AH77" s="11">
        <f t="shared" si="236"/>
        <v>1</v>
      </c>
      <c r="AI77" s="11">
        <f t="shared" si="11"/>
        <v>4</v>
      </c>
      <c r="AJ77" s="11">
        <f t="shared" si="12"/>
        <v>12</v>
      </c>
      <c r="AK77" s="12">
        <f t="shared" si="13"/>
        <v>5</v>
      </c>
      <c r="AL77" s="13" t="str">
        <f t="shared" si="14"/>
        <v>excellent</v>
      </c>
      <c r="AM77" s="7"/>
      <c r="AN77" s="7"/>
    </row>
    <row r="78">
      <c r="A78" s="7" t="s">
        <v>198</v>
      </c>
      <c r="B78" s="7"/>
      <c r="C78" s="8" t="s">
        <v>156</v>
      </c>
      <c r="D78" s="7" t="s">
        <v>4</v>
      </c>
      <c r="E78" s="8" t="b">
        <f t="shared" ref="E78:K78" si="237">IF(IFERROR(SEARCH(E$1, $D78),0) &gt;= 1, TRUE,FALSE)</f>
        <v>1</v>
      </c>
      <c r="F78" s="8" t="b">
        <f t="shared" si="237"/>
        <v>0</v>
      </c>
      <c r="G78" s="8" t="b">
        <f t="shared" si="237"/>
        <v>0</v>
      </c>
      <c r="H78" s="8" t="b">
        <f t="shared" si="237"/>
        <v>0</v>
      </c>
      <c r="I78" s="8" t="b">
        <f t="shared" si="237"/>
        <v>0</v>
      </c>
      <c r="J78" s="8" t="b">
        <f t="shared" si="237"/>
        <v>0</v>
      </c>
      <c r="K78" s="8" t="b">
        <f t="shared" si="237"/>
        <v>0</v>
      </c>
      <c r="L78" s="9" t="b">
        <v>1</v>
      </c>
      <c r="M78" s="9" t="b">
        <v>1</v>
      </c>
      <c r="N78" s="9" t="b">
        <v>0</v>
      </c>
      <c r="O78" s="9" t="b">
        <v>0</v>
      </c>
      <c r="P78" s="7" t="str">
        <f t="shared" si="5"/>
        <v>Museum Hof van Busleyden</v>
      </c>
      <c r="Q78" s="10">
        <v>15.0</v>
      </c>
      <c r="R78" s="9" t="b">
        <v>0</v>
      </c>
      <c r="S78" s="9" t="b">
        <v>1</v>
      </c>
      <c r="T78" s="10">
        <v>15.0</v>
      </c>
      <c r="U78" s="11">
        <f t="shared" si="6"/>
        <v>0</v>
      </c>
      <c r="V78" s="11">
        <f t="shared" ref="V78:AB78" si="238">IF(OR(AW78 = $AO$4, AW78 = $AQ$4), 1, 0)</f>
        <v>1</v>
      </c>
      <c r="W78" s="11">
        <f t="shared" si="238"/>
        <v>1</v>
      </c>
      <c r="X78" s="11">
        <f t="shared" si="238"/>
        <v>1</v>
      </c>
      <c r="Y78" s="11">
        <f t="shared" si="238"/>
        <v>1</v>
      </c>
      <c r="Z78" s="11">
        <f t="shared" si="238"/>
        <v>1</v>
      </c>
      <c r="AA78" s="11">
        <f t="shared" si="238"/>
        <v>1</v>
      </c>
      <c r="AB78" s="11">
        <f t="shared" si="238"/>
        <v>1</v>
      </c>
      <c r="AC78" s="11">
        <f t="shared" si="8"/>
        <v>7</v>
      </c>
      <c r="AD78" s="11">
        <f t="shared" si="9"/>
        <v>1</v>
      </c>
      <c r="AE78" s="11">
        <f t="shared" ref="AE78:AH78" si="239">IF(OR(BD78 = $AO$6, BD78 = $AS$6, BD78 = $AT$6, BD78 = $AU$6), 1, 0)</f>
        <v>1</v>
      </c>
      <c r="AF78" s="11">
        <f t="shared" si="239"/>
        <v>1</v>
      </c>
      <c r="AG78" s="11">
        <f t="shared" si="239"/>
        <v>1</v>
      </c>
      <c r="AH78" s="11">
        <f t="shared" si="239"/>
        <v>1</v>
      </c>
      <c r="AI78" s="11">
        <f t="shared" si="11"/>
        <v>4</v>
      </c>
      <c r="AJ78" s="11">
        <f t="shared" si="12"/>
        <v>12</v>
      </c>
      <c r="AK78" s="12">
        <f t="shared" si="13"/>
        <v>5</v>
      </c>
      <c r="AL78" s="13" t="str">
        <f t="shared" si="14"/>
        <v>excellent</v>
      </c>
      <c r="AM78" s="7"/>
      <c r="AN78" s="7"/>
    </row>
    <row r="79">
      <c r="A79" s="7" t="s">
        <v>199</v>
      </c>
      <c r="B79" s="7" t="s">
        <v>200</v>
      </c>
      <c r="C79" s="8" t="s">
        <v>156</v>
      </c>
      <c r="D79" s="7" t="s">
        <v>102</v>
      </c>
      <c r="E79" s="8" t="b">
        <f t="shared" ref="E79:K79" si="240">IF(IFERROR(SEARCH(E$1, $D79),0) &gt;= 1, TRUE,FALSE)</f>
        <v>1</v>
      </c>
      <c r="F79" s="8" t="b">
        <f t="shared" si="240"/>
        <v>0</v>
      </c>
      <c r="G79" s="8" t="b">
        <f t="shared" si="240"/>
        <v>0</v>
      </c>
      <c r="H79" s="8" t="b">
        <f t="shared" si="240"/>
        <v>0</v>
      </c>
      <c r="I79" s="8" t="b">
        <f t="shared" si="240"/>
        <v>0</v>
      </c>
      <c r="J79" s="8" t="b">
        <f t="shared" si="240"/>
        <v>1</v>
      </c>
      <c r="K79" s="8" t="b">
        <f t="shared" si="240"/>
        <v>0</v>
      </c>
      <c r="L79" s="9" t="b">
        <v>1</v>
      </c>
      <c r="M79" s="9" t="b">
        <v>0</v>
      </c>
      <c r="N79" s="9" t="b">
        <v>0</v>
      </c>
      <c r="O79" s="9" t="b">
        <v>0</v>
      </c>
      <c r="P79" s="7" t="str">
        <f t="shared" si="5"/>
        <v>Museum Mayer van den Bergh</v>
      </c>
      <c r="Q79" s="10">
        <v>10.0</v>
      </c>
      <c r="R79" s="9" t="b">
        <v>1</v>
      </c>
      <c r="S79" s="9" t="b">
        <v>0</v>
      </c>
      <c r="T79" s="7"/>
      <c r="U79" s="11">
        <f t="shared" si="6"/>
        <v>0</v>
      </c>
      <c r="V79" s="11">
        <f t="shared" ref="V79:AB79" si="241">IF(OR(AW79 = $AO$4, AW79 = $AQ$4), 1, 0)</f>
        <v>1</v>
      </c>
      <c r="W79" s="11">
        <f t="shared" si="241"/>
        <v>1</v>
      </c>
      <c r="X79" s="11">
        <f t="shared" si="241"/>
        <v>1</v>
      </c>
      <c r="Y79" s="11">
        <f t="shared" si="241"/>
        <v>1</v>
      </c>
      <c r="Z79" s="11">
        <f t="shared" si="241"/>
        <v>1</v>
      </c>
      <c r="AA79" s="11">
        <f t="shared" si="241"/>
        <v>1</v>
      </c>
      <c r="AB79" s="11">
        <f t="shared" si="241"/>
        <v>1</v>
      </c>
      <c r="AC79" s="11">
        <f t="shared" si="8"/>
        <v>7</v>
      </c>
      <c r="AD79" s="11">
        <f t="shared" si="9"/>
        <v>1</v>
      </c>
      <c r="AE79" s="11">
        <f t="shared" ref="AE79:AH79" si="242">IF(OR(BD79 = $AO$6, BD79 = $AS$6, BD79 = $AT$6, BD79 = $AU$6), 1, 0)</f>
        <v>1</v>
      </c>
      <c r="AF79" s="11">
        <f t="shared" si="242"/>
        <v>1</v>
      </c>
      <c r="AG79" s="11">
        <f t="shared" si="242"/>
        <v>1</v>
      </c>
      <c r="AH79" s="11">
        <f t="shared" si="242"/>
        <v>1</v>
      </c>
      <c r="AI79" s="11">
        <f t="shared" si="11"/>
        <v>4</v>
      </c>
      <c r="AJ79" s="11">
        <f t="shared" si="12"/>
        <v>12</v>
      </c>
      <c r="AK79" s="12">
        <f t="shared" si="13"/>
        <v>5</v>
      </c>
      <c r="AL79" s="13" t="str">
        <f t="shared" si="14"/>
        <v>excellent</v>
      </c>
      <c r="AM79" s="7"/>
      <c r="AN79" s="7"/>
    </row>
    <row r="80">
      <c r="A80" s="7" t="s">
        <v>201</v>
      </c>
      <c r="B80" s="7" t="s">
        <v>202</v>
      </c>
      <c r="C80" s="8" t="s">
        <v>156</v>
      </c>
      <c r="D80" s="7" t="s">
        <v>203</v>
      </c>
      <c r="E80" s="8" t="b">
        <f t="shared" ref="E80:K80" si="243">IF(IFERROR(SEARCH(E$1, $D80),0) &gt;= 1, TRUE,FALSE)</f>
        <v>1</v>
      </c>
      <c r="F80" s="8" t="b">
        <f t="shared" si="243"/>
        <v>1</v>
      </c>
      <c r="G80" s="8" t="b">
        <f t="shared" si="243"/>
        <v>0</v>
      </c>
      <c r="H80" s="8" t="b">
        <f t="shared" si="243"/>
        <v>1</v>
      </c>
      <c r="I80" s="8" t="b">
        <f t="shared" si="243"/>
        <v>1</v>
      </c>
      <c r="J80" s="8" t="b">
        <f t="shared" si="243"/>
        <v>1</v>
      </c>
      <c r="K80" s="8" t="b">
        <f t="shared" si="243"/>
        <v>0</v>
      </c>
      <c r="L80" s="9" t="b">
        <v>1</v>
      </c>
      <c r="M80" s="9" t="b">
        <v>0</v>
      </c>
      <c r="N80" s="9" t="b">
        <v>0</v>
      </c>
      <c r="O80" s="9" t="b">
        <v>0</v>
      </c>
      <c r="P80" s="7" t="str">
        <f t="shared" si="5"/>
        <v>Museum Plantin-Moretus</v>
      </c>
      <c r="Q80" s="10">
        <v>12.0</v>
      </c>
      <c r="R80" s="9" t="b">
        <v>0</v>
      </c>
      <c r="S80" s="9" t="b">
        <v>1</v>
      </c>
      <c r="T80" s="10">
        <v>12.0</v>
      </c>
      <c r="U80" s="11">
        <f t="shared" si="6"/>
        <v>0</v>
      </c>
      <c r="V80" s="11">
        <f t="shared" ref="V80:AB80" si="244">IF(OR(AW80 = $AO$4, AW80 = $AQ$4), 1, 0)</f>
        <v>1</v>
      </c>
      <c r="W80" s="11">
        <f t="shared" si="244"/>
        <v>1</v>
      </c>
      <c r="X80" s="11">
        <f t="shared" si="244"/>
        <v>1</v>
      </c>
      <c r="Y80" s="11">
        <f t="shared" si="244"/>
        <v>1</v>
      </c>
      <c r="Z80" s="11">
        <f t="shared" si="244"/>
        <v>1</v>
      </c>
      <c r="AA80" s="11">
        <f t="shared" si="244"/>
        <v>1</v>
      </c>
      <c r="AB80" s="11">
        <f t="shared" si="244"/>
        <v>1</v>
      </c>
      <c r="AC80" s="11">
        <f t="shared" si="8"/>
        <v>7</v>
      </c>
      <c r="AD80" s="11">
        <f t="shared" si="9"/>
        <v>1</v>
      </c>
      <c r="AE80" s="11">
        <f t="shared" ref="AE80:AH80" si="245">IF(OR(BD80 = $AO$6, BD80 = $AS$6, BD80 = $AT$6, BD80 = $AU$6), 1, 0)</f>
        <v>1</v>
      </c>
      <c r="AF80" s="11">
        <f t="shared" si="245"/>
        <v>1</v>
      </c>
      <c r="AG80" s="11">
        <f t="shared" si="245"/>
        <v>1</v>
      </c>
      <c r="AH80" s="11">
        <f t="shared" si="245"/>
        <v>1</v>
      </c>
      <c r="AI80" s="11">
        <f t="shared" si="11"/>
        <v>4</v>
      </c>
      <c r="AJ80" s="11">
        <f t="shared" si="12"/>
        <v>12</v>
      </c>
      <c r="AK80" s="12">
        <f t="shared" si="13"/>
        <v>5</v>
      </c>
      <c r="AL80" s="13" t="str">
        <f t="shared" si="14"/>
        <v>excellent</v>
      </c>
      <c r="AM80" s="7"/>
      <c r="AN80" s="7"/>
    </row>
    <row r="81">
      <c r="A81" s="7" t="s">
        <v>204</v>
      </c>
      <c r="B81" s="7" t="s">
        <v>205</v>
      </c>
      <c r="C81" s="8" t="s">
        <v>156</v>
      </c>
      <c r="D81" s="7" t="s">
        <v>206</v>
      </c>
      <c r="E81" s="8" t="b">
        <f t="shared" ref="E81:K81" si="246">IF(IFERROR(SEARCH(E$1, $D81),0) &gt;= 1, TRUE,FALSE)</f>
        <v>1</v>
      </c>
      <c r="F81" s="8" t="b">
        <f t="shared" si="246"/>
        <v>0</v>
      </c>
      <c r="G81" s="8" t="b">
        <f t="shared" si="246"/>
        <v>0</v>
      </c>
      <c r="H81" s="8" t="b">
        <f t="shared" si="246"/>
        <v>0</v>
      </c>
      <c r="I81" s="8" t="b">
        <f t="shared" si="246"/>
        <v>1</v>
      </c>
      <c r="J81" s="8" t="b">
        <f t="shared" si="246"/>
        <v>1</v>
      </c>
      <c r="K81" s="8" t="b">
        <f t="shared" si="246"/>
        <v>0</v>
      </c>
      <c r="L81" s="9" t="b">
        <v>1</v>
      </c>
      <c r="M81" s="9" t="b">
        <v>0</v>
      </c>
      <c r="N81" s="9" t="b">
        <v>0</v>
      </c>
      <c r="O81" s="9" t="b">
        <v>0</v>
      </c>
      <c r="P81" s="7" t="str">
        <f t="shared" si="5"/>
        <v>Museum Vleeshuis</v>
      </c>
      <c r="Q81" s="10">
        <v>8.0</v>
      </c>
      <c r="R81" s="9" t="b">
        <v>1</v>
      </c>
      <c r="S81" s="9" t="b">
        <v>0</v>
      </c>
      <c r="T81" s="7"/>
      <c r="U81" s="11">
        <f t="shared" si="6"/>
        <v>0</v>
      </c>
      <c r="V81" s="11">
        <f t="shared" ref="V81:AB81" si="247">IF(OR(AW81 = $AO$4, AW81 = $AQ$4), 1, 0)</f>
        <v>1</v>
      </c>
      <c r="W81" s="11">
        <f t="shared" si="247"/>
        <v>1</v>
      </c>
      <c r="X81" s="11">
        <f t="shared" si="247"/>
        <v>1</v>
      </c>
      <c r="Y81" s="11">
        <f t="shared" si="247"/>
        <v>1</v>
      </c>
      <c r="Z81" s="11">
        <f t="shared" si="247"/>
        <v>1</v>
      </c>
      <c r="AA81" s="11">
        <f t="shared" si="247"/>
        <v>1</v>
      </c>
      <c r="AB81" s="11">
        <f t="shared" si="247"/>
        <v>1</v>
      </c>
      <c r="AC81" s="11">
        <f t="shared" si="8"/>
        <v>7</v>
      </c>
      <c r="AD81" s="11">
        <f t="shared" si="9"/>
        <v>1</v>
      </c>
      <c r="AE81" s="11">
        <f t="shared" ref="AE81:AH81" si="248">IF(OR(BD81 = $AO$6, BD81 = $AS$6, BD81 = $AT$6, BD81 = $AU$6), 1, 0)</f>
        <v>1</v>
      </c>
      <c r="AF81" s="11">
        <f t="shared" si="248"/>
        <v>1</v>
      </c>
      <c r="AG81" s="11">
        <f t="shared" si="248"/>
        <v>1</v>
      </c>
      <c r="AH81" s="11">
        <f t="shared" si="248"/>
        <v>1</v>
      </c>
      <c r="AI81" s="11">
        <f t="shared" si="11"/>
        <v>4</v>
      </c>
      <c r="AJ81" s="11">
        <f t="shared" si="12"/>
        <v>12</v>
      </c>
      <c r="AK81" s="12">
        <f t="shared" si="13"/>
        <v>5</v>
      </c>
      <c r="AL81" s="13" t="str">
        <f t="shared" si="14"/>
        <v>excellent</v>
      </c>
      <c r="AM81" s="7"/>
      <c r="AN81" s="7"/>
    </row>
    <row r="82">
      <c r="A82" s="7" t="s">
        <v>207</v>
      </c>
      <c r="B82" s="7" t="s">
        <v>208</v>
      </c>
      <c r="C82" s="8" t="s">
        <v>156</v>
      </c>
      <c r="D82" s="7" t="s">
        <v>114</v>
      </c>
      <c r="E82" s="8" t="b">
        <f t="shared" ref="E82:K82" si="249">IF(IFERROR(SEARCH(E$1, $D82),0) &gt;= 1, TRUE,FALSE)</f>
        <v>1</v>
      </c>
      <c r="F82" s="8" t="b">
        <f t="shared" si="249"/>
        <v>1</v>
      </c>
      <c r="G82" s="8" t="b">
        <f t="shared" si="249"/>
        <v>0</v>
      </c>
      <c r="H82" s="8" t="b">
        <f t="shared" si="249"/>
        <v>0</v>
      </c>
      <c r="I82" s="8" t="b">
        <f t="shared" si="249"/>
        <v>0</v>
      </c>
      <c r="J82" s="8" t="b">
        <f t="shared" si="249"/>
        <v>0</v>
      </c>
      <c r="K82" s="8" t="b">
        <f t="shared" si="249"/>
        <v>0</v>
      </c>
      <c r="L82" s="9" t="b">
        <v>1</v>
      </c>
      <c r="M82" s="9" t="b">
        <v>1</v>
      </c>
      <c r="N82" s="9" t="b">
        <v>1</v>
      </c>
      <c r="O82" s="9" t="b">
        <v>0</v>
      </c>
      <c r="P82" s="7" t="str">
        <f t="shared" si="5"/>
        <v>Nationaal Museum van de Speelkaart</v>
      </c>
      <c r="Q82" s="10">
        <v>5.0</v>
      </c>
      <c r="R82" s="9" t="b">
        <v>0</v>
      </c>
      <c r="S82" s="9" t="b">
        <v>1</v>
      </c>
      <c r="T82" s="10">
        <v>5.0</v>
      </c>
      <c r="U82" s="11">
        <f t="shared" si="6"/>
        <v>0</v>
      </c>
      <c r="V82" s="11">
        <f t="shared" ref="V82:AB82" si="250">IF(OR(AW82 = $AO$4, AW82 = $AQ$4), 1, 0)</f>
        <v>1</v>
      </c>
      <c r="W82" s="11">
        <f t="shared" si="250"/>
        <v>1</v>
      </c>
      <c r="X82" s="11">
        <f t="shared" si="250"/>
        <v>1</v>
      </c>
      <c r="Y82" s="11">
        <f t="shared" si="250"/>
        <v>1</v>
      </c>
      <c r="Z82" s="11">
        <f t="shared" si="250"/>
        <v>1</v>
      </c>
      <c r="AA82" s="11">
        <f t="shared" si="250"/>
        <v>1</v>
      </c>
      <c r="AB82" s="11">
        <f t="shared" si="250"/>
        <v>1</v>
      </c>
      <c r="AC82" s="11">
        <f t="shared" si="8"/>
        <v>7</v>
      </c>
      <c r="AD82" s="11">
        <f t="shared" si="9"/>
        <v>1</v>
      </c>
      <c r="AE82" s="11">
        <f t="shared" ref="AE82:AH82" si="251">IF(OR(BD82 = $AO$6, BD82 = $AS$6, BD82 = $AT$6, BD82 = $AU$6), 1, 0)</f>
        <v>1</v>
      </c>
      <c r="AF82" s="11">
        <f t="shared" si="251"/>
        <v>1</v>
      </c>
      <c r="AG82" s="11">
        <f t="shared" si="251"/>
        <v>1</v>
      </c>
      <c r="AH82" s="11">
        <f t="shared" si="251"/>
        <v>1</v>
      </c>
      <c r="AI82" s="11">
        <f t="shared" si="11"/>
        <v>4</v>
      </c>
      <c r="AJ82" s="11">
        <f t="shared" si="12"/>
        <v>12</v>
      </c>
      <c r="AK82" s="12">
        <f t="shared" si="13"/>
        <v>5</v>
      </c>
      <c r="AL82" s="13" t="str">
        <f t="shared" si="14"/>
        <v>excellent</v>
      </c>
      <c r="AM82" s="7"/>
      <c r="AN82" s="7"/>
    </row>
    <row r="83">
      <c r="A83" s="7" t="s">
        <v>209</v>
      </c>
      <c r="B83" s="7" t="s">
        <v>210</v>
      </c>
      <c r="C83" s="8" t="s">
        <v>156</v>
      </c>
      <c r="D83" s="7" t="s">
        <v>4</v>
      </c>
      <c r="E83" s="8" t="b">
        <f t="shared" ref="E83:K83" si="252">IF(IFERROR(SEARCH(E$1, $D83),0) &gt;= 1, TRUE,FALSE)</f>
        <v>1</v>
      </c>
      <c r="F83" s="8" t="b">
        <f t="shared" si="252"/>
        <v>0</v>
      </c>
      <c r="G83" s="8" t="b">
        <f t="shared" si="252"/>
        <v>0</v>
      </c>
      <c r="H83" s="8" t="b">
        <f t="shared" si="252"/>
        <v>0</v>
      </c>
      <c r="I83" s="8" t="b">
        <f t="shared" si="252"/>
        <v>0</v>
      </c>
      <c r="J83" s="8" t="b">
        <f t="shared" si="252"/>
        <v>0</v>
      </c>
      <c r="K83" s="8" t="b">
        <f t="shared" si="252"/>
        <v>0</v>
      </c>
      <c r="L83" s="9" t="b">
        <v>1</v>
      </c>
      <c r="M83" s="9" t="b">
        <v>1</v>
      </c>
      <c r="N83" s="9" t="b">
        <v>0</v>
      </c>
      <c r="O83" s="9" t="b">
        <v>0</v>
      </c>
      <c r="P83" s="7" t="str">
        <f t="shared" si="5"/>
        <v>Red Star Line Museum</v>
      </c>
      <c r="Q83" s="10">
        <v>10.0</v>
      </c>
      <c r="R83" s="9" t="b">
        <v>0</v>
      </c>
      <c r="S83" s="9" t="b">
        <v>1</v>
      </c>
      <c r="T83" s="10">
        <v>0.0</v>
      </c>
      <c r="U83" s="11">
        <f t="shared" si="6"/>
        <v>0</v>
      </c>
      <c r="V83" s="11">
        <f t="shared" ref="V83:AB83" si="253">IF(OR(AW83 = $AO$4, AW83 = $AQ$4), 1, 0)</f>
        <v>1</v>
      </c>
      <c r="W83" s="11">
        <f t="shared" si="253"/>
        <v>1</v>
      </c>
      <c r="X83" s="11">
        <f t="shared" si="253"/>
        <v>1</v>
      </c>
      <c r="Y83" s="11">
        <f t="shared" si="253"/>
        <v>1</v>
      </c>
      <c r="Z83" s="11">
        <f t="shared" si="253"/>
        <v>1</v>
      </c>
      <c r="AA83" s="11">
        <f t="shared" si="253"/>
        <v>1</v>
      </c>
      <c r="AB83" s="11">
        <f t="shared" si="253"/>
        <v>1</v>
      </c>
      <c r="AC83" s="11">
        <f t="shared" si="8"/>
        <v>7</v>
      </c>
      <c r="AD83" s="11">
        <f t="shared" si="9"/>
        <v>1</v>
      </c>
      <c r="AE83" s="11">
        <f t="shared" ref="AE83:AH83" si="254">IF(OR(BD83 = $AO$6, BD83 = $AS$6, BD83 = $AT$6, BD83 = $AU$6), 1, 0)</f>
        <v>1</v>
      </c>
      <c r="AF83" s="11">
        <f t="shared" si="254"/>
        <v>1</v>
      </c>
      <c r="AG83" s="11">
        <f t="shared" si="254"/>
        <v>1</v>
      </c>
      <c r="AH83" s="11">
        <f t="shared" si="254"/>
        <v>1</v>
      </c>
      <c r="AI83" s="11">
        <f t="shared" si="11"/>
        <v>4</v>
      </c>
      <c r="AJ83" s="11">
        <f t="shared" si="12"/>
        <v>12</v>
      </c>
      <c r="AK83" s="12">
        <f t="shared" si="13"/>
        <v>5</v>
      </c>
      <c r="AL83" s="13" t="str">
        <f t="shared" si="14"/>
        <v>excellent</v>
      </c>
      <c r="AM83" s="7"/>
      <c r="AN83" s="7"/>
    </row>
    <row r="84">
      <c r="A84" s="7" t="s">
        <v>211</v>
      </c>
      <c r="B84" s="7" t="s">
        <v>212</v>
      </c>
      <c r="C84" s="8" t="s">
        <v>156</v>
      </c>
      <c r="D84" s="7" t="s">
        <v>102</v>
      </c>
      <c r="E84" s="8" t="b">
        <f t="shared" ref="E84:K84" si="255">IF(IFERROR(SEARCH(E$1, $D84),0) &gt;= 1, TRUE,FALSE)</f>
        <v>1</v>
      </c>
      <c r="F84" s="8" t="b">
        <f t="shared" si="255"/>
        <v>0</v>
      </c>
      <c r="G84" s="8" t="b">
        <f t="shared" si="255"/>
        <v>0</v>
      </c>
      <c r="H84" s="8" t="b">
        <f t="shared" si="255"/>
        <v>0</v>
      </c>
      <c r="I84" s="8" t="b">
        <f t="shared" si="255"/>
        <v>0</v>
      </c>
      <c r="J84" s="8" t="b">
        <f t="shared" si="255"/>
        <v>1</v>
      </c>
      <c r="K84" s="8" t="b">
        <f t="shared" si="255"/>
        <v>0</v>
      </c>
      <c r="L84" s="9" t="b">
        <v>1</v>
      </c>
      <c r="M84" s="9" t="b">
        <v>0</v>
      </c>
      <c r="N84" s="9" t="b">
        <v>0</v>
      </c>
      <c r="O84" s="9" t="b">
        <v>0</v>
      </c>
      <c r="P84" s="7" t="str">
        <f t="shared" si="5"/>
        <v>Rubenshuis</v>
      </c>
      <c r="Q84" s="10">
        <v>12.0</v>
      </c>
      <c r="R84" s="9" t="b">
        <v>0</v>
      </c>
      <c r="S84" s="9" t="b">
        <v>1</v>
      </c>
      <c r="T84" s="10">
        <v>12.0</v>
      </c>
      <c r="U84" s="11">
        <f t="shared" si="6"/>
        <v>0</v>
      </c>
      <c r="V84" s="11">
        <f t="shared" ref="V84:AB84" si="256">IF(OR(AW84 = $AO$4, AW84 = $AQ$4), 1, 0)</f>
        <v>1</v>
      </c>
      <c r="W84" s="11">
        <f t="shared" si="256"/>
        <v>1</v>
      </c>
      <c r="X84" s="11">
        <f t="shared" si="256"/>
        <v>1</v>
      </c>
      <c r="Y84" s="11">
        <f t="shared" si="256"/>
        <v>1</v>
      </c>
      <c r="Z84" s="11">
        <f t="shared" si="256"/>
        <v>1</v>
      </c>
      <c r="AA84" s="11">
        <f t="shared" si="256"/>
        <v>1</v>
      </c>
      <c r="AB84" s="11">
        <f t="shared" si="256"/>
        <v>1</v>
      </c>
      <c r="AC84" s="11">
        <f t="shared" si="8"/>
        <v>7</v>
      </c>
      <c r="AD84" s="11">
        <f t="shared" si="9"/>
        <v>1</v>
      </c>
      <c r="AE84" s="11">
        <f t="shared" ref="AE84:AH84" si="257">IF(OR(BD84 = $AO$6, BD84 = $AS$6, BD84 = $AT$6, BD84 = $AU$6), 1, 0)</f>
        <v>1</v>
      </c>
      <c r="AF84" s="11">
        <f t="shared" si="257"/>
        <v>1</v>
      </c>
      <c r="AG84" s="11">
        <f t="shared" si="257"/>
        <v>1</v>
      </c>
      <c r="AH84" s="11">
        <f t="shared" si="257"/>
        <v>1</v>
      </c>
      <c r="AI84" s="11">
        <f t="shared" si="11"/>
        <v>4</v>
      </c>
      <c r="AJ84" s="11">
        <f t="shared" si="12"/>
        <v>12</v>
      </c>
      <c r="AK84" s="12">
        <f t="shared" si="13"/>
        <v>5</v>
      </c>
      <c r="AL84" s="13" t="str">
        <f t="shared" si="14"/>
        <v>excellent</v>
      </c>
      <c r="AM84" s="7"/>
      <c r="AN84" s="7"/>
    </row>
    <row r="85">
      <c r="A85" s="7" t="s">
        <v>213</v>
      </c>
      <c r="B85" s="7" t="s">
        <v>214</v>
      </c>
      <c r="C85" s="8" t="s">
        <v>156</v>
      </c>
      <c r="D85" s="7" t="s">
        <v>215</v>
      </c>
      <c r="E85" s="8" t="b">
        <f t="shared" ref="E85:K85" si="258">IF(IFERROR(SEARCH(E$1, $D85),0) &gt;= 1, TRUE,FALSE)</f>
        <v>1</v>
      </c>
      <c r="F85" s="8" t="b">
        <f t="shared" si="258"/>
        <v>0</v>
      </c>
      <c r="G85" s="8" t="b">
        <f t="shared" si="258"/>
        <v>1</v>
      </c>
      <c r="H85" s="8" t="b">
        <f t="shared" si="258"/>
        <v>1</v>
      </c>
      <c r="I85" s="8" t="b">
        <f t="shared" si="258"/>
        <v>1</v>
      </c>
      <c r="J85" s="8" t="b">
        <f t="shared" si="258"/>
        <v>1</v>
      </c>
      <c r="K85" s="8" t="b">
        <f t="shared" si="258"/>
        <v>1</v>
      </c>
      <c r="L85" s="9" t="b">
        <v>1</v>
      </c>
      <c r="M85" s="9" t="b">
        <v>0</v>
      </c>
      <c r="N85" s="9" t="b">
        <v>0</v>
      </c>
      <c r="O85" s="9" t="b">
        <v>0</v>
      </c>
      <c r="P85" s="7" t="str">
        <f t="shared" si="5"/>
        <v>Sint-Pauluskerk</v>
      </c>
      <c r="Q85" s="10">
        <v>5.0</v>
      </c>
      <c r="R85" s="9" t="b">
        <v>0</v>
      </c>
      <c r="S85" s="9" t="b">
        <v>1</v>
      </c>
      <c r="T85" s="10">
        <v>5.0</v>
      </c>
      <c r="U85" s="11">
        <f t="shared" si="6"/>
        <v>0</v>
      </c>
      <c r="V85" s="11">
        <f t="shared" ref="V85:AB85" si="259">IF(OR(AW85 = $AO$4, AW85 = $AQ$4), 1, 0)</f>
        <v>1</v>
      </c>
      <c r="W85" s="11">
        <f t="shared" si="259"/>
        <v>1</v>
      </c>
      <c r="X85" s="11">
        <f t="shared" si="259"/>
        <v>1</v>
      </c>
      <c r="Y85" s="11">
        <f t="shared" si="259"/>
        <v>1</v>
      </c>
      <c r="Z85" s="11">
        <f t="shared" si="259"/>
        <v>1</v>
      </c>
      <c r="AA85" s="11">
        <f t="shared" si="259"/>
        <v>1</v>
      </c>
      <c r="AB85" s="11">
        <f t="shared" si="259"/>
        <v>1</v>
      </c>
      <c r="AC85" s="11">
        <f t="shared" si="8"/>
        <v>7</v>
      </c>
      <c r="AD85" s="11">
        <f t="shared" si="9"/>
        <v>1</v>
      </c>
      <c r="AE85" s="11">
        <f t="shared" ref="AE85:AH85" si="260">IF(OR(BD85 = $AO$6, BD85 = $AS$6, BD85 = $AT$6, BD85 = $AU$6), 1, 0)</f>
        <v>1</v>
      </c>
      <c r="AF85" s="11">
        <f t="shared" si="260"/>
        <v>1</v>
      </c>
      <c r="AG85" s="11">
        <f t="shared" si="260"/>
        <v>1</v>
      </c>
      <c r="AH85" s="11">
        <f t="shared" si="260"/>
        <v>1</v>
      </c>
      <c r="AI85" s="11">
        <f t="shared" si="11"/>
        <v>4</v>
      </c>
      <c r="AJ85" s="11">
        <f t="shared" si="12"/>
        <v>12</v>
      </c>
      <c r="AK85" s="12">
        <f t="shared" si="13"/>
        <v>5</v>
      </c>
      <c r="AL85" s="13" t="str">
        <f t="shared" si="14"/>
        <v>excellent</v>
      </c>
      <c r="AM85" s="7"/>
      <c r="AN85" s="7"/>
    </row>
    <row r="86">
      <c r="A86" s="7" t="s">
        <v>216</v>
      </c>
      <c r="B86" s="7" t="s">
        <v>217</v>
      </c>
      <c r="C86" s="8" t="s">
        <v>156</v>
      </c>
      <c r="D86" s="7" t="s">
        <v>114</v>
      </c>
      <c r="E86" s="8" t="b">
        <f t="shared" ref="E86:K86" si="261">IF(IFERROR(SEARCH(E$1, $D86),0) &gt;= 1, TRUE,FALSE)</f>
        <v>1</v>
      </c>
      <c r="F86" s="8" t="b">
        <f t="shared" si="261"/>
        <v>1</v>
      </c>
      <c r="G86" s="8" t="b">
        <f t="shared" si="261"/>
        <v>0</v>
      </c>
      <c r="H86" s="8" t="b">
        <f t="shared" si="261"/>
        <v>0</v>
      </c>
      <c r="I86" s="8" t="b">
        <f t="shared" si="261"/>
        <v>0</v>
      </c>
      <c r="J86" s="8" t="b">
        <f t="shared" si="261"/>
        <v>0</v>
      </c>
      <c r="K86" s="8" t="b">
        <f t="shared" si="261"/>
        <v>0</v>
      </c>
      <c r="L86" s="9" t="b">
        <v>1</v>
      </c>
      <c r="M86" s="9" t="b">
        <v>1</v>
      </c>
      <c r="N86" s="9" t="b">
        <v>1</v>
      </c>
      <c r="O86" s="9" t="b">
        <v>0</v>
      </c>
      <c r="P86" s="7" t="str">
        <f t="shared" si="5"/>
        <v>Speelgoedmuseum</v>
      </c>
      <c r="Q86" s="10">
        <v>17.5</v>
      </c>
      <c r="R86" s="9" t="b">
        <v>0</v>
      </c>
      <c r="S86" s="9" t="b">
        <v>0</v>
      </c>
      <c r="T86" s="7"/>
      <c r="U86" s="11">
        <f t="shared" si="6"/>
        <v>0</v>
      </c>
      <c r="V86" s="11">
        <f t="shared" ref="V86:AB86" si="262">IF(OR(AW86 = $AO$4, AW86 = $AQ$4), 1, 0)</f>
        <v>1</v>
      </c>
      <c r="W86" s="11">
        <f t="shared" si="262"/>
        <v>1</v>
      </c>
      <c r="X86" s="11">
        <f t="shared" si="262"/>
        <v>1</v>
      </c>
      <c r="Y86" s="11">
        <f t="shared" si="262"/>
        <v>1</v>
      </c>
      <c r="Z86" s="11">
        <f t="shared" si="262"/>
        <v>1</v>
      </c>
      <c r="AA86" s="11">
        <f t="shared" si="262"/>
        <v>1</v>
      </c>
      <c r="AB86" s="11">
        <f t="shared" si="262"/>
        <v>1</v>
      </c>
      <c r="AC86" s="11">
        <f t="shared" si="8"/>
        <v>7</v>
      </c>
      <c r="AD86" s="11">
        <f t="shared" si="9"/>
        <v>0</v>
      </c>
      <c r="AE86" s="11">
        <f t="shared" ref="AE86:AH86" si="263">IF(OR(BD86 = $AO$6, BD86 = $AS$6, BD86 = $AT$6, BD86 = $AU$6), 1, 0)</f>
        <v>1</v>
      </c>
      <c r="AF86" s="11">
        <f t="shared" si="263"/>
        <v>1</v>
      </c>
      <c r="AG86" s="11">
        <f t="shared" si="263"/>
        <v>1</v>
      </c>
      <c r="AH86" s="11">
        <f t="shared" si="263"/>
        <v>1</v>
      </c>
      <c r="AI86" s="11">
        <f t="shared" si="11"/>
        <v>4</v>
      </c>
      <c r="AJ86" s="11">
        <f t="shared" si="12"/>
        <v>11</v>
      </c>
      <c r="AK86" s="12">
        <f t="shared" si="13"/>
        <v>4.583333333</v>
      </c>
      <c r="AL86" s="13" t="str">
        <f t="shared" si="14"/>
        <v>excellent</v>
      </c>
      <c r="AM86" s="7"/>
      <c r="AN86" s="7"/>
    </row>
    <row r="87">
      <c r="A87" s="7" t="s">
        <v>218</v>
      </c>
      <c r="B87" s="7" t="s">
        <v>219</v>
      </c>
      <c r="C87" s="8" t="s">
        <v>156</v>
      </c>
      <c r="D87" s="7" t="s">
        <v>220</v>
      </c>
      <c r="E87" s="8" t="b">
        <f t="shared" ref="E87:K87" si="264">IF(IFERROR(SEARCH(E$1, $D87),0) &gt;= 1, TRUE,FALSE)</f>
        <v>1</v>
      </c>
      <c r="F87" s="8" t="b">
        <f t="shared" si="264"/>
        <v>1</v>
      </c>
      <c r="G87" s="8" t="b">
        <f t="shared" si="264"/>
        <v>1</v>
      </c>
      <c r="H87" s="8" t="b">
        <f t="shared" si="264"/>
        <v>1</v>
      </c>
      <c r="I87" s="8" t="b">
        <f t="shared" si="264"/>
        <v>1</v>
      </c>
      <c r="J87" s="8" t="b">
        <f t="shared" si="264"/>
        <v>1</v>
      </c>
      <c r="K87" s="8" t="b">
        <f t="shared" si="264"/>
        <v>1</v>
      </c>
      <c r="L87" s="9" t="b">
        <v>1</v>
      </c>
      <c r="M87" s="9" t="b">
        <v>0</v>
      </c>
      <c r="N87" s="9" t="b">
        <v>0</v>
      </c>
      <c r="O87" s="9" t="b">
        <v>0</v>
      </c>
      <c r="P87" s="7" t="str">
        <f t="shared" si="5"/>
        <v>Stadsmuseum Lier</v>
      </c>
      <c r="Q87" s="10">
        <v>4.0</v>
      </c>
      <c r="R87" s="9" t="b">
        <v>0</v>
      </c>
      <c r="S87" s="9" t="b">
        <v>1</v>
      </c>
      <c r="T87" s="10">
        <v>4.0</v>
      </c>
      <c r="U87" s="11">
        <f t="shared" si="6"/>
        <v>0</v>
      </c>
      <c r="V87" s="11">
        <f t="shared" ref="V87:AB87" si="265">IF(OR(AW87 = $AO$4, AW87 = $AQ$4), 1, 0)</f>
        <v>1</v>
      </c>
      <c r="W87" s="11">
        <f t="shared" si="265"/>
        <v>1</v>
      </c>
      <c r="X87" s="11">
        <f t="shared" si="265"/>
        <v>1</v>
      </c>
      <c r="Y87" s="11">
        <f t="shared" si="265"/>
        <v>1</v>
      </c>
      <c r="Z87" s="11">
        <f t="shared" si="265"/>
        <v>1</v>
      </c>
      <c r="AA87" s="11">
        <f t="shared" si="265"/>
        <v>1</v>
      </c>
      <c r="AB87" s="11">
        <f t="shared" si="265"/>
        <v>1</v>
      </c>
      <c r="AC87" s="11">
        <f t="shared" si="8"/>
        <v>7</v>
      </c>
      <c r="AD87" s="11">
        <f t="shared" si="9"/>
        <v>1</v>
      </c>
      <c r="AE87" s="11">
        <f t="shared" ref="AE87:AH87" si="266">IF(OR(BD87 = $AO$6, BD87 = $AS$6, BD87 = $AT$6, BD87 = $AU$6), 1, 0)</f>
        <v>1</v>
      </c>
      <c r="AF87" s="11">
        <f t="shared" si="266"/>
        <v>1</v>
      </c>
      <c r="AG87" s="11">
        <f t="shared" si="266"/>
        <v>1</v>
      </c>
      <c r="AH87" s="11">
        <f t="shared" si="266"/>
        <v>1</v>
      </c>
      <c r="AI87" s="11">
        <f t="shared" si="11"/>
        <v>4</v>
      </c>
      <c r="AJ87" s="11">
        <f t="shared" si="12"/>
        <v>12</v>
      </c>
      <c r="AK87" s="12">
        <f t="shared" si="13"/>
        <v>5</v>
      </c>
      <c r="AL87" s="13" t="str">
        <f t="shared" si="14"/>
        <v>excellent</v>
      </c>
      <c r="AM87" s="7"/>
      <c r="AN87" s="7"/>
    </row>
    <row r="88">
      <c r="A88" s="7" t="s">
        <v>221</v>
      </c>
      <c r="B88" s="7" t="s">
        <v>222</v>
      </c>
      <c r="C88" s="8" t="s">
        <v>156</v>
      </c>
      <c r="D88" s="7" t="s">
        <v>102</v>
      </c>
      <c r="E88" s="8" t="b">
        <f t="shared" ref="E88:K88" si="267">IF(IFERROR(SEARCH(E$1, $D88),0) &gt;= 1, TRUE,FALSE)</f>
        <v>1</v>
      </c>
      <c r="F88" s="8" t="b">
        <f t="shared" si="267"/>
        <v>0</v>
      </c>
      <c r="G88" s="8" t="b">
        <f t="shared" si="267"/>
        <v>0</v>
      </c>
      <c r="H88" s="8" t="b">
        <f t="shared" si="267"/>
        <v>0</v>
      </c>
      <c r="I88" s="8" t="b">
        <f t="shared" si="267"/>
        <v>0</v>
      </c>
      <c r="J88" s="8" t="b">
        <f t="shared" si="267"/>
        <v>1</v>
      </c>
      <c r="K88" s="8" t="b">
        <f t="shared" si="267"/>
        <v>0</v>
      </c>
      <c r="L88" s="9" t="b">
        <v>1</v>
      </c>
      <c r="M88" s="9" t="b">
        <v>0</v>
      </c>
      <c r="N88" s="9" t="b">
        <v>0</v>
      </c>
      <c r="O88" s="9" t="b">
        <v>0</v>
      </c>
      <c r="P88" s="7" t="str">
        <f t="shared" si="5"/>
        <v>Stedelijk Museum Hoogstraten</v>
      </c>
      <c r="Q88" s="10">
        <v>0.0</v>
      </c>
      <c r="R88" s="9" t="b">
        <v>0</v>
      </c>
      <c r="S88" s="9" t="b">
        <v>1</v>
      </c>
      <c r="T88" s="10">
        <v>0.0</v>
      </c>
      <c r="U88" s="11">
        <f t="shared" si="6"/>
        <v>0</v>
      </c>
      <c r="V88" s="11">
        <f t="shared" ref="V88:AB88" si="268">IF(OR(AW88 = $AO$4, AW88 = $AQ$4), 1, 0)</f>
        <v>1</v>
      </c>
      <c r="W88" s="11">
        <f t="shared" si="268"/>
        <v>1</v>
      </c>
      <c r="X88" s="11">
        <f t="shared" si="268"/>
        <v>1</v>
      </c>
      <c r="Y88" s="11">
        <f t="shared" si="268"/>
        <v>1</v>
      </c>
      <c r="Z88" s="11">
        <f t="shared" si="268"/>
        <v>1</v>
      </c>
      <c r="AA88" s="11">
        <f t="shared" si="268"/>
        <v>1</v>
      </c>
      <c r="AB88" s="11">
        <f t="shared" si="268"/>
        <v>1</v>
      </c>
      <c r="AC88" s="11">
        <f t="shared" si="8"/>
        <v>7</v>
      </c>
      <c r="AD88" s="11">
        <f t="shared" si="9"/>
        <v>1</v>
      </c>
      <c r="AE88" s="11">
        <f t="shared" ref="AE88:AH88" si="269">IF(OR(BD88 = $AO$6, BD88 = $AS$6, BD88 = $AT$6, BD88 = $AU$6), 1, 0)</f>
        <v>1</v>
      </c>
      <c r="AF88" s="11">
        <f t="shared" si="269"/>
        <v>1</v>
      </c>
      <c r="AG88" s="11">
        <f t="shared" si="269"/>
        <v>1</v>
      </c>
      <c r="AH88" s="11">
        <f t="shared" si="269"/>
        <v>1</v>
      </c>
      <c r="AI88" s="11">
        <f t="shared" si="11"/>
        <v>4</v>
      </c>
      <c r="AJ88" s="11">
        <f t="shared" si="12"/>
        <v>12</v>
      </c>
      <c r="AK88" s="12">
        <f t="shared" si="13"/>
        <v>5</v>
      </c>
      <c r="AL88" s="13" t="str">
        <f t="shared" si="14"/>
        <v>excellent</v>
      </c>
      <c r="AM88" s="7"/>
      <c r="AN88" s="7"/>
    </row>
    <row r="89">
      <c r="A89" s="7" t="s">
        <v>223</v>
      </c>
      <c r="B89" s="7" t="s">
        <v>224</v>
      </c>
      <c r="C89" s="8" t="s">
        <v>156</v>
      </c>
      <c r="D89" s="7" t="s">
        <v>164</v>
      </c>
      <c r="E89" s="8" t="b">
        <f t="shared" ref="E89:K89" si="270">IF(IFERROR(SEARCH(E$1, $D89),0) &gt;= 1, TRUE,FALSE)</f>
        <v>1</v>
      </c>
      <c r="F89" s="8" t="b">
        <f t="shared" si="270"/>
        <v>0</v>
      </c>
      <c r="G89" s="8" t="b">
        <f t="shared" si="270"/>
        <v>0</v>
      </c>
      <c r="H89" s="8" t="b">
        <f t="shared" si="270"/>
        <v>1</v>
      </c>
      <c r="I89" s="8" t="b">
        <f t="shared" si="270"/>
        <v>0</v>
      </c>
      <c r="J89" s="8" t="b">
        <f t="shared" si="270"/>
        <v>0</v>
      </c>
      <c r="K89" s="8" t="b">
        <f t="shared" si="270"/>
        <v>0</v>
      </c>
      <c r="L89" s="9" t="b">
        <v>1</v>
      </c>
      <c r="M89" s="9" t="b">
        <v>1</v>
      </c>
      <c r="N89" s="9" t="b">
        <v>1</v>
      </c>
      <c r="O89" s="9" t="b">
        <v>0</v>
      </c>
      <c r="P89" s="7" t="str">
        <f t="shared" si="5"/>
        <v>Suske en Wiske Museum</v>
      </c>
      <c r="Q89" s="10">
        <v>15.0</v>
      </c>
      <c r="R89" s="9" t="b">
        <v>0</v>
      </c>
      <c r="S89" s="9" t="b">
        <v>0</v>
      </c>
      <c r="T89" s="7"/>
      <c r="U89" s="11">
        <f t="shared" si="6"/>
        <v>0</v>
      </c>
      <c r="V89" s="11">
        <f t="shared" ref="V89:AB89" si="271">IF(OR(AW89 = $AO$4, AW89 = $AQ$4), 1, 0)</f>
        <v>1</v>
      </c>
      <c r="W89" s="11">
        <f t="shared" si="271"/>
        <v>1</v>
      </c>
      <c r="X89" s="11">
        <f t="shared" si="271"/>
        <v>1</v>
      </c>
      <c r="Y89" s="11">
        <f t="shared" si="271"/>
        <v>1</v>
      </c>
      <c r="Z89" s="11">
        <f t="shared" si="271"/>
        <v>1</v>
      </c>
      <c r="AA89" s="11">
        <f t="shared" si="271"/>
        <v>1</v>
      </c>
      <c r="AB89" s="11">
        <f t="shared" si="271"/>
        <v>1</v>
      </c>
      <c r="AC89" s="11">
        <f t="shared" si="8"/>
        <v>7</v>
      </c>
      <c r="AD89" s="11">
        <f t="shared" si="9"/>
        <v>1</v>
      </c>
      <c r="AE89" s="11">
        <f t="shared" ref="AE89:AH89" si="272">IF(OR(BD89 = $AO$6, BD89 = $AS$6, BD89 = $AT$6, BD89 = $AU$6), 1, 0)</f>
        <v>1</v>
      </c>
      <c r="AF89" s="11">
        <f t="shared" si="272"/>
        <v>1</v>
      </c>
      <c r="AG89" s="11">
        <f t="shared" si="272"/>
        <v>1</v>
      </c>
      <c r="AH89" s="11">
        <f t="shared" si="272"/>
        <v>1</v>
      </c>
      <c r="AI89" s="11">
        <f t="shared" si="11"/>
        <v>4</v>
      </c>
      <c r="AJ89" s="11">
        <f t="shared" si="12"/>
        <v>12</v>
      </c>
      <c r="AK89" s="12">
        <f t="shared" si="13"/>
        <v>5</v>
      </c>
      <c r="AL89" s="13" t="str">
        <f t="shared" si="14"/>
        <v>excellent</v>
      </c>
      <c r="AM89" s="7"/>
      <c r="AN89" s="7"/>
    </row>
    <row r="90">
      <c r="A90" s="7" t="s">
        <v>225</v>
      </c>
      <c r="B90" s="7"/>
      <c r="C90" s="8" t="s">
        <v>156</v>
      </c>
      <c r="D90" s="7" t="s">
        <v>206</v>
      </c>
      <c r="E90" s="8" t="b">
        <f t="shared" ref="E90:K90" si="273">IF(IFERROR(SEARCH(E$1, $D90),0) &gt;= 1, TRUE,FALSE)</f>
        <v>1</v>
      </c>
      <c r="F90" s="8" t="b">
        <f t="shared" si="273"/>
        <v>0</v>
      </c>
      <c r="G90" s="8" t="b">
        <f t="shared" si="273"/>
        <v>0</v>
      </c>
      <c r="H90" s="8" t="b">
        <f t="shared" si="273"/>
        <v>0</v>
      </c>
      <c r="I90" s="8" t="b">
        <f t="shared" si="273"/>
        <v>1</v>
      </c>
      <c r="J90" s="8" t="b">
        <f t="shared" si="273"/>
        <v>1</v>
      </c>
      <c r="K90" s="8" t="b">
        <f t="shared" si="273"/>
        <v>0</v>
      </c>
      <c r="L90" s="9" t="b">
        <v>1</v>
      </c>
      <c r="M90" s="9" t="b">
        <v>1</v>
      </c>
      <c r="N90" s="9" t="b">
        <v>0</v>
      </c>
      <c r="O90" s="9" t="b">
        <v>0</v>
      </c>
      <c r="P90" s="7" t="str">
        <f t="shared" si="5"/>
        <v>Taxandriamuseum</v>
      </c>
      <c r="Q90" s="10">
        <v>5.0</v>
      </c>
      <c r="R90" s="9" t="b">
        <v>0</v>
      </c>
      <c r="S90" s="9" t="b">
        <v>1</v>
      </c>
      <c r="T90" s="10">
        <v>5.0</v>
      </c>
      <c r="U90" s="11">
        <f t="shared" si="6"/>
        <v>0</v>
      </c>
      <c r="V90" s="11">
        <f t="shared" ref="V90:AB90" si="274">IF(OR(AW90 = $AO$4, AW90 = $AQ$4), 1, 0)</f>
        <v>1</v>
      </c>
      <c r="W90" s="11">
        <f t="shared" si="274"/>
        <v>1</v>
      </c>
      <c r="X90" s="11">
        <f t="shared" si="274"/>
        <v>1</v>
      </c>
      <c r="Y90" s="11">
        <f t="shared" si="274"/>
        <v>1</v>
      </c>
      <c r="Z90" s="11">
        <f t="shared" si="274"/>
        <v>1</v>
      </c>
      <c r="AA90" s="11">
        <f t="shared" si="274"/>
        <v>1</v>
      </c>
      <c r="AB90" s="11">
        <f t="shared" si="274"/>
        <v>1</v>
      </c>
      <c r="AC90" s="11">
        <f t="shared" si="8"/>
        <v>7</v>
      </c>
      <c r="AD90" s="11">
        <f t="shared" si="9"/>
        <v>1</v>
      </c>
      <c r="AE90" s="11">
        <f t="shared" ref="AE90:AH90" si="275">IF(OR(BD90 = $AO$6, BD90 = $AS$6, BD90 = $AT$6, BD90 = $AU$6), 1, 0)</f>
        <v>1</v>
      </c>
      <c r="AF90" s="11">
        <f t="shared" si="275"/>
        <v>1</v>
      </c>
      <c r="AG90" s="11">
        <f t="shared" si="275"/>
        <v>1</v>
      </c>
      <c r="AH90" s="11">
        <f t="shared" si="275"/>
        <v>1</v>
      </c>
      <c r="AI90" s="11">
        <f t="shared" si="11"/>
        <v>4</v>
      </c>
      <c r="AJ90" s="11">
        <f t="shared" si="12"/>
        <v>12</v>
      </c>
      <c r="AK90" s="12">
        <f t="shared" si="13"/>
        <v>5</v>
      </c>
      <c r="AL90" s="13" t="str">
        <f t="shared" si="14"/>
        <v>excellent</v>
      </c>
      <c r="AM90" s="7"/>
      <c r="AN90" s="7"/>
    </row>
    <row r="91">
      <c r="A91" s="7" t="s">
        <v>226</v>
      </c>
      <c r="B91" s="7"/>
      <c r="C91" s="8" t="s">
        <v>156</v>
      </c>
      <c r="D91" s="7" t="s">
        <v>114</v>
      </c>
      <c r="E91" s="8" t="b">
        <f t="shared" ref="E91:K91" si="276">IF(IFERROR(SEARCH(E$1, $D91),0) &gt;= 1, TRUE,FALSE)</f>
        <v>1</v>
      </c>
      <c r="F91" s="8" t="b">
        <f t="shared" si="276"/>
        <v>1</v>
      </c>
      <c r="G91" s="8" t="b">
        <f t="shared" si="276"/>
        <v>0</v>
      </c>
      <c r="H91" s="8" t="b">
        <f t="shared" si="276"/>
        <v>0</v>
      </c>
      <c r="I91" s="8" t="b">
        <f t="shared" si="276"/>
        <v>0</v>
      </c>
      <c r="J91" s="8" t="b">
        <f t="shared" si="276"/>
        <v>0</v>
      </c>
      <c r="K91" s="8" t="b">
        <f t="shared" si="276"/>
        <v>0</v>
      </c>
      <c r="L91" s="9" t="b">
        <v>1</v>
      </c>
      <c r="M91" s="9" t="b">
        <v>1</v>
      </c>
      <c r="N91" s="9" t="b">
        <v>1</v>
      </c>
      <c r="O91" s="9" t="b">
        <v>1</v>
      </c>
      <c r="P91" s="7" t="str">
        <f t="shared" si="5"/>
        <v>‘t Grom</v>
      </c>
      <c r="Q91" s="10">
        <v>7.0</v>
      </c>
      <c r="R91" s="9" t="b">
        <v>0</v>
      </c>
      <c r="S91" s="9" t="b">
        <v>1</v>
      </c>
      <c r="T91" s="10">
        <v>7.0</v>
      </c>
      <c r="U91" s="11">
        <f t="shared" si="6"/>
        <v>0</v>
      </c>
      <c r="V91" s="11">
        <f t="shared" ref="V91:AB91" si="277">IF(OR(AW91 = $AO$4, AW91 = $AQ$4), 1, 0)</f>
        <v>1</v>
      </c>
      <c r="W91" s="11">
        <f t="shared" si="277"/>
        <v>1</v>
      </c>
      <c r="X91" s="11">
        <f t="shared" si="277"/>
        <v>1</v>
      </c>
      <c r="Y91" s="11">
        <f t="shared" si="277"/>
        <v>1</v>
      </c>
      <c r="Z91" s="11">
        <f t="shared" si="277"/>
        <v>1</v>
      </c>
      <c r="AA91" s="11">
        <f t="shared" si="277"/>
        <v>1</v>
      </c>
      <c r="AB91" s="11">
        <f t="shared" si="277"/>
        <v>1</v>
      </c>
      <c r="AC91" s="11">
        <f t="shared" si="8"/>
        <v>7</v>
      </c>
      <c r="AD91" s="11">
        <f t="shared" si="9"/>
        <v>1</v>
      </c>
      <c r="AE91" s="11">
        <f t="shared" ref="AE91:AH91" si="278">IF(OR(BD91 = $AO$6, BD91 = $AS$6, BD91 = $AT$6, BD91 = $AU$6), 1, 0)</f>
        <v>1</v>
      </c>
      <c r="AF91" s="11">
        <f t="shared" si="278"/>
        <v>1</v>
      </c>
      <c r="AG91" s="11">
        <f t="shared" si="278"/>
        <v>1</v>
      </c>
      <c r="AH91" s="11">
        <f t="shared" si="278"/>
        <v>1</v>
      </c>
      <c r="AI91" s="11">
        <f t="shared" si="11"/>
        <v>4</v>
      </c>
      <c r="AJ91" s="11">
        <f t="shared" si="12"/>
        <v>12</v>
      </c>
      <c r="AK91" s="12">
        <f t="shared" si="13"/>
        <v>5</v>
      </c>
      <c r="AL91" s="13" t="str">
        <f t="shared" si="14"/>
        <v>excellent</v>
      </c>
      <c r="AM91" s="7"/>
      <c r="AN91" s="7"/>
    </row>
    <row r="92">
      <c r="A92" s="7" t="s">
        <v>227</v>
      </c>
      <c r="B92" s="7"/>
      <c r="C92" s="8" t="s">
        <v>156</v>
      </c>
      <c r="D92" s="7" t="s">
        <v>228</v>
      </c>
      <c r="E92" s="8" t="b">
        <f t="shared" ref="E92:K92" si="279">IF(IFERROR(SEARCH(E$1, $D92),0) &gt;= 1, TRUE,FALSE)</f>
        <v>1</v>
      </c>
      <c r="F92" s="8" t="b">
        <f t="shared" si="279"/>
        <v>1</v>
      </c>
      <c r="G92" s="8" t="b">
        <f t="shared" si="279"/>
        <v>1</v>
      </c>
      <c r="H92" s="8" t="b">
        <f t="shared" si="279"/>
        <v>0</v>
      </c>
      <c r="I92" s="8" t="b">
        <f t="shared" si="279"/>
        <v>1</v>
      </c>
      <c r="J92" s="8" t="b">
        <f t="shared" si="279"/>
        <v>0</v>
      </c>
      <c r="K92" s="8" t="b">
        <f t="shared" si="279"/>
        <v>1</v>
      </c>
      <c r="L92" s="9" t="b">
        <v>1</v>
      </c>
      <c r="M92" s="9" t="b">
        <v>0</v>
      </c>
      <c r="N92" s="9" t="b">
        <v>0</v>
      </c>
      <c r="O92" s="9" t="b">
        <v>0</v>
      </c>
      <c r="P92" s="7" t="str">
        <f t="shared" si="5"/>
        <v>Het steen, The Antwerp Story</v>
      </c>
      <c r="Q92" s="10">
        <v>7.0</v>
      </c>
      <c r="R92" s="9" t="b">
        <v>0</v>
      </c>
      <c r="S92" s="9" t="b">
        <v>1</v>
      </c>
      <c r="T92" s="10">
        <v>7.0</v>
      </c>
      <c r="U92" s="11">
        <f t="shared" si="6"/>
        <v>0</v>
      </c>
      <c r="V92" s="11">
        <f t="shared" ref="V92:AB92" si="280">IF(OR(AW92 = $AO$4, AW92 = $AQ$4), 1, 0)</f>
        <v>1</v>
      </c>
      <c r="W92" s="11">
        <f t="shared" si="280"/>
        <v>1</v>
      </c>
      <c r="X92" s="11">
        <f t="shared" si="280"/>
        <v>1</v>
      </c>
      <c r="Y92" s="11">
        <f t="shared" si="280"/>
        <v>1</v>
      </c>
      <c r="Z92" s="11">
        <f t="shared" si="280"/>
        <v>1</v>
      </c>
      <c r="AA92" s="11">
        <f t="shared" si="280"/>
        <v>1</v>
      </c>
      <c r="AB92" s="11">
        <f t="shared" si="280"/>
        <v>1</v>
      </c>
      <c r="AC92" s="11">
        <f t="shared" si="8"/>
        <v>7</v>
      </c>
      <c r="AD92" s="11">
        <f t="shared" si="9"/>
        <v>1</v>
      </c>
      <c r="AE92" s="11">
        <f t="shared" ref="AE92:AH92" si="281">IF(OR(BD92 = $AO$6, BD92 = $AS$6, BD92 = $AT$6, BD92 = $AU$6), 1, 0)</f>
        <v>1</v>
      </c>
      <c r="AF92" s="11">
        <f t="shared" si="281"/>
        <v>1</v>
      </c>
      <c r="AG92" s="11">
        <f t="shared" si="281"/>
        <v>1</v>
      </c>
      <c r="AH92" s="11">
        <f t="shared" si="281"/>
        <v>1</v>
      </c>
      <c r="AI92" s="11">
        <f t="shared" si="11"/>
        <v>4</v>
      </c>
      <c r="AJ92" s="11">
        <f t="shared" si="12"/>
        <v>12</v>
      </c>
      <c r="AK92" s="12">
        <f t="shared" si="13"/>
        <v>5</v>
      </c>
      <c r="AL92" s="13" t="str">
        <f t="shared" si="14"/>
        <v>excellent</v>
      </c>
      <c r="AM92" s="7"/>
      <c r="AN92" s="7"/>
    </row>
    <row r="93">
      <c r="A93" s="7" t="s">
        <v>229</v>
      </c>
      <c r="B93" s="7" t="s">
        <v>230</v>
      </c>
      <c r="C93" s="8" t="s">
        <v>231</v>
      </c>
      <c r="D93" s="7" t="s">
        <v>9</v>
      </c>
      <c r="E93" s="8" t="b">
        <f t="shared" ref="E93:K93" si="282">IF(IFERROR(SEARCH(E$1, $D93),0) &gt;= 1, TRUE,FALSE)</f>
        <v>0</v>
      </c>
      <c r="F93" s="8" t="b">
        <f t="shared" si="282"/>
        <v>0</v>
      </c>
      <c r="G93" s="8" t="b">
        <f t="shared" si="282"/>
        <v>0</v>
      </c>
      <c r="H93" s="8" t="b">
        <f t="shared" si="282"/>
        <v>0</v>
      </c>
      <c r="I93" s="8" t="b">
        <f t="shared" si="282"/>
        <v>0</v>
      </c>
      <c r="J93" s="8" t="b">
        <f t="shared" si="282"/>
        <v>1</v>
      </c>
      <c r="K93" s="8" t="b">
        <f t="shared" si="282"/>
        <v>0</v>
      </c>
      <c r="L93" s="9" t="b">
        <v>1</v>
      </c>
      <c r="M93" s="9" t="b">
        <v>1</v>
      </c>
      <c r="N93" s="9" t="b">
        <v>1</v>
      </c>
      <c r="O93" s="9" t="b">
        <v>1</v>
      </c>
      <c r="P93" s="7" t="str">
        <f t="shared" si="5"/>
        <v>Stichting Folon</v>
      </c>
      <c r="Q93" s="10">
        <v>12.0</v>
      </c>
      <c r="R93" s="9" t="b">
        <v>0</v>
      </c>
      <c r="S93" s="9" t="b">
        <v>1</v>
      </c>
      <c r="T93" s="10">
        <v>10.0</v>
      </c>
      <c r="U93" s="11">
        <f t="shared" si="6"/>
        <v>0</v>
      </c>
      <c r="V93" s="11">
        <f t="shared" ref="V93:AB93" si="283">IF(OR(AW93 = $AO$4, AW93 = $AQ$4), 1, 0)</f>
        <v>1</v>
      </c>
      <c r="W93" s="11">
        <f t="shared" si="283"/>
        <v>1</v>
      </c>
      <c r="X93" s="11">
        <f t="shared" si="283"/>
        <v>1</v>
      </c>
      <c r="Y93" s="11">
        <f t="shared" si="283"/>
        <v>1</v>
      </c>
      <c r="Z93" s="11">
        <f t="shared" si="283"/>
        <v>1</v>
      </c>
      <c r="AA93" s="11">
        <f t="shared" si="283"/>
        <v>1</v>
      </c>
      <c r="AB93" s="11">
        <f t="shared" si="283"/>
        <v>1</v>
      </c>
      <c r="AC93" s="11">
        <f t="shared" si="8"/>
        <v>7</v>
      </c>
      <c r="AD93" s="11">
        <f t="shared" si="9"/>
        <v>1</v>
      </c>
      <c r="AE93" s="11">
        <f t="shared" ref="AE93:AH93" si="284">IF(OR(BD93 = $AO$6, BD93 = $AS$6, BD93 = $AT$6, BD93 = $AU$6), 1, 0)</f>
        <v>1</v>
      </c>
      <c r="AF93" s="11">
        <f t="shared" si="284"/>
        <v>1</v>
      </c>
      <c r="AG93" s="11">
        <f t="shared" si="284"/>
        <v>1</v>
      </c>
      <c r="AH93" s="11">
        <f t="shared" si="284"/>
        <v>1</v>
      </c>
      <c r="AI93" s="11">
        <f t="shared" si="11"/>
        <v>4</v>
      </c>
      <c r="AJ93" s="11">
        <f t="shared" si="12"/>
        <v>12</v>
      </c>
      <c r="AK93" s="12">
        <f t="shared" si="13"/>
        <v>5</v>
      </c>
      <c r="AL93" s="13" t="str">
        <f t="shared" si="14"/>
        <v>excellent</v>
      </c>
      <c r="AM93" s="7"/>
      <c r="AN93" s="7"/>
    </row>
    <row r="94">
      <c r="A94" s="7" t="s">
        <v>232</v>
      </c>
      <c r="B94" s="7" t="s">
        <v>233</v>
      </c>
      <c r="C94" s="8" t="s">
        <v>231</v>
      </c>
      <c r="D94" s="7" t="s">
        <v>9</v>
      </c>
      <c r="E94" s="8" t="b">
        <f t="shared" ref="E94:K94" si="285">IF(IFERROR(SEARCH(E$1, $D94),0) &gt;= 1, TRUE,FALSE)</f>
        <v>0</v>
      </c>
      <c r="F94" s="8" t="b">
        <f t="shared" si="285"/>
        <v>0</v>
      </c>
      <c r="G94" s="8" t="b">
        <f t="shared" si="285"/>
        <v>0</v>
      </c>
      <c r="H94" s="8" t="b">
        <f t="shared" si="285"/>
        <v>0</v>
      </c>
      <c r="I94" s="8" t="b">
        <f t="shared" si="285"/>
        <v>0</v>
      </c>
      <c r="J94" s="8" t="b">
        <f t="shared" si="285"/>
        <v>1</v>
      </c>
      <c r="K94" s="8" t="b">
        <f t="shared" si="285"/>
        <v>0</v>
      </c>
      <c r="L94" s="9" t="b">
        <v>1</v>
      </c>
      <c r="M94" s="9" t="b">
        <v>1</v>
      </c>
      <c r="N94" s="9" t="b">
        <v>0</v>
      </c>
      <c r="O94" s="9" t="b">
        <v>1</v>
      </c>
      <c r="P94" s="7" t="str">
        <f t="shared" si="5"/>
        <v>Hergé Museum</v>
      </c>
      <c r="Q94" s="10">
        <v>12.0</v>
      </c>
      <c r="R94" s="9" t="b">
        <v>0</v>
      </c>
      <c r="S94" s="9" t="b">
        <v>1</v>
      </c>
      <c r="T94" s="10">
        <v>12.0</v>
      </c>
      <c r="U94" s="11">
        <f t="shared" si="6"/>
        <v>0</v>
      </c>
      <c r="V94" s="11">
        <f t="shared" ref="V94:AB94" si="286">IF(OR(AW94 = $AO$4, AW94 = $AQ$4), 1, 0)</f>
        <v>1</v>
      </c>
      <c r="W94" s="11">
        <f t="shared" si="286"/>
        <v>1</v>
      </c>
      <c r="X94" s="11">
        <f t="shared" si="286"/>
        <v>1</v>
      </c>
      <c r="Y94" s="11">
        <f t="shared" si="286"/>
        <v>1</v>
      </c>
      <c r="Z94" s="11">
        <f t="shared" si="286"/>
        <v>1</v>
      </c>
      <c r="AA94" s="11">
        <f t="shared" si="286"/>
        <v>1</v>
      </c>
      <c r="AB94" s="11">
        <f t="shared" si="286"/>
        <v>1</v>
      </c>
      <c r="AC94" s="11">
        <f t="shared" si="8"/>
        <v>7</v>
      </c>
      <c r="AD94" s="11">
        <f t="shared" si="9"/>
        <v>1</v>
      </c>
      <c r="AE94" s="11">
        <f t="shared" ref="AE94:AH94" si="287">IF(OR(BD94 = $AO$6, BD94 = $AS$6, BD94 = $AT$6, BD94 = $AU$6), 1, 0)</f>
        <v>1</v>
      </c>
      <c r="AF94" s="11">
        <f t="shared" si="287"/>
        <v>1</v>
      </c>
      <c r="AG94" s="11">
        <f t="shared" si="287"/>
        <v>1</v>
      </c>
      <c r="AH94" s="11">
        <f t="shared" si="287"/>
        <v>1</v>
      </c>
      <c r="AI94" s="11">
        <f t="shared" si="11"/>
        <v>4</v>
      </c>
      <c r="AJ94" s="11">
        <f t="shared" si="12"/>
        <v>12</v>
      </c>
      <c r="AK94" s="12">
        <f t="shared" si="13"/>
        <v>5</v>
      </c>
      <c r="AL94" s="13" t="str">
        <f t="shared" si="14"/>
        <v>excellent</v>
      </c>
      <c r="AM94" s="7"/>
      <c r="AN94" s="7"/>
    </row>
    <row r="95">
      <c r="A95" s="7"/>
      <c r="B95" s="7" t="s">
        <v>234</v>
      </c>
      <c r="C95" s="8" t="s">
        <v>231</v>
      </c>
      <c r="D95" s="7" t="s">
        <v>9</v>
      </c>
      <c r="E95" s="8" t="b">
        <f t="shared" ref="E95:K95" si="288">IF(IFERROR(SEARCH(E$1, $D95),0) &gt;= 1, TRUE,FALSE)</f>
        <v>0</v>
      </c>
      <c r="F95" s="8" t="b">
        <f t="shared" si="288"/>
        <v>0</v>
      </c>
      <c r="G95" s="8" t="b">
        <f t="shared" si="288"/>
        <v>0</v>
      </c>
      <c r="H95" s="8" t="b">
        <f t="shared" si="288"/>
        <v>0</v>
      </c>
      <c r="I95" s="8" t="b">
        <f t="shared" si="288"/>
        <v>0</v>
      </c>
      <c r="J95" s="8" t="b">
        <f t="shared" si="288"/>
        <v>1</v>
      </c>
      <c r="K95" s="8" t="b">
        <f t="shared" si="288"/>
        <v>0</v>
      </c>
      <c r="L95" s="9" t="b">
        <v>1</v>
      </c>
      <c r="M95" s="9" t="b">
        <v>1</v>
      </c>
      <c r="N95" s="9" t="b">
        <v>1</v>
      </c>
      <c r="O95" s="9" t="b">
        <v>1</v>
      </c>
      <c r="P95" s="7" t="str">
        <f t="shared" si="5"/>
        <v>Musée L</v>
      </c>
      <c r="Q95" s="10">
        <v>8.0</v>
      </c>
      <c r="R95" s="9" t="b">
        <v>0</v>
      </c>
      <c r="S95" s="9" t="b">
        <v>1</v>
      </c>
      <c r="T95" s="10">
        <v>8.0</v>
      </c>
      <c r="U95" s="11">
        <f t="shared" si="6"/>
        <v>0</v>
      </c>
      <c r="V95" s="11">
        <f t="shared" ref="V95:AB95" si="289">IF(OR(AW95 = $AO$4, AW95 = $AQ$4), 1, 0)</f>
        <v>1</v>
      </c>
      <c r="W95" s="11">
        <f t="shared" si="289"/>
        <v>1</v>
      </c>
      <c r="X95" s="11">
        <f t="shared" si="289"/>
        <v>1</v>
      </c>
      <c r="Y95" s="11">
        <f t="shared" si="289"/>
        <v>1</v>
      </c>
      <c r="Z95" s="11">
        <f t="shared" si="289"/>
        <v>1</v>
      </c>
      <c r="AA95" s="11">
        <f t="shared" si="289"/>
        <v>1</v>
      </c>
      <c r="AB95" s="11">
        <f t="shared" si="289"/>
        <v>1</v>
      </c>
      <c r="AC95" s="11">
        <f t="shared" si="8"/>
        <v>7</v>
      </c>
      <c r="AD95" s="11">
        <f t="shared" si="9"/>
        <v>1</v>
      </c>
      <c r="AE95" s="11">
        <f t="shared" ref="AE95:AH95" si="290">IF(OR(BD95 = $AO$6, BD95 = $AS$6, BD95 = $AT$6, BD95 = $AU$6), 1, 0)</f>
        <v>1</v>
      </c>
      <c r="AF95" s="11">
        <f t="shared" si="290"/>
        <v>1</v>
      </c>
      <c r="AG95" s="11">
        <f t="shared" si="290"/>
        <v>1</v>
      </c>
      <c r="AH95" s="11">
        <f t="shared" si="290"/>
        <v>1</v>
      </c>
      <c r="AI95" s="11">
        <f t="shared" si="11"/>
        <v>4</v>
      </c>
      <c r="AJ95" s="11">
        <f t="shared" si="12"/>
        <v>12</v>
      </c>
      <c r="AK95" s="12">
        <f t="shared" si="13"/>
        <v>5</v>
      </c>
      <c r="AL95" s="13" t="str">
        <f t="shared" si="14"/>
        <v>excellent</v>
      </c>
      <c r="AM95" s="7"/>
      <c r="AN95" s="7"/>
    </row>
    <row r="96">
      <c r="A96" s="7" t="s">
        <v>235</v>
      </c>
      <c r="B96" s="7" t="s">
        <v>236</v>
      </c>
      <c r="C96" s="8" t="s">
        <v>231</v>
      </c>
      <c r="D96" s="7" t="s">
        <v>9</v>
      </c>
      <c r="E96" s="8" t="b">
        <f t="shared" ref="E96:K96" si="291">IF(IFERROR(SEARCH(E$1, $D96),0) &gt;= 1, TRUE,FALSE)</f>
        <v>0</v>
      </c>
      <c r="F96" s="8" t="b">
        <f t="shared" si="291"/>
        <v>0</v>
      </c>
      <c r="G96" s="8" t="b">
        <f t="shared" si="291"/>
        <v>0</v>
      </c>
      <c r="H96" s="8" t="b">
        <f t="shared" si="291"/>
        <v>0</v>
      </c>
      <c r="I96" s="8" t="b">
        <f t="shared" si="291"/>
        <v>0</v>
      </c>
      <c r="J96" s="8" t="b">
        <f t="shared" si="291"/>
        <v>1</v>
      </c>
      <c r="K96" s="8" t="b">
        <f t="shared" si="291"/>
        <v>0</v>
      </c>
      <c r="L96" s="9" t="b">
        <v>1</v>
      </c>
      <c r="M96" s="9" t="b">
        <v>0</v>
      </c>
      <c r="N96" s="9" t="b">
        <v>1</v>
      </c>
      <c r="O96" s="9" t="b">
        <v>0</v>
      </c>
      <c r="P96" s="7" t="str">
        <f t="shared" si="5"/>
        <v>Marthe Donas museum</v>
      </c>
      <c r="Q96" s="10">
        <v>2.0</v>
      </c>
      <c r="R96" s="9" t="b">
        <v>0</v>
      </c>
      <c r="S96" s="9" t="b">
        <v>1</v>
      </c>
      <c r="T96" s="10">
        <v>2.0</v>
      </c>
      <c r="U96" s="11">
        <f t="shared" si="6"/>
        <v>0</v>
      </c>
      <c r="V96" s="11">
        <f t="shared" ref="V96:AB96" si="292">IF(OR(AW96 = $AO$4, AW96 = $AQ$4), 1, 0)</f>
        <v>1</v>
      </c>
      <c r="W96" s="11">
        <f t="shared" si="292"/>
        <v>1</v>
      </c>
      <c r="X96" s="11">
        <f t="shared" si="292"/>
        <v>1</v>
      </c>
      <c r="Y96" s="11">
        <f t="shared" si="292"/>
        <v>1</v>
      </c>
      <c r="Z96" s="11">
        <f t="shared" si="292"/>
        <v>1</v>
      </c>
      <c r="AA96" s="11">
        <f t="shared" si="292"/>
        <v>1</v>
      </c>
      <c r="AB96" s="11">
        <f t="shared" si="292"/>
        <v>1</v>
      </c>
      <c r="AC96" s="11">
        <f t="shared" si="8"/>
        <v>7</v>
      </c>
      <c r="AD96" s="11">
        <f t="shared" si="9"/>
        <v>1</v>
      </c>
      <c r="AE96" s="11">
        <f t="shared" ref="AE96:AH96" si="293">IF(OR(BD96 = $AO$6, BD96 = $AS$6, BD96 = $AT$6, BD96 = $AU$6), 1, 0)</f>
        <v>1</v>
      </c>
      <c r="AF96" s="11">
        <f t="shared" si="293"/>
        <v>1</v>
      </c>
      <c r="AG96" s="11">
        <f t="shared" si="293"/>
        <v>1</v>
      </c>
      <c r="AH96" s="11">
        <f t="shared" si="293"/>
        <v>1</v>
      </c>
      <c r="AI96" s="11">
        <f t="shared" si="11"/>
        <v>4</v>
      </c>
      <c r="AJ96" s="11">
        <f t="shared" si="12"/>
        <v>12</v>
      </c>
      <c r="AK96" s="12">
        <f t="shared" si="13"/>
        <v>5</v>
      </c>
      <c r="AL96" s="13" t="str">
        <f t="shared" si="14"/>
        <v>excellent</v>
      </c>
      <c r="AM96" s="7"/>
      <c r="AN96" s="7"/>
    </row>
    <row r="97">
      <c r="A97" s="7" t="s">
        <v>237</v>
      </c>
      <c r="B97" s="7" t="s">
        <v>238</v>
      </c>
      <c r="C97" s="8" t="s">
        <v>231</v>
      </c>
      <c r="D97" s="7" t="s">
        <v>4</v>
      </c>
      <c r="E97" s="8" t="b">
        <f t="shared" ref="E97:K97" si="294">IF(IFERROR(SEARCH(E$1, $D97),0) &gt;= 1, TRUE,FALSE)</f>
        <v>1</v>
      </c>
      <c r="F97" s="8" t="b">
        <f t="shared" si="294"/>
        <v>0</v>
      </c>
      <c r="G97" s="8" t="b">
        <f t="shared" si="294"/>
        <v>0</v>
      </c>
      <c r="H97" s="8" t="b">
        <f t="shared" si="294"/>
        <v>0</v>
      </c>
      <c r="I97" s="8" t="b">
        <f t="shared" si="294"/>
        <v>0</v>
      </c>
      <c r="J97" s="8" t="b">
        <f t="shared" si="294"/>
        <v>0</v>
      </c>
      <c r="K97" s="8" t="b">
        <f t="shared" si="294"/>
        <v>0</v>
      </c>
      <c r="L97" s="9" t="b">
        <v>1</v>
      </c>
      <c r="M97" s="9" t="b">
        <v>0</v>
      </c>
      <c r="N97" s="9" t="b">
        <v>0</v>
      </c>
      <c r="O97" s="9" t="b">
        <v>0</v>
      </c>
      <c r="P97" s="7" t="str">
        <f t="shared" si="5"/>
        <v>Wellington Museum</v>
      </c>
      <c r="Q97" s="10">
        <v>10.0</v>
      </c>
      <c r="R97" s="9" t="b">
        <v>0</v>
      </c>
      <c r="S97" s="9" t="b">
        <v>1</v>
      </c>
      <c r="T97" s="10">
        <v>8.0</v>
      </c>
      <c r="U97" s="11">
        <f t="shared" si="6"/>
        <v>0</v>
      </c>
      <c r="V97" s="11">
        <f t="shared" ref="V97:AB97" si="295">IF(OR(AW97 = $AO$4, AW97 = $AQ$4), 1, 0)</f>
        <v>1</v>
      </c>
      <c r="W97" s="11">
        <f t="shared" si="295"/>
        <v>1</v>
      </c>
      <c r="X97" s="11">
        <f t="shared" si="295"/>
        <v>1</v>
      </c>
      <c r="Y97" s="11">
        <f t="shared" si="295"/>
        <v>1</v>
      </c>
      <c r="Z97" s="11">
        <f t="shared" si="295"/>
        <v>1</v>
      </c>
      <c r="AA97" s="11">
        <f t="shared" si="295"/>
        <v>1</v>
      </c>
      <c r="AB97" s="11">
        <f t="shared" si="295"/>
        <v>1</v>
      </c>
      <c r="AC97" s="11">
        <f t="shared" si="8"/>
        <v>7</v>
      </c>
      <c r="AD97" s="11">
        <f t="shared" si="9"/>
        <v>1</v>
      </c>
      <c r="AE97" s="11">
        <f t="shared" ref="AE97:AH97" si="296">IF(OR(BD97 = $AO$6, BD97 = $AS$6, BD97 = $AT$6, BD97 = $AU$6), 1, 0)</f>
        <v>1</v>
      </c>
      <c r="AF97" s="11">
        <f t="shared" si="296"/>
        <v>1</v>
      </c>
      <c r="AG97" s="11">
        <f t="shared" si="296"/>
        <v>1</v>
      </c>
      <c r="AH97" s="11">
        <f t="shared" si="296"/>
        <v>1</v>
      </c>
      <c r="AI97" s="11">
        <f t="shared" si="11"/>
        <v>4</v>
      </c>
      <c r="AJ97" s="11">
        <f t="shared" si="12"/>
        <v>12</v>
      </c>
      <c r="AK97" s="12">
        <f t="shared" si="13"/>
        <v>5</v>
      </c>
      <c r="AL97" s="13" t="str">
        <f t="shared" si="14"/>
        <v>excellent</v>
      </c>
      <c r="AM97" s="7"/>
      <c r="AN97" s="7"/>
    </row>
    <row r="98">
      <c r="A98" s="7" t="s">
        <v>239</v>
      </c>
      <c r="B98" s="7"/>
      <c r="C98" s="8" t="s">
        <v>240</v>
      </c>
      <c r="D98" s="7" t="s">
        <v>61</v>
      </c>
      <c r="E98" s="8" t="b">
        <f t="shared" ref="E98:K98" si="297">IF(IFERROR(SEARCH(E$1, $D98),0) &gt;= 1, TRUE,FALSE)</f>
        <v>1</v>
      </c>
      <c r="F98" s="8" t="b">
        <f t="shared" si="297"/>
        <v>1</v>
      </c>
      <c r="G98" s="8" t="b">
        <f t="shared" si="297"/>
        <v>0</v>
      </c>
      <c r="H98" s="8" t="b">
        <f t="shared" si="297"/>
        <v>0</v>
      </c>
      <c r="I98" s="8" t="b">
        <f t="shared" si="297"/>
        <v>0</v>
      </c>
      <c r="J98" s="8" t="b">
        <f t="shared" si="297"/>
        <v>1</v>
      </c>
      <c r="K98" s="8" t="b">
        <f t="shared" si="297"/>
        <v>0</v>
      </c>
      <c r="L98" s="9" t="b">
        <v>1</v>
      </c>
      <c r="M98" s="9" t="b">
        <v>1</v>
      </c>
      <c r="N98" s="9" t="b">
        <v>1</v>
      </c>
      <c r="O98" s="9" t="b">
        <v>1</v>
      </c>
      <c r="P98" s="7" t="str">
        <f t="shared" si="5"/>
        <v>AfricaMuseum</v>
      </c>
      <c r="Q98" s="10">
        <v>13.0</v>
      </c>
      <c r="R98" s="9" t="b">
        <v>0</v>
      </c>
      <c r="S98" s="9" t="b">
        <v>1</v>
      </c>
      <c r="T98" s="10">
        <v>13.0</v>
      </c>
      <c r="U98" s="11">
        <f t="shared" si="6"/>
        <v>0</v>
      </c>
      <c r="V98" s="11">
        <f t="shared" ref="V98:AB98" si="298">IF(OR(AW98 = $AO$4, AW98 = $AQ$4), 1, 0)</f>
        <v>1</v>
      </c>
      <c r="W98" s="11">
        <f t="shared" si="298"/>
        <v>1</v>
      </c>
      <c r="X98" s="11">
        <f t="shared" si="298"/>
        <v>1</v>
      </c>
      <c r="Y98" s="11">
        <f t="shared" si="298"/>
        <v>1</v>
      </c>
      <c r="Z98" s="11">
        <f t="shared" si="298"/>
        <v>1</v>
      </c>
      <c r="AA98" s="11">
        <f t="shared" si="298"/>
        <v>1</v>
      </c>
      <c r="AB98" s="11">
        <f t="shared" si="298"/>
        <v>1</v>
      </c>
      <c r="AC98" s="11">
        <f t="shared" si="8"/>
        <v>7</v>
      </c>
      <c r="AD98" s="11">
        <f t="shared" si="9"/>
        <v>1</v>
      </c>
      <c r="AE98" s="11">
        <f t="shared" ref="AE98:AH98" si="299">IF(OR(BD98 = $AO$6, BD98 = $AS$6, BD98 = $AT$6, BD98 = $AU$6), 1, 0)</f>
        <v>1</v>
      </c>
      <c r="AF98" s="11">
        <f t="shared" si="299"/>
        <v>1</v>
      </c>
      <c r="AG98" s="11">
        <f t="shared" si="299"/>
        <v>1</v>
      </c>
      <c r="AH98" s="11">
        <f t="shared" si="299"/>
        <v>1</v>
      </c>
      <c r="AI98" s="11">
        <f t="shared" si="11"/>
        <v>4</v>
      </c>
      <c r="AJ98" s="11">
        <f t="shared" si="12"/>
        <v>12</v>
      </c>
      <c r="AK98" s="12">
        <f t="shared" si="13"/>
        <v>5</v>
      </c>
      <c r="AL98" s="13" t="str">
        <f t="shared" si="14"/>
        <v>excellent</v>
      </c>
      <c r="AM98" s="7"/>
      <c r="AN98" s="7"/>
    </row>
    <row r="99">
      <c r="A99" s="7" t="s">
        <v>241</v>
      </c>
      <c r="B99" s="7" t="s">
        <v>242</v>
      </c>
      <c r="C99" s="8" t="s">
        <v>240</v>
      </c>
      <c r="D99" s="7" t="s">
        <v>4</v>
      </c>
      <c r="E99" s="8" t="b">
        <f t="shared" ref="E99:K99" si="300">IF(IFERROR(SEARCH(E$1, $D99),0) &gt;= 1, TRUE,FALSE)</f>
        <v>1</v>
      </c>
      <c r="F99" s="8" t="b">
        <f t="shared" si="300"/>
        <v>0</v>
      </c>
      <c r="G99" s="8" t="b">
        <f t="shared" si="300"/>
        <v>0</v>
      </c>
      <c r="H99" s="8" t="b">
        <f t="shared" si="300"/>
        <v>0</v>
      </c>
      <c r="I99" s="8" t="b">
        <f t="shared" si="300"/>
        <v>0</v>
      </c>
      <c r="J99" s="8" t="b">
        <f t="shared" si="300"/>
        <v>0</v>
      </c>
      <c r="K99" s="8" t="b">
        <f t="shared" si="300"/>
        <v>0</v>
      </c>
      <c r="L99" s="9" t="b">
        <v>1</v>
      </c>
      <c r="M99" s="9" t="b">
        <v>0</v>
      </c>
      <c r="N99" s="9" t="b">
        <v>1</v>
      </c>
      <c r="O99" s="9" t="b">
        <v>0</v>
      </c>
      <c r="P99" s="7" t="str">
        <f t="shared" si="5"/>
        <v>Damiaanmuseum</v>
      </c>
      <c r="Q99" s="10">
        <v>7.0</v>
      </c>
      <c r="R99" s="9" t="b">
        <v>0</v>
      </c>
      <c r="S99" s="9" t="b">
        <v>0</v>
      </c>
      <c r="T99" s="7"/>
      <c r="U99" s="11">
        <f t="shared" si="6"/>
        <v>0</v>
      </c>
      <c r="V99" s="11">
        <f t="shared" ref="V99:AB99" si="301">IF(OR(AW99 = $AO$4, AW99 = $AQ$4), 1, 0)</f>
        <v>1</v>
      </c>
      <c r="W99" s="11">
        <f t="shared" si="301"/>
        <v>1</v>
      </c>
      <c r="X99" s="11">
        <f t="shared" si="301"/>
        <v>1</v>
      </c>
      <c r="Y99" s="11">
        <f t="shared" si="301"/>
        <v>1</v>
      </c>
      <c r="Z99" s="11">
        <f t="shared" si="301"/>
        <v>1</v>
      </c>
      <c r="AA99" s="11">
        <f t="shared" si="301"/>
        <v>1</v>
      </c>
      <c r="AB99" s="11">
        <f t="shared" si="301"/>
        <v>1</v>
      </c>
      <c r="AC99" s="11">
        <f t="shared" si="8"/>
        <v>7</v>
      </c>
      <c r="AD99" s="11">
        <f t="shared" si="9"/>
        <v>1</v>
      </c>
      <c r="AE99" s="11">
        <f t="shared" ref="AE99:AH99" si="302">IF(OR(BD99 = $AO$6, BD99 = $AS$6, BD99 = $AT$6, BD99 = $AU$6), 1, 0)</f>
        <v>1</v>
      </c>
      <c r="AF99" s="11">
        <f t="shared" si="302"/>
        <v>1</v>
      </c>
      <c r="AG99" s="11">
        <f t="shared" si="302"/>
        <v>1</v>
      </c>
      <c r="AH99" s="11">
        <f t="shared" si="302"/>
        <v>1</v>
      </c>
      <c r="AI99" s="11">
        <f t="shared" si="11"/>
        <v>4</v>
      </c>
      <c r="AJ99" s="11">
        <f t="shared" si="12"/>
        <v>12</v>
      </c>
      <c r="AK99" s="12">
        <f t="shared" si="13"/>
        <v>5</v>
      </c>
      <c r="AL99" s="13" t="str">
        <f t="shared" si="14"/>
        <v>excellent</v>
      </c>
      <c r="AM99" s="7"/>
      <c r="AN99" s="7"/>
    </row>
    <row r="100">
      <c r="A100" s="7" t="s">
        <v>243</v>
      </c>
      <c r="B100" s="7" t="s">
        <v>244</v>
      </c>
      <c r="C100" s="8" t="s">
        <v>240</v>
      </c>
      <c r="D100" s="7" t="s">
        <v>102</v>
      </c>
      <c r="E100" s="8" t="b">
        <f t="shared" ref="E100:K100" si="303">IF(IFERROR(SEARCH(E$1, $D100),0) &gt;= 1, TRUE,FALSE)</f>
        <v>1</v>
      </c>
      <c r="F100" s="8" t="b">
        <f t="shared" si="303"/>
        <v>0</v>
      </c>
      <c r="G100" s="8" t="b">
        <f t="shared" si="303"/>
        <v>0</v>
      </c>
      <c r="H100" s="8" t="b">
        <f t="shared" si="303"/>
        <v>0</v>
      </c>
      <c r="I100" s="8" t="b">
        <f t="shared" si="303"/>
        <v>0</v>
      </c>
      <c r="J100" s="8" t="b">
        <f t="shared" si="303"/>
        <v>1</v>
      </c>
      <c r="K100" s="8" t="b">
        <f t="shared" si="303"/>
        <v>0</v>
      </c>
      <c r="L100" s="9" t="b">
        <v>1</v>
      </c>
      <c r="M100" s="9" t="b">
        <v>0</v>
      </c>
      <c r="N100" s="9" t="b">
        <v>0</v>
      </c>
      <c r="O100" s="9" t="b">
        <v>1</v>
      </c>
      <c r="P100" s="7" t="str">
        <f t="shared" si="5"/>
        <v>Dru!f, huis van de tafeldruif</v>
      </c>
      <c r="Q100" s="10">
        <v>0.0</v>
      </c>
      <c r="R100" s="9" t="b">
        <v>0</v>
      </c>
      <c r="S100" s="9" t="b">
        <v>1</v>
      </c>
      <c r="T100" s="10">
        <v>0.0</v>
      </c>
      <c r="U100" s="11">
        <f t="shared" si="6"/>
        <v>0</v>
      </c>
      <c r="V100" s="11">
        <f t="shared" ref="V100:AB100" si="304">IF(OR(AW100 = $AO$4, AW100 = $AQ$4), 1, 0)</f>
        <v>1</v>
      </c>
      <c r="W100" s="11">
        <f t="shared" si="304"/>
        <v>1</v>
      </c>
      <c r="X100" s="11">
        <f t="shared" si="304"/>
        <v>1</v>
      </c>
      <c r="Y100" s="11">
        <f t="shared" si="304"/>
        <v>1</v>
      </c>
      <c r="Z100" s="11">
        <f t="shared" si="304"/>
        <v>1</v>
      </c>
      <c r="AA100" s="11">
        <f t="shared" si="304"/>
        <v>1</v>
      </c>
      <c r="AB100" s="11">
        <f t="shared" si="304"/>
        <v>1</v>
      </c>
      <c r="AC100" s="11">
        <f t="shared" si="8"/>
        <v>7</v>
      </c>
      <c r="AD100" s="11">
        <f t="shared" si="9"/>
        <v>1</v>
      </c>
      <c r="AE100" s="11">
        <f t="shared" ref="AE100:AH100" si="305">IF(OR(BD100 = $AO$6, BD100 = $AS$6, BD100 = $AT$6, BD100 = $AU$6), 1, 0)</f>
        <v>1</v>
      </c>
      <c r="AF100" s="11">
        <f t="shared" si="305"/>
        <v>1</v>
      </c>
      <c r="AG100" s="11">
        <f t="shared" si="305"/>
        <v>1</v>
      </c>
      <c r="AH100" s="11">
        <f t="shared" si="305"/>
        <v>1</v>
      </c>
      <c r="AI100" s="11">
        <f t="shared" si="11"/>
        <v>4</v>
      </c>
      <c r="AJ100" s="11">
        <f t="shared" si="12"/>
        <v>12</v>
      </c>
      <c r="AK100" s="12">
        <f t="shared" si="13"/>
        <v>5</v>
      </c>
      <c r="AL100" s="13" t="str">
        <f t="shared" si="14"/>
        <v>excellent</v>
      </c>
      <c r="AM100" s="7"/>
      <c r="AN100" s="7"/>
    </row>
    <row r="101">
      <c r="A101" s="7" t="s">
        <v>245</v>
      </c>
      <c r="B101" s="7"/>
      <c r="C101" s="8" t="s">
        <v>240</v>
      </c>
      <c r="D101" s="7" t="s">
        <v>9</v>
      </c>
      <c r="E101" s="8" t="b">
        <f t="shared" ref="E101:K101" si="306">IF(IFERROR(SEARCH(E$1, $D101),0) &gt;= 1, TRUE,FALSE)</f>
        <v>0</v>
      </c>
      <c r="F101" s="8" t="b">
        <f t="shared" si="306"/>
        <v>0</v>
      </c>
      <c r="G101" s="8" t="b">
        <f t="shared" si="306"/>
        <v>0</v>
      </c>
      <c r="H101" s="8" t="b">
        <f t="shared" si="306"/>
        <v>0</v>
      </c>
      <c r="I101" s="8" t="b">
        <f t="shared" si="306"/>
        <v>0</v>
      </c>
      <c r="J101" s="8" t="b">
        <f t="shared" si="306"/>
        <v>1</v>
      </c>
      <c r="K101" s="8" t="b">
        <f t="shared" si="306"/>
        <v>0</v>
      </c>
      <c r="L101" s="9" t="b">
        <v>1</v>
      </c>
      <c r="M101" s="9" t="b">
        <v>1</v>
      </c>
      <c r="N101" s="9" t="b">
        <v>1</v>
      </c>
      <c r="O101" s="9" t="b">
        <v>0</v>
      </c>
      <c r="P101" s="7" t="str">
        <f t="shared" si="5"/>
        <v>FeliXart Museum</v>
      </c>
      <c r="Q101" s="10">
        <v>10.0</v>
      </c>
      <c r="R101" s="9" t="b">
        <v>0</v>
      </c>
      <c r="S101" s="9" t="b">
        <v>1</v>
      </c>
      <c r="T101" s="10">
        <v>10.0</v>
      </c>
      <c r="U101" s="11">
        <f t="shared" si="6"/>
        <v>0</v>
      </c>
      <c r="V101" s="11">
        <f t="shared" ref="V101:AB101" si="307">IF(OR(AW101 = $AO$4, AW101 = $AQ$4), 1, 0)</f>
        <v>1</v>
      </c>
      <c r="W101" s="11">
        <f t="shared" si="307"/>
        <v>1</v>
      </c>
      <c r="X101" s="11">
        <f t="shared" si="307"/>
        <v>1</v>
      </c>
      <c r="Y101" s="11">
        <f t="shared" si="307"/>
        <v>1</v>
      </c>
      <c r="Z101" s="11">
        <f t="shared" si="307"/>
        <v>1</v>
      </c>
      <c r="AA101" s="11">
        <f t="shared" si="307"/>
        <v>1</v>
      </c>
      <c r="AB101" s="11">
        <f t="shared" si="307"/>
        <v>1</v>
      </c>
      <c r="AC101" s="11">
        <f t="shared" si="8"/>
        <v>7</v>
      </c>
      <c r="AD101" s="11">
        <f t="shared" si="9"/>
        <v>1</v>
      </c>
      <c r="AE101" s="11">
        <f t="shared" ref="AE101:AH101" si="308">IF(OR(BD101 = $AO$6, BD101 = $AS$6, BD101 = $AT$6, BD101 = $AU$6), 1, 0)</f>
        <v>1</v>
      </c>
      <c r="AF101" s="11">
        <f t="shared" si="308"/>
        <v>1</v>
      </c>
      <c r="AG101" s="11">
        <f t="shared" si="308"/>
        <v>1</v>
      </c>
      <c r="AH101" s="11">
        <f t="shared" si="308"/>
        <v>1</v>
      </c>
      <c r="AI101" s="11">
        <f t="shared" si="11"/>
        <v>4</v>
      </c>
      <c r="AJ101" s="11">
        <f t="shared" si="12"/>
        <v>12</v>
      </c>
      <c r="AK101" s="12">
        <f t="shared" si="13"/>
        <v>5</v>
      </c>
      <c r="AL101" s="13" t="str">
        <f t="shared" si="14"/>
        <v>excellent</v>
      </c>
      <c r="AM101" s="7"/>
      <c r="AN101" s="7"/>
    </row>
    <row r="102">
      <c r="A102" s="7" t="s">
        <v>246</v>
      </c>
      <c r="B102" s="7" t="s">
        <v>247</v>
      </c>
      <c r="C102" s="8" t="s">
        <v>240</v>
      </c>
      <c r="D102" s="7" t="s">
        <v>4</v>
      </c>
      <c r="E102" s="8" t="b">
        <f t="shared" ref="E102:K102" si="309">IF(IFERROR(SEARCH(E$1, $D102),0) &gt;= 1, TRUE,FALSE)</f>
        <v>1</v>
      </c>
      <c r="F102" s="8" t="b">
        <f t="shared" si="309"/>
        <v>0</v>
      </c>
      <c r="G102" s="8" t="b">
        <f t="shared" si="309"/>
        <v>0</v>
      </c>
      <c r="H102" s="8" t="b">
        <f t="shared" si="309"/>
        <v>0</v>
      </c>
      <c r="I102" s="8" t="b">
        <f t="shared" si="309"/>
        <v>0</v>
      </c>
      <c r="J102" s="8" t="b">
        <f t="shared" si="309"/>
        <v>0</v>
      </c>
      <c r="K102" s="8" t="b">
        <f t="shared" si="309"/>
        <v>0</v>
      </c>
      <c r="L102" s="9" t="b">
        <v>0</v>
      </c>
      <c r="M102" s="9" t="b">
        <v>0</v>
      </c>
      <c r="N102" s="9" t="b">
        <v>1</v>
      </c>
      <c r="O102" s="9" t="b">
        <v>0</v>
      </c>
      <c r="P102" s="7" t="str">
        <f t="shared" si="5"/>
        <v>Huis van het Belgisch-Franse Verzet</v>
      </c>
      <c r="Q102" s="10">
        <v>12.0</v>
      </c>
      <c r="R102" s="9" t="b">
        <v>0</v>
      </c>
      <c r="S102" s="9" t="b">
        <v>0</v>
      </c>
      <c r="T102" s="7"/>
      <c r="U102" s="11">
        <f t="shared" si="6"/>
        <v>0</v>
      </c>
      <c r="V102" s="11">
        <f t="shared" ref="V102:AB102" si="310">IF(OR(AW102 = $AO$4, AW102 = $AQ$4), 1, 0)</f>
        <v>1</v>
      </c>
      <c r="W102" s="11">
        <f t="shared" si="310"/>
        <v>1</v>
      </c>
      <c r="X102" s="11">
        <f t="shared" si="310"/>
        <v>1</v>
      </c>
      <c r="Y102" s="11">
        <f t="shared" si="310"/>
        <v>1</v>
      </c>
      <c r="Z102" s="11">
        <f t="shared" si="310"/>
        <v>1</v>
      </c>
      <c r="AA102" s="11">
        <f t="shared" si="310"/>
        <v>1</v>
      </c>
      <c r="AB102" s="11">
        <f t="shared" si="310"/>
        <v>1</v>
      </c>
      <c r="AC102" s="11">
        <f t="shared" si="8"/>
        <v>7</v>
      </c>
      <c r="AD102" s="11">
        <f t="shared" si="9"/>
        <v>1</v>
      </c>
      <c r="AE102" s="11">
        <f t="shared" ref="AE102:AH102" si="311">IF(OR(BD102 = $AO$6, BD102 = $AS$6, BD102 = $AT$6, BD102 = $AU$6), 1, 0)</f>
        <v>1</v>
      </c>
      <c r="AF102" s="11">
        <f t="shared" si="311"/>
        <v>1</v>
      </c>
      <c r="AG102" s="11">
        <f t="shared" si="311"/>
        <v>1</v>
      </c>
      <c r="AH102" s="11">
        <f t="shared" si="311"/>
        <v>1</v>
      </c>
      <c r="AI102" s="11">
        <f t="shared" si="11"/>
        <v>4</v>
      </c>
      <c r="AJ102" s="11">
        <f t="shared" si="12"/>
        <v>12</v>
      </c>
      <c r="AK102" s="12">
        <f t="shared" si="13"/>
        <v>5</v>
      </c>
      <c r="AL102" s="13" t="str">
        <f t="shared" si="14"/>
        <v>excellent</v>
      </c>
      <c r="AM102" s="7"/>
      <c r="AN102" s="7"/>
    </row>
    <row r="103">
      <c r="A103" s="7" t="s">
        <v>248</v>
      </c>
      <c r="B103" s="7"/>
      <c r="C103" s="8" t="s">
        <v>240</v>
      </c>
      <c r="D103" s="7" t="s">
        <v>102</v>
      </c>
      <c r="E103" s="8" t="b">
        <f t="shared" ref="E103:K103" si="312">IF(IFERROR(SEARCH(E$1, $D103),0) &gt;= 1, TRUE,FALSE)</f>
        <v>1</v>
      </c>
      <c r="F103" s="8" t="b">
        <f t="shared" si="312"/>
        <v>0</v>
      </c>
      <c r="G103" s="8" t="b">
        <f t="shared" si="312"/>
        <v>0</v>
      </c>
      <c r="H103" s="8" t="b">
        <f t="shared" si="312"/>
        <v>0</v>
      </c>
      <c r="I103" s="8" t="b">
        <f t="shared" si="312"/>
        <v>0</v>
      </c>
      <c r="J103" s="8" t="b">
        <f t="shared" si="312"/>
        <v>1</v>
      </c>
      <c r="K103" s="8" t="b">
        <f t="shared" si="312"/>
        <v>0</v>
      </c>
      <c r="L103" s="9" t="b">
        <v>0</v>
      </c>
      <c r="M103" s="9" t="b">
        <v>0</v>
      </c>
      <c r="N103" s="9" t="b">
        <v>1</v>
      </c>
      <c r="O103" s="9" t="b">
        <v>0</v>
      </c>
      <c r="P103" s="7" t="str">
        <f t="shared" si="5"/>
        <v>KADOC-KU Leuven</v>
      </c>
      <c r="Q103" s="10">
        <v>0.0</v>
      </c>
      <c r="R103" s="9" t="b">
        <v>0</v>
      </c>
      <c r="S103" s="9" t="b">
        <v>1</v>
      </c>
      <c r="T103" s="10">
        <v>0.0</v>
      </c>
      <c r="U103" s="11">
        <f t="shared" si="6"/>
        <v>0</v>
      </c>
      <c r="V103" s="11">
        <f t="shared" ref="V103:AB103" si="313">IF(OR(AW103 = $AO$4, AW103 = $AQ$4), 1, 0)</f>
        <v>1</v>
      </c>
      <c r="W103" s="11">
        <f t="shared" si="313"/>
        <v>1</v>
      </c>
      <c r="X103" s="11">
        <f t="shared" si="313"/>
        <v>1</v>
      </c>
      <c r="Y103" s="11">
        <f t="shared" si="313"/>
        <v>1</v>
      </c>
      <c r="Z103" s="11">
        <f t="shared" si="313"/>
        <v>1</v>
      </c>
      <c r="AA103" s="11">
        <f t="shared" si="313"/>
        <v>1</v>
      </c>
      <c r="AB103" s="11">
        <f t="shared" si="313"/>
        <v>1</v>
      </c>
      <c r="AC103" s="11">
        <f t="shared" si="8"/>
        <v>7</v>
      </c>
      <c r="AD103" s="11">
        <f t="shared" si="9"/>
        <v>1</v>
      </c>
      <c r="AE103" s="11">
        <f t="shared" ref="AE103:AH103" si="314">IF(OR(BD103 = $AO$6, BD103 = $AS$6, BD103 = $AT$6, BD103 = $AU$6), 1, 0)</f>
        <v>1</v>
      </c>
      <c r="AF103" s="11">
        <f t="shared" si="314"/>
        <v>1</v>
      </c>
      <c r="AG103" s="11">
        <f t="shared" si="314"/>
        <v>1</v>
      </c>
      <c r="AH103" s="11">
        <f t="shared" si="314"/>
        <v>1</v>
      </c>
      <c r="AI103" s="11">
        <f t="shared" si="11"/>
        <v>4</v>
      </c>
      <c r="AJ103" s="11">
        <f t="shared" si="12"/>
        <v>12</v>
      </c>
      <c r="AK103" s="12">
        <f t="shared" si="13"/>
        <v>5</v>
      </c>
      <c r="AL103" s="13" t="str">
        <f t="shared" si="14"/>
        <v>excellent</v>
      </c>
      <c r="AM103" s="7"/>
      <c r="AN103" s="7"/>
    </row>
    <row r="104">
      <c r="A104" s="7" t="s">
        <v>249</v>
      </c>
      <c r="B104" s="7" t="s">
        <v>250</v>
      </c>
      <c r="C104" s="8" t="s">
        <v>240</v>
      </c>
      <c r="D104" s="7" t="s">
        <v>206</v>
      </c>
      <c r="E104" s="8" t="b">
        <f t="shared" ref="E104:K104" si="315">IF(IFERROR(SEARCH(E$1, $D104),0) &gt;= 1, TRUE,FALSE)</f>
        <v>1</v>
      </c>
      <c r="F104" s="8" t="b">
        <f t="shared" si="315"/>
        <v>0</v>
      </c>
      <c r="G104" s="8" t="b">
        <f t="shared" si="315"/>
        <v>0</v>
      </c>
      <c r="H104" s="8" t="b">
        <f t="shared" si="315"/>
        <v>0</v>
      </c>
      <c r="I104" s="8" t="b">
        <f t="shared" si="315"/>
        <v>1</v>
      </c>
      <c r="J104" s="8" t="b">
        <f t="shared" si="315"/>
        <v>1</v>
      </c>
      <c r="K104" s="8" t="b">
        <f t="shared" si="315"/>
        <v>0</v>
      </c>
      <c r="L104" s="9" t="b">
        <v>1</v>
      </c>
      <c r="M104" s="9" t="b">
        <v>1</v>
      </c>
      <c r="N104" s="9" t="b">
        <v>1</v>
      </c>
      <c r="O104" s="9" t="b">
        <v>0</v>
      </c>
      <c r="P104" s="7" t="str">
        <f t="shared" si="5"/>
        <v>Kasteel van Gaasbeek</v>
      </c>
      <c r="Q104" s="10">
        <v>12.0</v>
      </c>
      <c r="R104" s="9" t="b">
        <v>0</v>
      </c>
      <c r="S104" s="9" t="b">
        <v>1</v>
      </c>
      <c r="T104" s="10">
        <v>12.0</v>
      </c>
      <c r="U104" s="11">
        <f t="shared" si="6"/>
        <v>0</v>
      </c>
      <c r="V104" s="11">
        <f t="shared" ref="V104:AB104" si="316">IF(OR(AW104 = $AO$4, AW104 = $AQ$4), 1, 0)</f>
        <v>1</v>
      </c>
      <c r="W104" s="11">
        <f t="shared" si="316"/>
        <v>1</v>
      </c>
      <c r="X104" s="11">
        <f t="shared" si="316"/>
        <v>1</v>
      </c>
      <c r="Y104" s="11">
        <f t="shared" si="316"/>
        <v>1</v>
      </c>
      <c r="Z104" s="11">
        <f t="shared" si="316"/>
        <v>1</v>
      </c>
      <c r="AA104" s="11">
        <f t="shared" si="316"/>
        <v>1</v>
      </c>
      <c r="AB104" s="11">
        <f t="shared" si="316"/>
        <v>1</v>
      </c>
      <c r="AC104" s="11">
        <f t="shared" si="8"/>
        <v>7</v>
      </c>
      <c r="AD104" s="11">
        <f t="shared" si="9"/>
        <v>1</v>
      </c>
      <c r="AE104" s="11">
        <f t="shared" ref="AE104:AH104" si="317">IF(OR(BD104 = $AO$6, BD104 = $AS$6, BD104 = $AT$6, BD104 = $AU$6), 1, 0)</f>
        <v>1</v>
      </c>
      <c r="AF104" s="11">
        <f t="shared" si="317"/>
        <v>1</v>
      </c>
      <c r="AG104" s="11">
        <f t="shared" si="317"/>
        <v>1</v>
      </c>
      <c r="AH104" s="11">
        <f t="shared" si="317"/>
        <v>1</v>
      </c>
      <c r="AI104" s="11">
        <f t="shared" si="11"/>
        <v>4</v>
      </c>
      <c r="AJ104" s="11">
        <f t="shared" si="12"/>
        <v>12</v>
      </c>
      <c r="AK104" s="12">
        <f t="shared" si="13"/>
        <v>5</v>
      </c>
      <c r="AL104" s="13" t="str">
        <f t="shared" si="14"/>
        <v>excellent</v>
      </c>
      <c r="AM104" s="7"/>
      <c r="AN104" s="7"/>
    </row>
    <row r="105">
      <c r="A105" s="7" t="s">
        <v>251</v>
      </c>
      <c r="B105" s="7"/>
      <c r="C105" s="8" t="s">
        <v>240</v>
      </c>
      <c r="D105" s="7" t="s">
        <v>86</v>
      </c>
      <c r="E105" s="8" t="b">
        <f t="shared" ref="E105:K105" si="318">IF(IFERROR(SEARCH(E$1, $D105),0) &gt;= 1, TRUE,FALSE)</f>
        <v>1</v>
      </c>
      <c r="F105" s="8" t="b">
        <f t="shared" si="318"/>
        <v>0</v>
      </c>
      <c r="G105" s="8" t="b">
        <f t="shared" si="318"/>
        <v>0</v>
      </c>
      <c r="H105" s="8" t="b">
        <f t="shared" si="318"/>
        <v>0</v>
      </c>
      <c r="I105" s="8" t="b">
        <f t="shared" si="318"/>
        <v>0</v>
      </c>
      <c r="J105" s="8" t="b">
        <f t="shared" si="318"/>
        <v>1</v>
      </c>
      <c r="K105" s="8" t="b">
        <f t="shared" si="318"/>
        <v>1</v>
      </c>
      <c r="L105" s="9" t="b">
        <v>1</v>
      </c>
      <c r="M105" s="9" t="b">
        <v>0</v>
      </c>
      <c r="N105" s="9" t="b">
        <v>0</v>
      </c>
      <c r="O105" s="9" t="b">
        <v>0</v>
      </c>
      <c r="P105" s="7" t="str">
        <f t="shared" si="5"/>
        <v>M Leuven</v>
      </c>
      <c r="Q105" s="10">
        <v>12.0</v>
      </c>
      <c r="R105" s="9" t="b">
        <v>0</v>
      </c>
      <c r="S105" s="9" t="b">
        <v>1</v>
      </c>
      <c r="T105" s="10">
        <v>12.0</v>
      </c>
      <c r="U105" s="11">
        <f t="shared" si="6"/>
        <v>0</v>
      </c>
      <c r="V105" s="11">
        <f t="shared" ref="V105:AB105" si="319">IF(OR(AW105 = $AO$4, AW105 = $AQ$4), 1, 0)</f>
        <v>1</v>
      </c>
      <c r="W105" s="11">
        <f t="shared" si="319"/>
        <v>1</v>
      </c>
      <c r="X105" s="11">
        <f t="shared" si="319"/>
        <v>1</v>
      </c>
      <c r="Y105" s="11">
        <f t="shared" si="319"/>
        <v>1</v>
      </c>
      <c r="Z105" s="11">
        <f t="shared" si="319"/>
        <v>1</v>
      </c>
      <c r="AA105" s="11">
        <f t="shared" si="319"/>
        <v>1</v>
      </c>
      <c r="AB105" s="11">
        <f t="shared" si="319"/>
        <v>1</v>
      </c>
      <c r="AC105" s="11">
        <f t="shared" si="8"/>
        <v>7</v>
      </c>
      <c r="AD105" s="11">
        <f t="shared" si="9"/>
        <v>1</v>
      </c>
      <c r="AE105" s="11">
        <f t="shared" ref="AE105:AH105" si="320">IF(OR(BD105 = $AO$6, BD105 = $AS$6, BD105 = $AT$6, BD105 = $AU$6), 1, 0)</f>
        <v>1</v>
      </c>
      <c r="AF105" s="11">
        <f t="shared" si="320"/>
        <v>1</v>
      </c>
      <c r="AG105" s="11">
        <f t="shared" si="320"/>
        <v>1</v>
      </c>
      <c r="AH105" s="11">
        <f t="shared" si="320"/>
        <v>1</v>
      </c>
      <c r="AI105" s="11">
        <f t="shared" si="11"/>
        <v>4</v>
      </c>
      <c r="AJ105" s="11">
        <f t="shared" si="12"/>
        <v>12</v>
      </c>
      <c r="AK105" s="12">
        <f t="shared" si="13"/>
        <v>5</v>
      </c>
      <c r="AL105" s="13" t="str">
        <f t="shared" si="14"/>
        <v>excellent</v>
      </c>
      <c r="AM105" s="7"/>
      <c r="AN105" s="7"/>
    </row>
    <row r="106">
      <c r="A106" s="7" t="s">
        <v>252</v>
      </c>
      <c r="B106" s="7" t="s">
        <v>253</v>
      </c>
      <c r="C106" s="8" t="s">
        <v>240</v>
      </c>
      <c r="D106" s="7" t="s">
        <v>4</v>
      </c>
      <c r="E106" s="8" t="b">
        <f t="shared" ref="E106:K106" si="321">IF(IFERROR(SEARCH(E$1, $D106),0) &gt;= 1, TRUE,FALSE)</f>
        <v>1</v>
      </c>
      <c r="F106" s="8" t="b">
        <f t="shared" si="321"/>
        <v>0</v>
      </c>
      <c r="G106" s="8" t="b">
        <f t="shared" si="321"/>
        <v>0</v>
      </c>
      <c r="H106" s="8" t="b">
        <f t="shared" si="321"/>
        <v>0</v>
      </c>
      <c r="I106" s="8" t="b">
        <f t="shared" si="321"/>
        <v>0</v>
      </c>
      <c r="J106" s="8" t="b">
        <f t="shared" si="321"/>
        <v>0</v>
      </c>
      <c r="K106" s="8" t="b">
        <f t="shared" si="321"/>
        <v>0</v>
      </c>
      <c r="L106" s="9" t="b">
        <v>1</v>
      </c>
      <c r="M106" s="9" t="b">
        <v>0</v>
      </c>
      <c r="N106" s="9" t="b">
        <v>1</v>
      </c>
      <c r="O106" s="9" t="b">
        <v>0</v>
      </c>
      <c r="P106" s="7" t="str">
        <f t="shared" si="5"/>
        <v>Museum 44</v>
      </c>
      <c r="Q106" s="10">
        <v>8.5</v>
      </c>
      <c r="R106" s="9" t="b">
        <v>0</v>
      </c>
      <c r="S106" s="9" t="b">
        <v>0</v>
      </c>
      <c r="T106" s="7"/>
      <c r="U106" s="11">
        <f t="shared" si="6"/>
        <v>0</v>
      </c>
      <c r="V106" s="11">
        <f t="shared" ref="V106:AB106" si="322">IF(OR(AW106 = $AO$4, AW106 = $AQ$4), 1, 0)</f>
        <v>1</v>
      </c>
      <c r="W106" s="11">
        <f t="shared" si="322"/>
        <v>1</v>
      </c>
      <c r="X106" s="11">
        <f t="shared" si="322"/>
        <v>1</v>
      </c>
      <c r="Y106" s="11">
        <f t="shared" si="322"/>
        <v>1</v>
      </c>
      <c r="Z106" s="11">
        <f t="shared" si="322"/>
        <v>1</v>
      </c>
      <c r="AA106" s="11">
        <f t="shared" si="322"/>
        <v>1</v>
      </c>
      <c r="AB106" s="11">
        <f t="shared" si="322"/>
        <v>1</v>
      </c>
      <c r="AC106" s="11">
        <f t="shared" si="8"/>
        <v>7</v>
      </c>
      <c r="AD106" s="11">
        <f t="shared" si="9"/>
        <v>1</v>
      </c>
      <c r="AE106" s="11">
        <f t="shared" ref="AE106:AH106" si="323">IF(OR(BD106 = $AO$6, BD106 = $AS$6, BD106 = $AT$6, BD106 = $AU$6), 1, 0)</f>
        <v>1</v>
      </c>
      <c r="AF106" s="11">
        <f t="shared" si="323"/>
        <v>1</v>
      </c>
      <c r="AG106" s="11">
        <f t="shared" si="323"/>
        <v>1</v>
      </c>
      <c r="AH106" s="11">
        <f t="shared" si="323"/>
        <v>1</v>
      </c>
      <c r="AI106" s="11">
        <f t="shared" si="11"/>
        <v>4</v>
      </c>
      <c r="AJ106" s="11">
        <f t="shared" si="12"/>
        <v>12</v>
      </c>
      <c r="AK106" s="12">
        <f t="shared" si="13"/>
        <v>5</v>
      </c>
      <c r="AL106" s="13" t="str">
        <f t="shared" si="14"/>
        <v>excellent</v>
      </c>
      <c r="AM106" s="7"/>
      <c r="AN106" s="7"/>
    </row>
    <row r="107">
      <c r="A107" s="7" t="s">
        <v>254</v>
      </c>
      <c r="B107" s="7" t="s">
        <v>255</v>
      </c>
      <c r="C107" s="8" t="s">
        <v>240</v>
      </c>
      <c r="D107" s="7" t="s">
        <v>102</v>
      </c>
      <c r="E107" s="8" t="b">
        <f t="shared" ref="E107:K107" si="324">IF(IFERROR(SEARCH(E$1, $D107),0) &gt;= 1, TRUE,FALSE)</f>
        <v>1</v>
      </c>
      <c r="F107" s="8" t="b">
        <f t="shared" si="324"/>
        <v>0</v>
      </c>
      <c r="G107" s="8" t="b">
        <f t="shared" si="324"/>
        <v>0</v>
      </c>
      <c r="H107" s="8" t="b">
        <f t="shared" si="324"/>
        <v>0</v>
      </c>
      <c r="I107" s="8" t="b">
        <f t="shared" si="324"/>
        <v>0</v>
      </c>
      <c r="J107" s="8" t="b">
        <f t="shared" si="324"/>
        <v>1</v>
      </c>
      <c r="K107" s="8" t="b">
        <f t="shared" si="324"/>
        <v>0</v>
      </c>
      <c r="L107" s="9" t="b">
        <v>0</v>
      </c>
      <c r="M107" s="9" t="b">
        <v>0</v>
      </c>
      <c r="N107" s="9" t="b">
        <v>0</v>
      </c>
      <c r="O107" s="9" t="b">
        <v>0</v>
      </c>
      <c r="P107" s="7" t="str">
        <f t="shared" si="5"/>
        <v>Museum den AST</v>
      </c>
      <c r="Q107" s="10">
        <v>5.0</v>
      </c>
      <c r="R107" s="9" t="b">
        <v>0</v>
      </c>
      <c r="S107" s="9" t="b">
        <v>1</v>
      </c>
      <c r="T107" s="10">
        <v>5.0</v>
      </c>
      <c r="U107" s="11">
        <f t="shared" si="6"/>
        <v>0</v>
      </c>
      <c r="V107" s="11">
        <f t="shared" ref="V107:AB107" si="325">IF(OR(AW107 = $AO$4, AW107 = $AQ$4), 1, 0)</f>
        <v>1</v>
      </c>
      <c r="W107" s="11">
        <f t="shared" si="325"/>
        <v>1</v>
      </c>
      <c r="X107" s="11">
        <f t="shared" si="325"/>
        <v>1</v>
      </c>
      <c r="Y107" s="11">
        <f t="shared" si="325"/>
        <v>1</v>
      </c>
      <c r="Z107" s="11">
        <f t="shared" si="325"/>
        <v>1</v>
      </c>
      <c r="AA107" s="11">
        <f t="shared" si="325"/>
        <v>1</v>
      </c>
      <c r="AB107" s="11">
        <f t="shared" si="325"/>
        <v>1</v>
      </c>
      <c r="AC107" s="11">
        <f t="shared" si="8"/>
        <v>7</v>
      </c>
      <c r="AD107" s="11">
        <f t="shared" si="9"/>
        <v>1</v>
      </c>
      <c r="AE107" s="11">
        <f t="shared" ref="AE107:AH107" si="326">IF(OR(BD107 = $AO$6, BD107 = $AS$6, BD107 = $AT$6, BD107 = $AU$6), 1, 0)</f>
        <v>1</v>
      </c>
      <c r="AF107" s="11">
        <f t="shared" si="326"/>
        <v>1</v>
      </c>
      <c r="AG107" s="11">
        <f t="shared" si="326"/>
        <v>1</v>
      </c>
      <c r="AH107" s="11">
        <f t="shared" si="326"/>
        <v>1</v>
      </c>
      <c r="AI107" s="11">
        <f t="shared" si="11"/>
        <v>4</v>
      </c>
      <c r="AJ107" s="11">
        <f t="shared" si="12"/>
        <v>12</v>
      </c>
      <c r="AK107" s="12">
        <f t="shared" si="13"/>
        <v>5</v>
      </c>
      <c r="AL107" s="13" t="str">
        <f t="shared" si="14"/>
        <v>excellent</v>
      </c>
      <c r="AM107" s="7"/>
      <c r="AN107" s="7"/>
    </row>
    <row r="108">
      <c r="A108" s="7" t="s">
        <v>256</v>
      </c>
      <c r="B108" s="7" t="s">
        <v>257</v>
      </c>
      <c r="C108" s="8" t="s">
        <v>240</v>
      </c>
      <c r="D108" s="7" t="s">
        <v>258</v>
      </c>
      <c r="E108" s="8" t="b">
        <f t="shared" ref="E108:K108" si="327">IF(IFERROR(SEARCH(E$1, $D108),0) &gt;= 1, TRUE,FALSE)</f>
        <v>1</v>
      </c>
      <c r="F108" s="8" t="b">
        <f t="shared" si="327"/>
        <v>0</v>
      </c>
      <c r="G108" s="8" t="b">
        <f t="shared" si="327"/>
        <v>0</v>
      </c>
      <c r="H108" s="8" t="b">
        <f t="shared" si="327"/>
        <v>1</v>
      </c>
      <c r="I108" s="8" t="b">
        <f t="shared" si="327"/>
        <v>1</v>
      </c>
      <c r="J108" s="8" t="b">
        <f t="shared" si="327"/>
        <v>1</v>
      </c>
      <c r="K108" s="8" t="b">
        <f t="shared" si="327"/>
        <v>1</v>
      </c>
      <c r="L108" s="9" t="b">
        <v>1</v>
      </c>
      <c r="M108" s="9" t="b">
        <v>1</v>
      </c>
      <c r="N108" s="9" t="b">
        <v>1</v>
      </c>
      <c r="O108" s="9" t="b">
        <v>1</v>
      </c>
      <c r="P108" s="7" t="str">
        <f t="shared" si="5"/>
        <v>Museum PARCUM, Abdij van Park Leuven</v>
      </c>
      <c r="Q108" s="10">
        <v>12.0</v>
      </c>
      <c r="R108" s="9" t="b">
        <v>0</v>
      </c>
      <c r="S108" s="9" t="b">
        <v>1</v>
      </c>
      <c r="T108" s="10">
        <v>12.0</v>
      </c>
      <c r="U108" s="11">
        <f t="shared" si="6"/>
        <v>0</v>
      </c>
      <c r="V108" s="11">
        <f t="shared" ref="V108:AB108" si="328">IF(OR(AW108 = $AO$4, AW108 = $AQ$4), 1, 0)</f>
        <v>1</v>
      </c>
      <c r="W108" s="11">
        <f t="shared" si="328"/>
        <v>1</v>
      </c>
      <c r="X108" s="11">
        <f t="shared" si="328"/>
        <v>1</v>
      </c>
      <c r="Y108" s="11">
        <f t="shared" si="328"/>
        <v>1</v>
      </c>
      <c r="Z108" s="11">
        <f t="shared" si="328"/>
        <v>1</v>
      </c>
      <c r="AA108" s="11">
        <f t="shared" si="328"/>
        <v>1</v>
      </c>
      <c r="AB108" s="11">
        <f t="shared" si="328"/>
        <v>1</v>
      </c>
      <c r="AC108" s="11">
        <f t="shared" si="8"/>
        <v>7</v>
      </c>
      <c r="AD108" s="11">
        <f t="shared" si="9"/>
        <v>1</v>
      </c>
      <c r="AE108" s="11">
        <f t="shared" ref="AE108:AH108" si="329">IF(OR(BD108 = $AO$6, BD108 = $AS$6, BD108 = $AT$6, BD108 = $AU$6), 1, 0)</f>
        <v>1</v>
      </c>
      <c r="AF108" s="11">
        <f t="shared" si="329"/>
        <v>1</v>
      </c>
      <c r="AG108" s="11">
        <f t="shared" si="329"/>
        <v>1</v>
      </c>
      <c r="AH108" s="11">
        <f t="shared" si="329"/>
        <v>1</v>
      </c>
      <c r="AI108" s="11">
        <f t="shared" si="11"/>
        <v>4</v>
      </c>
      <c r="AJ108" s="11">
        <f t="shared" si="12"/>
        <v>12</v>
      </c>
      <c r="AK108" s="12">
        <f t="shared" si="13"/>
        <v>5</v>
      </c>
      <c r="AL108" s="13" t="str">
        <f t="shared" si="14"/>
        <v>excellent</v>
      </c>
      <c r="AM108" s="7"/>
      <c r="AN108" s="7"/>
    </row>
    <row r="109">
      <c r="A109" s="7" t="s">
        <v>259</v>
      </c>
      <c r="B109" s="7" t="s">
        <v>260</v>
      </c>
      <c r="C109" s="8" t="s">
        <v>240</v>
      </c>
      <c r="D109" s="7" t="s">
        <v>5</v>
      </c>
      <c r="E109" s="8" t="b">
        <f t="shared" ref="E109:K109" si="330">IF(IFERROR(SEARCH(E$1, $D109),0) &gt;= 1, TRUE,FALSE)</f>
        <v>0</v>
      </c>
      <c r="F109" s="8" t="b">
        <f t="shared" si="330"/>
        <v>1</v>
      </c>
      <c r="G109" s="8" t="b">
        <f t="shared" si="330"/>
        <v>0</v>
      </c>
      <c r="H109" s="8" t="b">
        <f t="shared" si="330"/>
        <v>0</v>
      </c>
      <c r="I109" s="8" t="b">
        <f t="shared" si="330"/>
        <v>0</v>
      </c>
      <c r="J109" s="8" t="b">
        <f t="shared" si="330"/>
        <v>0</v>
      </c>
      <c r="K109" s="8" t="b">
        <f t="shared" si="330"/>
        <v>0</v>
      </c>
      <c r="L109" s="9" t="b">
        <v>1</v>
      </c>
      <c r="M109" s="9" t="b">
        <v>0</v>
      </c>
      <c r="N109" s="9" t="b">
        <v>1</v>
      </c>
      <c r="O109" s="9" t="b">
        <v>1</v>
      </c>
      <c r="P109" s="7" t="str">
        <f t="shared" si="5"/>
        <v>Plantentuin Meise</v>
      </c>
      <c r="Q109" s="10">
        <v>15.0</v>
      </c>
      <c r="R109" s="9" t="b">
        <v>0</v>
      </c>
      <c r="S109" s="9" t="b">
        <v>0</v>
      </c>
      <c r="T109" s="7"/>
      <c r="U109" s="11">
        <f t="shared" si="6"/>
        <v>0</v>
      </c>
      <c r="V109" s="11">
        <f t="shared" ref="V109:AB109" si="331">IF(OR(AW109 = $AO$4, AW109 = $AQ$4), 1, 0)</f>
        <v>1</v>
      </c>
      <c r="W109" s="11">
        <f t="shared" si="331"/>
        <v>1</v>
      </c>
      <c r="X109" s="11">
        <f t="shared" si="331"/>
        <v>1</v>
      </c>
      <c r="Y109" s="11">
        <f t="shared" si="331"/>
        <v>1</v>
      </c>
      <c r="Z109" s="11">
        <f t="shared" si="331"/>
        <v>1</v>
      </c>
      <c r="AA109" s="11">
        <f t="shared" si="331"/>
        <v>1</v>
      </c>
      <c r="AB109" s="11">
        <f t="shared" si="331"/>
        <v>1</v>
      </c>
      <c r="AC109" s="11">
        <f t="shared" si="8"/>
        <v>7</v>
      </c>
      <c r="AD109" s="11">
        <f t="shared" si="9"/>
        <v>1</v>
      </c>
      <c r="AE109" s="11">
        <f t="shared" ref="AE109:AH109" si="332">IF(OR(BD109 = $AO$6, BD109 = $AS$6, BD109 = $AT$6, BD109 = $AU$6), 1, 0)</f>
        <v>1</v>
      </c>
      <c r="AF109" s="11">
        <f t="shared" si="332"/>
        <v>1</v>
      </c>
      <c r="AG109" s="11">
        <f t="shared" si="332"/>
        <v>1</v>
      </c>
      <c r="AH109" s="11">
        <f t="shared" si="332"/>
        <v>1</v>
      </c>
      <c r="AI109" s="11">
        <f t="shared" si="11"/>
        <v>4</v>
      </c>
      <c r="AJ109" s="11">
        <f t="shared" si="12"/>
        <v>12</v>
      </c>
      <c r="AK109" s="12">
        <f t="shared" si="13"/>
        <v>5</v>
      </c>
      <c r="AL109" s="13" t="str">
        <f t="shared" si="14"/>
        <v>excellent</v>
      </c>
      <c r="AM109" s="7"/>
      <c r="AN109" s="7"/>
    </row>
    <row r="110">
      <c r="A110" s="7" t="s">
        <v>261</v>
      </c>
      <c r="B110" s="7" t="s">
        <v>262</v>
      </c>
      <c r="C110" s="8" t="s">
        <v>240</v>
      </c>
      <c r="D110" s="7" t="s">
        <v>263</v>
      </c>
      <c r="E110" s="8" t="b">
        <f t="shared" ref="E110:K110" si="333">IF(IFERROR(SEARCH(E$1, $D110),0) &gt;= 1, TRUE,FALSE)</f>
        <v>0</v>
      </c>
      <c r="F110" s="8" t="b">
        <f t="shared" si="333"/>
        <v>0</v>
      </c>
      <c r="G110" s="8" t="b">
        <f t="shared" si="333"/>
        <v>0</v>
      </c>
      <c r="H110" s="8" t="b">
        <f t="shared" si="333"/>
        <v>0</v>
      </c>
      <c r="I110" s="8" t="b">
        <f t="shared" si="333"/>
        <v>0</v>
      </c>
      <c r="J110" s="8" t="b">
        <f t="shared" si="333"/>
        <v>0</v>
      </c>
      <c r="K110" s="8" t="b">
        <f t="shared" si="333"/>
        <v>0</v>
      </c>
      <c r="L110" s="9" t="b">
        <v>0</v>
      </c>
      <c r="M110" s="9" t="b">
        <v>0</v>
      </c>
      <c r="N110" s="9" t="b">
        <v>0</v>
      </c>
      <c r="O110" s="9" t="b">
        <v>0</v>
      </c>
      <c r="P110" s="7" t="str">
        <f t="shared" si="5"/>
        <v>Universiteitsbibliotheek KU Leuven</v>
      </c>
      <c r="Q110" s="10">
        <v>0.0</v>
      </c>
      <c r="R110" s="9" t="b">
        <v>0</v>
      </c>
      <c r="S110" s="9" t="b">
        <v>0</v>
      </c>
      <c r="T110" s="7"/>
      <c r="U110" s="11">
        <f t="shared" si="6"/>
        <v>0</v>
      </c>
      <c r="V110" s="11">
        <f t="shared" ref="V110:AB110" si="334">IF(OR(AW110 = $AO$4, AW110 = $AQ$4), 1, 0)</f>
        <v>1</v>
      </c>
      <c r="W110" s="11">
        <f t="shared" si="334"/>
        <v>1</v>
      </c>
      <c r="X110" s="11">
        <f t="shared" si="334"/>
        <v>1</v>
      </c>
      <c r="Y110" s="11">
        <f t="shared" si="334"/>
        <v>1</v>
      </c>
      <c r="Z110" s="11">
        <f t="shared" si="334"/>
        <v>1</v>
      </c>
      <c r="AA110" s="11">
        <f t="shared" si="334"/>
        <v>1</v>
      </c>
      <c r="AB110" s="11">
        <f t="shared" si="334"/>
        <v>1</v>
      </c>
      <c r="AC110" s="11">
        <f t="shared" si="8"/>
        <v>7</v>
      </c>
      <c r="AD110" s="11">
        <f t="shared" si="9"/>
        <v>1</v>
      </c>
      <c r="AE110" s="11">
        <f t="shared" ref="AE110:AH110" si="335">IF(OR(BD110 = $AO$6, BD110 = $AS$6, BD110 = $AT$6, BD110 = $AU$6), 1, 0)</f>
        <v>1</v>
      </c>
      <c r="AF110" s="11">
        <f t="shared" si="335"/>
        <v>1</v>
      </c>
      <c r="AG110" s="11">
        <f t="shared" si="335"/>
        <v>1</v>
      </c>
      <c r="AH110" s="11">
        <f t="shared" si="335"/>
        <v>1</v>
      </c>
      <c r="AI110" s="11">
        <f t="shared" si="11"/>
        <v>4</v>
      </c>
      <c r="AJ110" s="11">
        <f t="shared" si="12"/>
        <v>12</v>
      </c>
      <c r="AK110" s="12">
        <f t="shared" si="13"/>
        <v>5</v>
      </c>
      <c r="AL110" s="13" t="str">
        <f t="shared" si="14"/>
        <v>excellent</v>
      </c>
      <c r="AM110" s="7"/>
      <c r="AN110" s="7"/>
    </row>
    <row r="111">
      <c r="A111" s="7" t="s">
        <v>264</v>
      </c>
      <c r="B111" s="7" t="s">
        <v>265</v>
      </c>
      <c r="C111" s="8" t="s">
        <v>266</v>
      </c>
      <c r="D111" s="7" t="s">
        <v>5</v>
      </c>
      <c r="E111" s="8" t="b">
        <f t="shared" ref="E111:K111" si="336">IF(IFERROR(SEARCH(E$1, $D111),0) &gt;= 1, TRUE,FALSE)</f>
        <v>0</v>
      </c>
      <c r="F111" s="8" t="b">
        <f t="shared" si="336"/>
        <v>1</v>
      </c>
      <c r="G111" s="8" t="b">
        <f t="shared" si="336"/>
        <v>0</v>
      </c>
      <c r="H111" s="8" t="b">
        <f t="shared" si="336"/>
        <v>0</v>
      </c>
      <c r="I111" s="8" t="b">
        <f t="shared" si="336"/>
        <v>0</v>
      </c>
      <c r="J111" s="8" t="b">
        <f t="shared" si="336"/>
        <v>0</v>
      </c>
      <c r="K111" s="8" t="b">
        <f t="shared" si="336"/>
        <v>0</v>
      </c>
      <c r="L111" s="9" t="b">
        <v>0</v>
      </c>
      <c r="M111" s="9" t="b">
        <v>0</v>
      </c>
      <c r="N111" s="9" t="b">
        <v>0</v>
      </c>
      <c r="O111" s="9" t="b">
        <v>0</v>
      </c>
      <c r="P111" s="7" t="str">
        <f t="shared" si="5"/>
        <v>Apotheekmuseum</v>
      </c>
      <c r="Q111" s="10">
        <v>6.0</v>
      </c>
      <c r="R111" s="9" t="b">
        <v>0</v>
      </c>
      <c r="S111" s="9" t="b">
        <v>0</v>
      </c>
      <c r="T111" s="7"/>
      <c r="U111" s="11">
        <f t="shared" si="6"/>
        <v>0</v>
      </c>
      <c r="V111" s="11">
        <f t="shared" ref="V111:AB111" si="337">IF(OR(AW111 = $AO$4, AW111 = $AQ$4), 1, 0)</f>
        <v>1</v>
      </c>
      <c r="W111" s="11">
        <f t="shared" si="337"/>
        <v>1</v>
      </c>
      <c r="X111" s="11">
        <f t="shared" si="337"/>
        <v>1</v>
      </c>
      <c r="Y111" s="11">
        <f t="shared" si="337"/>
        <v>1</v>
      </c>
      <c r="Z111" s="11">
        <f t="shared" si="337"/>
        <v>1</v>
      </c>
      <c r="AA111" s="11">
        <f t="shared" si="337"/>
        <v>1</v>
      </c>
      <c r="AB111" s="11">
        <f t="shared" si="337"/>
        <v>1</v>
      </c>
      <c r="AC111" s="11">
        <f t="shared" si="8"/>
        <v>7</v>
      </c>
      <c r="AD111" s="11">
        <f t="shared" si="9"/>
        <v>1</v>
      </c>
      <c r="AE111" s="11">
        <f t="shared" ref="AE111:AH111" si="338">IF(OR(BD111 = $AO$6, BD111 = $AS$6, BD111 = $AT$6, BD111 = $AU$6), 1, 0)</f>
        <v>1</v>
      </c>
      <c r="AF111" s="11">
        <f t="shared" si="338"/>
        <v>1</v>
      </c>
      <c r="AG111" s="11">
        <f t="shared" si="338"/>
        <v>1</v>
      </c>
      <c r="AH111" s="11">
        <f t="shared" si="338"/>
        <v>1</v>
      </c>
      <c r="AI111" s="11">
        <f t="shared" si="11"/>
        <v>4</v>
      </c>
      <c r="AJ111" s="11">
        <f t="shared" si="12"/>
        <v>12</v>
      </c>
      <c r="AK111" s="12">
        <f t="shared" si="13"/>
        <v>5</v>
      </c>
      <c r="AL111" s="13" t="str">
        <f t="shared" si="14"/>
        <v>excellent</v>
      </c>
      <c r="AM111" s="7"/>
      <c r="AN111" s="7"/>
    </row>
    <row r="112">
      <c r="A112" s="7" t="s">
        <v>267</v>
      </c>
      <c r="B112" s="7"/>
      <c r="C112" s="8" t="s">
        <v>266</v>
      </c>
      <c r="D112" s="7" t="s">
        <v>206</v>
      </c>
      <c r="E112" s="8" t="b">
        <f t="shared" ref="E112:K112" si="339">IF(IFERROR(SEARCH(E$1, $D112),0) &gt;= 1, TRUE,FALSE)</f>
        <v>1</v>
      </c>
      <c r="F112" s="8" t="b">
        <f t="shared" si="339"/>
        <v>0</v>
      </c>
      <c r="G112" s="8" t="b">
        <f t="shared" si="339"/>
        <v>0</v>
      </c>
      <c r="H112" s="8" t="b">
        <f t="shared" si="339"/>
        <v>0</v>
      </c>
      <c r="I112" s="8" t="b">
        <f t="shared" si="339"/>
        <v>1</v>
      </c>
      <c r="J112" s="8" t="b">
        <f t="shared" si="339"/>
        <v>1</v>
      </c>
      <c r="K112" s="8" t="b">
        <f t="shared" si="339"/>
        <v>0</v>
      </c>
      <c r="L112" s="9" t="b">
        <v>1</v>
      </c>
      <c r="M112" s="9" t="b">
        <v>1</v>
      </c>
      <c r="N112" s="9" t="b">
        <v>1</v>
      </c>
      <c r="O112" s="9" t="b">
        <v>1</v>
      </c>
      <c r="P112" s="7" t="str">
        <f t="shared" si="5"/>
        <v>C-mine</v>
      </c>
      <c r="Q112" s="10">
        <v>14.0</v>
      </c>
      <c r="R112" s="9" t="b">
        <v>0</v>
      </c>
      <c r="S112" s="9" t="b">
        <v>1</v>
      </c>
      <c r="T112" s="10">
        <v>14.0</v>
      </c>
      <c r="U112" s="11">
        <f t="shared" si="6"/>
        <v>0</v>
      </c>
      <c r="V112" s="11">
        <f t="shared" ref="V112:AB112" si="340">IF(OR(AW112 = $AO$4, AW112 = $AQ$4), 1, 0)</f>
        <v>1</v>
      </c>
      <c r="W112" s="11">
        <f t="shared" si="340"/>
        <v>1</v>
      </c>
      <c r="X112" s="11">
        <f t="shared" si="340"/>
        <v>1</v>
      </c>
      <c r="Y112" s="11">
        <f t="shared" si="340"/>
        <v>1</v>
      </c>
      <c r="Z112" s="11">
        <f t="shared" si="340"/>
        <v>1</v>
      </c>
      <c r="AA112" s="11">
        <f t="shared" si="340"/>
        <v>1</v>
      </c>
      <c r="AB112" s="11">
        <f t="shared" si="340"/>
        <v>1</v>
      </c>
      <c r="AC112" s="11">
        <f t="shared" si="8"/>
        <v>7</v>
      </c>
      <c r="AD112" s="11">
        <f t="shared" si="9"/>
        <v>1</v>
      </c>
      <c r="AE112" s="11">
        <f t="shared" ref="AE112:AH112" si="341">IF(OR(BD112 = $AO$6, BD112 = $AS$6, BD112 = $AT$6, BD112 = $AU$6), 1, 0)</f>
        <v>1</v>
      </c>
      <c r="AF112" s="11">
        <f t="shared" si="341"/>
        <v>1</v>
      </c>
      <c r="AG112" s="11">
        <f t="shared" si="341"/>
        <v>1</v>
      </c>
      <c r="AH112" s="11">
        <f t="shared" si="341"/>
        <v>1</v>
      </c>
      <c r="AI112" s="11">
        <f t="shared" si="11"/>
        <v>4</v>
      </c>
      <c r="AJ112" s="11">
        <f t="shared" si="12"/>
        <v>12</v>
      </c>
      <c r="AK112" s="12">
        <f t="shared" si="13"/>
        <v>5</v>
      </c>
      <c r="AL112" s="13" t="str">
        <f t="shared" si="14"/>
        <v>excellent</v>
      </c>
      <c r="AM112" s="7"/>
      <c r="AN112" s="7"/>
    </row>
    <row r="113">
      <c r="A113" s="7" t="s">
        <v>268</v>
      </c>
      <c r="B113" s="7" t="s">
        <v>269</v>
      </c>
      <c r="C113" s="8" t="s">
        <v>266</v>
      </c>
      <c r="D113" s="7" t="s">
        <v>270</v>
      </c>
      <c r="E113" s="8" t="b">
        <f t="shared" ref="E113:K113" si="342">IF(IFERROR(SEARCH(E$1, $D113),0) &gt;= 1, TRUE,FALSE)</f>
        <v>1</v>
      </c>
      <c r="F113" s="8" t="b">
        <f t="shared" si="342"/>
        <v>0</v>
      </c>
      <c r="G113" s="8" t="b">
        <f t="shared" si="342"/>
        <v>0</v>
      </c>
      <c r="H113" s="8" t="b">
        <f t="shared" si="342"/>
        <v>1</v>
      </c>
      <c r="I113" s="8" t="b">
        <f t="shared" si="342"/>
        <v>0</v>
      </c>
      <c r="J113" s="8" t="b">
        <f t="shared" si="342"/>
        <v>1</v>
      </c>
      <c r="K113" s="8" t="b">
        <f t="shared" si="342"/>
        <v>1</v>
      </c>
      <c r="L113" s="9" t="b">
        <v>1</v>
      </c>
      <c r="M113" s="9" t="b">
        <v>0</v>
      </c>
      <c r="N113" s="9" t="b">
        <v>0</v>
      </c>
      <c r="O113" s="9" t="b">
        <v>0</v>
      </c>
      <c r="P113" s="7" t="str">
        <f t="shared" si="5"/>
        <v>DE MINDERE</v>
      </c>
      <c r="Q113" s="10">
        <v>0.0</v>
      </c>
      <c r="R113" s="9" t="b">
        <v>0</v>
      </c>
      <c r="S113" s="9" t="b">
        <v>1</v>
      </c>
      <c r="T113" s="10">
        <v>0.0</v>
      </c>
      <c r="U113" s="11">
        <f t="shared" si="6"/>
        <v>0</v>
      </c>
      <c r="V113" s="11">
        <f t="shared" ref="V113:AB113" si="343">IF(OR(AW113 = $AO$4, AW113 = $AQ$4), 1, 0)</f>
        <v>1</v>
      </c>
      <c r="W113" s="11">
        <f t="shared" si="343"/>
        <v>1</v>
      </c>
      <c r="X113" s="11">
        <f t="shared" si="343"/>
        <v>1</v>
      </c>
      <c r="Y113" s="11">
        <f t="shared" si="343"/>
        <v>1</v>
      </c>
      <c r="Z113" s="11">
        <f t="shared" si="343"/>
        <v>1</v>
      </c>
      <c r="AA113" s="11">
        <f t="shared" si="343"/>
        <v>1</v>
      </c>
      <c r="AB113" s="11">
        <f t="shared" si="343"/>
        <v>1</v>
      </c>
      <c r="AC113" s="11">
        <f t="shared" si="8"/>
        <v>7</v>
      </c>
      <c r="AD113" s="11">
        <f t="shared" si="9"/>
        <v>1</v>
      </c>
      <c r="AE113" s="11">
        <f t="shared" ref="AE113:AH113" si="344">IF(OR(BD113 = $AO$6, BD113 = $AS$6, BD113 = $AT$6, BD113 = $AU$6), 1, 0)</f>
        <v>1</v>
      </c>
      <c r="AF113" s="11">
        <f t="shared" si="344"/>
        <v>1</v>
      </c>
      <c r="AG113" s="11">
        <f t="shared" si="344"/>
        <v>1</v>
      </c>
      <c r="AH113" s="11">
        <f t="shared" si="344"/>
        <v>1</v>
      </c>
      <c r="AI113" s="11">
        <f t="shared" si="11"/>
        <v>4</v>
      </c>
      <c r="AJ113" s="11">
        <f t="shared" si="12"/>
        <v>12</v>
      </c>
      <c r="AK113" s="12">
        <f t="shared" si="13"/>
        <v>5</v>
      </c>
      <c r="AL113" s="13" t="str">
        <f t="shared" si="14"/>
        <v>excellent</v>
      </c>
      <c r="AM113" s="7"/>
      <c r="AN113" s="7"/>
    </row>
    <row r="114">
      <c r="A114" s="7" t="s">
        <v>271</v>
      </c>
      <c r="B114" s="7"/>
      <c r="C114" s="8" t="s">
        <v>266</v>
      </c>
      <c r="D114" s="7" t="s">
        <v>206</v>
      </c>
      <c r="E114" s="8" t="b">
        <f t="shared" ref="E114:K114" si="345">IF(IFERROR(SEARCH(E$1, $D114),0) &gt;= 1, TRUE,FALSE)</f>
        <v>1</v>
      </c>
      <c r="F114" s="8" t="b">
        <f t="shared" si="345"/>
        <v>0</v>
      </c>
      <c r="G114" s="8" t="b">
        <f t="shared" si="345"/>
        <v>0</v>
      </c>
      <c r="H114" s="8" t="b">
        <f t="shared" si="345"/>
        <v>0</v>
      </c>
      <c r="I114" s="8" t="b">
        <f t="shared" si="345"/>
        <v>1</v>
      </c>
      <c r="J114" s="8" t="b">
        <f t="shared" si="345"/>
        <v>1</v>
      </c>
      <c r="K114" s="8" t="b">
        <f t="shared" si="345"/>
        <v>0</v>
      </c>
      <c r="L114" s="9" t="b">
        <v>1</v>
      </c>
      <c r="M114" s="9" t="b">
        <v>1</v>
      </c>
      <c r="N114" s="9" t="b">
        <v>0</v>
      </c>
      <c r="O114" s="9" t="b">
        <v>1</v>
      </c>
      <c r="P114" s="7" t="str">
        <f t="shared" si="5"/>
        <v>Duitse Orde Museum (DOMUS) Alden Biesen</v>
      </c>
      <c r="Q114" s="10">
        <v>8.0</v>
      </c>
      <c r="R114" s="9" t="b">
        <v>0</v>
      </c>
      <c r="S114" s="9" t="b">
        <v>1</v>
      </c>
      <c r="T114" s="10">
        <v>8.0</v>
      </c>
      <c r="U114" s="11">
        <f t="shared" si="6"/>
        <v>0</v>
      </c>
      <c r="V114" s="11">
        <f t="shared" ref="V114:AB114" si="346">IF(OR(AW114 = $AO$4, AW114 = $AQ$4), 1, 0)</f>
        <v>1</v>
      </c>
      <c r="W114" s="11">
        <f t="shared" si="346"/>
        <v>1</v>
      </c>
      <c r="X114" s="11">
        <f t="shared" si="346"/>
        <v>1</v>
      </c>
      <c r="Y114" s="11">
        <f t="shared" si="346"/>
        <v>1</v>
      </c>
      <c r="Z114" s="11">
        <f t="shared" si="346"/>
        <v>1</v>
      </c>
      <c r="AA114" s="11">
        <f t="shared" si="346"/>
        <v>1</v>
      </c>
      <c r="AB114" s="11">
        <f t="shared" si="346"/>
        <v>1</v>
      </c>
      <c r="AC114" s="11">
        <f t="shared" si="8"/>
        <v>7</v>
      </c>
      <c r="AD114" s="11">
        <f t="shared" si="9"/>
        <v>1</v>
      </c>
      <c r="AE114" s="11">
        <f t="shared" ref="AE114:AH114" si="347">IF(OR(BD114 = $AO$6, BD114 = $AS$6, BD114 = $AT$6, BD114 = $AU$6), 1, 0)</f>
        <v>1</v>
      </c>
      <c r="AF114" s="11">
        <f t="shared" si="347"/>
        <v>1</v>
      </c>
      <c r="AG114" s="11">
        <f t="shared" si="347"/>
        <v>1</v>
      </c>
      <c r="AH114" s="11">
        <f t="shared" si="347"/>
        <v>1</v>
      </c>
      <c r="AI114" s="11">
        <f t="shared" si="11"/>
        <v>4</v>
      </c>
      <c r="AJ114" s="11">
        <f t="shared" si="12"/>
        <v>12</v>
      </c>
      <c r="AK114" s="12">
        <f t="shared" si="13"/>
        <v>5</v>
      </c>
      <c r="AL114" s="13" t="str">
        <f t="shared" si="14"/>
        <v>excellent</v>
      </c>
      <c r="AM114" s="7"/>
      <c r="AN114" s="7"/>
    </row>
    <row r="115">
      <c r="A115" s="7" t="s">
        <v>272</v>
      </c>
      <c r="B115" s="7" t="s">
        <v>273</v>
      </c>
      <c r="C115" s="8" t="s">
        <v>266</v>
      </c>
      <c r="D115" s="7" t="s">
        <v>4</v>
      </c>
      <c r="E115" s="8" t="b">
        <f t="shared" ref="E115:K115" si="348">IF(IFERROR(SEARCH(E$1, $D115),0) &gt;= 1, TRUE,FALSE)</f>
        <v>1</v>
      </c>
      <c r="F115" s="8" t="b">
        <f t="shared" si="348"/>
        <v>0</v>
      </c>
      <c r="G115" s="8" t="b">
        <f t="shared" si="348"/>
        <v>0</v>
      </c>
      <c r="H115" s="8" t="b">
        <f t="shared" si="348"/>
        <v>0</v>
      </c>
      <c r="I115" s="8" t="b">
        <f t="shared" si="348"/>
        <v>0</v>
      </c>
      <c r="J115" s="8" t="b">
        <f t="shared" si="348"/>
        <v>0</v>
      </c>
      <c r="K115" s="8" t="b">
        <f t="shared" si="348"/>
        <v>0</v>
      </c>
      <c r="L115" s="9" t="b">
        <v>1</v>
      </c>
      <c r="M115" s="9" t="b">
        <v>0</v>
      </c>
      <c r="N115" s="9" t="b">
        <v>1</v>
      </c>
      <c r="O115" s="9" t="b">
        <v>1</v>
      </c>
      <c r="P115" s="7" t="str">
        <f t="shared" si="5"/>
        <v>Gallo-Romeins Museum</v>
      </c>
      <c r="Q115" s="10">
        <v>8.0</v>
      </c>
      <c r="R115" s="9" t="b">
        <v>0</v>
      </c>
      <c r="S115" s="9" t="b">
        <v>1</v>
      </c>
      <c r="T115" s="10">
        <v>13.0</v>
      </c>
      <c r="U115" s="11">
        <f t="shared" si="6"/>
        <v>0</v>
      </c>
      <c r="V115" s="11">
        <f t="shared" ref="V115:AB115" si="349">IF(OR(AW115 = $AO$4, AW115 = $AQ$4), 1, 0)</f>
        <v>1</v>
      </c>
      <c r="W115" s="11">
        <f t="shared" si="349"/>
        <v>1</v>
      </c>
      <c r="X115" s="11">
        <f t="shared" si="349"/>
        <v>1</v>
      </c>
      <c r="Y115" s="11">
        <f t="shared" si="349"/>
        <v>1</v>
      </c>
      <c r="Z115" s="11">
        <f t="shared" si="349"/>
        <v>1</v>
      </c>
      <c r="AA115" s="11">
        <f t="shared" si="349"/>
        <v>1</v>
      </c>
      <c r="AB115" s="11">
        <f t="shared" si="349"/>
        <v>1</v>
      </c>
      <c r="AC115" s="11">
        <f t="shared" si="8"/>
        <v>7</v>
      </c>
      <c r="AD115" s="11">
        <f t="shared" si="9"/>
        <v>1</v>
      </c>
      <c r="AE115" s="11">
        <f t="shared" ref="AE115:AH115" si="350">IF(OR(BD115 = $AO$6, BD115 = $AS$6, BD115 = $AT$6, BD115 = $AU$6), 1, 0)</f>
        <v>1</v>
      </c>
      <c r="AF115" s="11">
        <f t="shared" si="350"/>
        <v>1</v>
      </c>
      <c r="AG115" s="11">
        <f t="shared" si="350"/>
        <v>1</v>
      </c>
      <c r="AH115" s="11">
        <f t="shared" si="350"/>
        <v>1</v>
      </c>
      <c r="AI115" s="11">
        <f t="shared" si="11"/>
        <v>4</v>
      </c>
      <c r="AJ115" s="11">
        <f t="shared" si="12"/>
        <v>12</v>
      </c>
      <c r="AK115" s="12">
        <f t="shared" si="13"/>
        <v>5</v>
      </c>
      <c r="AL115" s="13" t="str">
        <f t="shared" si="14"/>
        <v>excellent</v>
      </c>
      <c r="AM115" s="7"/>
      <c r="AN115" s="7"/>
    </row>
    <row r="116">
      <c r="A116" s="7" t="s">
        <v>274</v>
      </c>
      <c r="B116" s="7"/>
      <c r="C116" s="8" t="s">
        <v>266</v>
      </c>
      <c r="D116" s="7" t="s">
        <v>75</v>
      </c>
      <c r="E116" s="8" t="b">
        <f t="shared" ref="E116:K116" si="351">IF(IFERROR(SEARCH(E$1, $D116),0) &gt;= 1, TRUE,FALSE)</f>
        <v>1</v>
      </c>
      <c r="F116" s="8" t="b">
        <f t="shared" si="351"/>
        <v>0</v>
      </c>
      <c r="G116" s="8" t="b">
        <f t="shared" si="351"/>
        <v>0</v>
      </c>
      <c r="H116" s="8" t="b">
        <f t="shared" si="351"/>
        <v>0</v>
      </c>
      <c r="I116" s="8" t="b">
        <f t="shared" si="351"/>
        <v>1</v>
      </c>
      <c r="J116" s="8" t="b">
        <f t="shared" si="351"/>
        <v>1</v>
      </c>
      <c r="K116" s="8" t="b">
        <f t="shared" si="351"/>
        <v>1</v>
      </c>
      <c r="L116" s="9" t="b">
        <v>1</v>
      </c>
      <c r="M116" s="9" t="b">
        <v>0</v>
      </c>
      <c r="N116" s="9" t="b">
        <v>0</v>
      </c>
      <c r="O116" s="9" t="b">
        <v>0</v>
      </c>
      <c r="P116" s="7" t="str">
        <f t="shared" si="5"/>
        <v>GlazenHuis</v>
      </c>
      <c r="Q116" s="10">
        <v>5.0</v>
      </c>
      <c r="R116" s="9" t="b">
        <v>1</v>
      </c>
      <c r="S116" s="9" t="b">
        <v>0</v>
      </c>
      <c r="T116" s="7"/>
      <c r="U116" s="11">
        <f t="shared" si="6"/>
        <v>0</v>
      </c>
      <c r="V116" s="11">
        <f t="shared" ref="V116:AB116" si="352">IF(OR(AW116 = $AO$4, AW116 = $AQ$4), 1, 0)</f>
        <v>1</v>
      </c>
      <c r="W116" s="11">
        <f t="shared" si="352"/>
        <v>1</v>
      </c>
      <c r="X116" s="11">
        <f t="shared" si="352"/>
        <v>1</v>
      </c>
      <c r="Y116" s="11">
        <f t="shared" si="352"/>
        <v>1</v>
      </c>
      <c r="Z116" s="11">
        <f t="shared" si="352"/>
        <v>1</v>
      </c>
      <c r="AA116" s="11">
        <f t="shared" si="352"/>
        <v>1</v>
      </c>
      <c r="AB116" s="11">
        <f t="shared" si="352"/>
        <v>1</v>
      </c>
      <c r="AC116" s="11">
        <f t="shared" si="8"/>
        <v>7</v>
      </c>
      <c r="AD116" s="11">
        <f t="shared" si="9"/>
        <v>1</v>
      </c>
      <c r="AE116" s="11">
        <f t="shared" ref="AE116:AH116" si="353">IF(OR(BD116 = $AO$6, BD116 = $AS$6, BD116 = $AT$6, BD116 = $AU$6), 1, 0)</f>
        <v>1</v>
      </c>
      <c r="AF116" s="11">
        <f t="shared" si="353"/>
        <v>1</v>
      </c>
      <c r="AG116" s="11">
        <f t="shared" si="353"/>
        <v>1</v>
      </c>
      <c r="AH116" s="11">
        <f t="shared" si="353"/>
        <v>1</v>
      </c>
      <c r="AI116" s="11">
        <f t="shared" si="11"/>
        <v>4</v>
      </c>
      <c r="AJ116" s="11">
        <f t="shared" si="12"/>
        <v>12</v>
      </c>
      <c r="AK116" s="12">
        <f t="shared" si="13"/>
        <v>5</v>
      </c>
      <c r="AL116" s="13" t="str">
        <f t="shared" si="14"/>
        <v>excellent</v>
      </c>
      <c r="AM116" s="7"/>
      <c r="AN116" s="7"/>
    </row>
    <row r="117">
      <c r="A117" s="7" t="s">
        <v>275</v>
      </c>
      <c r="B117" s="7" t="s">
        <v>276</v>
      </c>
      <c r="C117" s="8" t="s">
        <v>266</v>
      </c>
      <c r="D117" s="7" t="s">
        <v>102</v>
      </c>
      <c r="E117" s="8" t="b">
        <f t="shared" ref="E117:K117" si="354">IF(IFERROR(SEARCH(E$1, $D117),0) &gt;= 1, TRUE,FALSE)</f>
        <v>1</v>
      </c>
      <c r="F117" s="8" t="b">
        <f t="shared" si="354"/>
        <v>0</v>
      </c>
      <c r="G117" s="8" t="b">
        <f t="shared" si="354"/>
        <v>0</v>
      </c>
      <c r="H117" s="8" t="b">
        <f t="shared" si="354"/>
        <v>0</v>
      </c>
      <c r="I117" s="8" t="b">
        <f t="shared" si="354"/>
        <v>0</v>
      </c>
      <c r="J117" s="8" t="b">
        <f t="shared" si="354"/>
        <v>1</v>
      </c>
      <c r="K117" s="8" t="b">
        <f t="shared" si="354"/>
        <v>0</v>
      </c>
      <c r="L117" s="9" t="b">
        <v>1</v>
      </c>
      <c r="M117" s="9" t="b">
        <v>0</v>
      </c>
      <c r="N117" s="9" t="b">
        <v>0</v>
      </c>
      <c r="O117" s="9" t="b">
        <v>0</v>
      </c>
      <c r="P117" s="7" t="str">
        <f t="shared" si="5"/>
        <v>Het Stadsmus Hasselt</v>
      </c>
      <c r="Q117" s="10">
        <v>0.0</v>
      </c>
      <c r="R117" s="9" t="b">
        <v>0</v>
      </c>
      <c r="S117" s="9" t="b">
        <v>0</v>
      </c>
      <c r="T117" s="7"/>
      <c r="U117" s="11">
        <f t="shared" si="6"/>
        <v>0</v>
      </c>
      <c r="V117" s="11">
        <f t="shared" ref="V117:AB117" si="355">IF(OR(AW117 = $AO$4, AW117 = $AQ$4), 1, 0)</f>
        <v>1</v>
      </c>
      <c r="W117" s="11">
        <f t="shared" si="355"/>
        <v>1</v>
      </c>
      <c r="X117" s="11">
        <f t="shared" si="355"/>
        <v>1</v>
      </c>
      <c r="Y117" s="11">
        <f t="shared" si="355"/>
        <v>1</v>
      </c>
      <c r="Z117" s="11">
        <f t="shared" si="355"/>
        <v>1</v>
      </c>
      <c r="AA117" s="11">
        <f t="shared" si="355"/>
        <v>1</v>
      </c>
      <c r="AB117" s="11">
        <f t="shared" si="355"/>
        <v>1</v>
      </c>
      <c r="AC117" s="11">
        <f t="shared" si="8"/>
        <v>7</v>
      </c>
      <c r="AD117" s="11">
        <f t="shared" si="9"/>
        <v>1</v>
      </c>
      <c r="AE117" s="11">
        <f t="shared" ref="AE117:AH117" si="356">IF(OR(BD117 = $AO$6, BD117 = $AS$6, BD117 = $AT$6, BD117 = $AU$6), 1, 0)</f>
        <v>1</v>
      </c>
      <c r="AF117" s="11">
        <f t="shared" si="356"/>
        <v>1</v>
      </c>
      <c r="AG117" s="11">
        <f t="shared" si="356"/>
        <v>1</v>
      </c>
      <c r="AH117" s="11">
        <f t="shared" si="356"/>
        <v>1</v>
      </c>
      <c r="AI117" s="11">
        <f t="shared" si="11"/>
        <v>4</v>
      </c>
      <c r="AJ117" s="11">
        <f t="shared" si="12"/>
        <v>12</v>
      </c>
      <c r="AK117" s="12">
        <f t="shared" si="13"/>
        <v>5</v>
      </c>
      <c r="AL117" s="13" t="str">
        <f t="shared" si="14"/>
        <v>excellent</v>
      </c>
      <c r="AM117" s="7"/>
      <c r="AN117" s="7"/>
    </row>
    <row r="118">
      <c r="A118" s="7" t="s">
        <v>277</v>
      </c>
      <c r="B118" s="7" t="s">
        <v>278</v>
      </c>
      <c r="C118" s="8" t="s">
        <v>266</v>
      </c>
      <c r="D118" s="7" t="s">
        <v>114</v>
      </c>
      <c r="E118" s="8" t="b">
        <f t="shared" ref="E118:K118" si="357">IF(IFERROR(SEARCH(E$1, $D118),0) &gt;= 1, TRUE,FALSE)</f>
        <v>1</v>
      </c>
      <c r="F118" s="8" t="b">
        <f t="shared" si="357"/>
        <v>1</v>
      </c>
      <c r="G118" s="8" t="b">
        <f t="shared" si="357"/>
        <v>0</v>
      </c>
      <c r="H118" s="8" t="b">
        <f t="shared" si="357"/>
        <v>0</v>
      </c>
      <c r="I118" s="8" t="b">
        <f t="shared" si="357"/>
        <v>0</v>
      </c>
      <c r="J118" s="8" t="b">
        <f t="shared" si="357"/>
        <v>0</v>
      </c>
      <c r="K118" s="8" t="b">
        <f t="shared" si="357"/>
        <v>0</v>
      </c>
      <c r="L118" s="9" t="b">
        <v>1</v>
      </c>
      <c r="M118" s="9" t="b">
        <v>0</v>
      </c>
      <c r="N118" s="9" t="b">
        <v>0</v>
      </c>
      <c r="O118" s="9" t="b">
        <v>1</v>
      </c>
      <c r="P118" s="7" t="str">
        <f t="shared" si="5"/>
        <v>Jenevermuseum</v>
      </c>
      <c r="Q118" s="10">
        <v>7.0</v>
      </c>
      <c r="R118" s="9" t="b">
        <v>0</v>
      </c>
      <c r="S118" s="9" t="b">
        <v>1</v>
      </c>
      <c r="T118" s="10">
        <v>7.0</v>
      </c>
      <c r="U118" s="11">
        <f t="shared" si="6"/>
        <v>0</v>
      </c>
      <c r="V118" s="11">
        <f t="shared" ref="V118:AB118" si="358">IF(OR(AW118 = $AO$4, AW118 = $AQ$4), 1, 0)</f>
        <v>1</v>
      </c>
      <c r="W118" s="11">
        <f t="shared" si="358"/>
        <v>1</v>
      </c>
      <c r="X118" s="11">
        <f t="shared" si="358"/>
        <v>1</v>
      </c>
      <c r="Y118" s="11">
        <f t="shared" si="358"/>
        <v>1</v>
      </c>
      <c r="Z118" s="11">
        <f t="shared" si="358"/>
        <v>1</v>
      </c>
      <c r="AA118" s="11">
        <f t="shared" si="358"/>
        <v>1</v>
      </c>
      <c r="AB118" s="11">
        <f t="shared" si="358"/>
        <v>1</v>
      </c>
      <c r="AC118" s="11">
        <f t="shared" si="8"/>
        <v>7</v>
      </c>
      <c r="AD118" s="11">
        <f t="shared" si="9"/>
        <v>1</v>
      </c>
      <c r="AE118" s="11">
        <f t="shared" ref="AE118:AH118" si="359">IF(OR(BD118 = $AO$6, BD118 = $AS$6, BD118 = $AT$6, BD118 = $AU$6), 1, 0)</f>
        <v>1</v>
      </c>
      <c r="AF118" s="11">
        <f t="shared" si="359"/>
        <v>1</v>
      </c>
      <c r="AG118" s="11">
        <f t="shared" si="359"/>
        <v>1</v>
      </c>
      <c r="AH118" s="11">
        <f t="shared" si="359"/>
        <v>1</v>
      </c>
      <c r="AI118" s="11">
        <f t="shared" si="11"/>
        <v>4</v>
      </c>
      <c r="AJ118" s="11">
        <f t="shared" si="12"/>
        <v>12</v>
      </c>
      <c r="AK118" s="12">
        <f t="shared" si="13"/>
        <v>5</v>
      </c>
      <c r="AL118" s="13" t="str">
        <f t="shared" si="14"/>
        <v>excellent</v>
      </c>
      <c r="AM118" s="7"/>
      <c r="AN118" s="7"/>
    </row>
    <row r="119">
      <c r="A119" s="7" t="s">
        <v>279</v>
      </c>
      <c r="B119" s="7"/>
      <c r="C119" s="8" t="s">
        <v>266</v>
      </c>
      <c r="D119" s="7" t="s">
        <v>280</v>
      </c>
      <c r="E119" s="8" t="b">
        <f t="shared" ref="E119:K119" si="360">IF(IFERROR(SEARCH(E$1, $D119),0) &gt;= 1, TRUE,FALSE)</f>
        <v>0</v>
      </c>
      <c r="F119" s="8" t="b">
        <f t="shared" si="360"/>
        <v>1</v>
      </c>
      <c r="G119" s="8" t="b">
        <f t="shared" si="360"/>
        <v>0</v>
      </c>
      <c r="H119" s="8" t="b">
        <f t="shared" si="360"/>
        <v>0</v>
      </c>
      <c r="I119" s="8" t="b">
        <f t="shared" si="360"/>
        <v>1</v>
      </c>
      <c r="J119" s="8" t="b">
        <f t="shared" si="360"/>
        <v>1</v>
      </c>
      <c r="K119" s="8" t="b">
        <f t="shared" si="360"/>
        <v>0</v>
      </c>
      <c r="L119" s="9" t="b">
        <v>1</v>
      </c>
      <c r="M119" s="9" t="b">
        <v>1</v>
      </c>
      <c r="N119" s="9" t="b">
        <v>0</v>
      </c>
      <c r="O119" s="9" t="b">
        <v>0</v>
      </c>
      <c r="P119" s="7" t="str">
        <f t="shared" si="5"/>
        <v>LABIOMISTA</v>
      </c>
      <c r="Q119" s="10">
        <v>14.0</v>
      </c>
      <c r="R119" s="9" t="b">
        <v>1</v>
      </c>
      <c r="S119" s="9" t="b">
        <v>0</v>
      </c>
      <c r="T119" s="7"/>
      <c r="U119" s="11">
        <f t="shared" si="6"/>
        <v>0</v>
      </c>
      <c r="V119" s="11">
        <f t="shared" ref="V119:AB119" si="361">IF(OR(AW119 = $AO$4, AW119 = $AQ$4), 1, 0)</f>
        <v>1</v>
      </c>
      <c r="W119" s="11">
        <f t="shared" si="361"/>
        <v>1</v>
      </c>
      <c r="X119" s="11">
        <f t="shared" si="361"/>
        <v>1</v>
      </c>
      <c r="Y119" s="11">
        <f t="shared" si="361"/>
        <v>1</v>
      </c>
      <c r="Z119" s="11">
        <f t="shared" si="361"/>
        <v>1</v>
      </c>
      <c r="AA119" s="11">
        <f t="shared" si="361"/>
        <v>1</v>
      </c>
      <c r="AB119" s="11">
        <f t="shared" si="361"/>
        <v>1</v>
      </c>
      <c r="AC119" s="11">
        <f t="shared" si="8"/>
        <v>7</v>
      </c>
      <c r="AD119" s="11">
        <f t="shared" si="9"/>
        <v>1</v>
      </c>
      <c r="AE119" s="11">
        <f t="shared" ref="AE119:AH119" si="362">IF(OR(BD119 = $AO$6, BD119 = $AS$6, BD119 = $AT$6, BD119 = $AU$6), 1, 0)</f>
        <v>1</v>
      </c>
      <c r="AF119" s="11">
        <f t="shared" si="362"/>
        <v>1</v>
      </c>
      <c r="AG119" s="11">
        <f t="shared" si="362"/>
        <v>1</v>
      </c>
      <c r="AH119" s="11">
        <f t="shared" si="362"/>
        <v>1</v>
      </c>
      <c r="AI119" s="11">
        <f t="shared" si="11"/>
        <v>4</v>
      </c>
      <c r="AJ119" s="11">
        <f t="shared" si="12"/>
        <v>12</v>
      </c>
      <c r="AK119" s="12">
        <f t="shared" si="13"/>
        <v>5</v>
      </c>
      <c r="AL119" s="13" t="str">
        <f t="shared" si="14"/>
        <v>excellent</v>
      </c>
      <c r="AM119" s="7"/>
      <c r="AN119" s="7"/>
    </row>
    <row r="120">
      <c r="A120" s="7" t="s">
        <v>281</v>
      </c>
      <c r="B120" s="7"/>
      <c r="C120" s="8" t="s">
        <v>266</v>
      </c>
      <c r="D120" s="7" t="s">
        <v>4</v>
      </c>
      <c r="E120" s="8" t="b">
        <f t="shared" ref="E120:K120" si="363">IF(IFERROR(SEARCH(E$1, $D120),0) &gt;= 1, TRUE,FALSE)</f>
        <v>1</v>
      </c>
      <c r="F120" s="8" t="b">
        <f t="shared" si="363"/>
        <v>0</v>
      </c>
      <c r="G120" s="8" t="b">
        <f t="shared" si="363"/>
        <v>0</v>
      </c>
      <c r="H120" s="8" t="b">
        <f t="shared" si="363"/>
        <v>0</v>
      </c>
      <c r="I120" s="8" t="b">
        <f t="shared" si="363"/>
        <v>0</v>
      </c>
      <c r="J120" s="8" t="b">
        <f t="shared" si="363"/>
        <v>0</v>
      </c>
      <c r="K120" s="8" t="b">
        <f t="shared" si="363"/>
        <v>0</v>
      </c>
      <c r="L120" s="9" t="b">
        <v>1</v>
      </c>
      <c r="M120" s="9" t="b">
        <v>1</v>
      </c>
      <c r="N120" s="9" t="b">
        <v>0</v>
      </c>
      <c r="O120" s="9" t="b">
        <v>1</v>
      </c>
      <c r="P120" s="7" t="str">
        <f t="shared" si="5"/>
        <v>Liberation Garden Leopoldsburg</v>
      </c>
      <c r="Q120" s="10">
        <v>15.0</v>
      </c>
      <c r="R120" s="9" t="b">
        <v>0</v>
      </c>
      <c r="S120" s="9" t="b">
        <v>0</v>
      </c>
      <c r="T120" s="7"/>
      <c r="U120" s="11">
        <f t="shared" si="6"/>
        <v>0</v>
      </c>
      <c r="V120" s="11">
        <f t="shared" ref="V120:AB120" si="364">IF(OR(AW120 = $AO$4, AW120 = $AQ$4), 1, 0)</f>
        <v>1</v>
      </c>
      <c r="W120" s="11">
        <f t="shared" si="364"/>
        <v>1</v>
      </c>
      <c r="X120" s="11">
        <f t="shared" si="364"/>
        <v>1</v>
      </c>
      <c r="Y120" s="11">
        <f t="shared" si="364"/>
        <v>1</v>
      </c>
      <c r="Z120" s="11">
        <f t="shared" si="364"/>
        <v>1</v>
      </c>
      <c r="AA120" s="11">
        <f t="shared" si="364"/>
        <v>1</v>
      </c>
      <c r="AB120" s="11">
        <f t="shared" si="364"/>
        <v>1</v>
      </c>
      <c r="AC120" s="11">
        <f t="shared" si="8"/>
        <v>7</v>
      </c>
      <c r="AD120" s="11">
        <f t="shared" si="9"/>
        <v>1</v>
      </c>
      <c r="AE120" s="11">
        <f t="shared" ref="AE120:AH120" si="365">IF(OR(BD120 = $AO$6, BD120 = $AS$6, BD120 = $AT$6, BD120 = $AU$6), 1, 0)</f>
        <v>1</v>
      </c>
      <c r="AF120" s="11">
        <f t="shared" si="365"/>
        <v>1</v>
      </c>
      <c r="AG120" s="11">
        <f t="shared" si="365"/>
        <v>1</v>
      </c>
      <c r="AH120" s="11">
        <f t="shared" si="365"/>
        <v>1</v>
      </c>
      <c r="AI120" s="11">
        <f t="shared" si="11"/>
        <v>4</v>
      </c>
      <c r="AJ120" s="11">
        <f t="shared" si="12"/>
        <v>12</v>
      </c>
      <c r="AK120" s="12">
        <f t="shared" si="13"/>
        <v>5</v>
      </c>
      <c r="AL120" s="13" t="str">
        <f t="shared" si="14"/>
        <v>excellent</v>
      </c>
      <c r="AM120" s="7"/>
      <c r="AN120" s="7"/>
    </row>
    <row r="121">
      <c r="A121" s="7" t="s">
        <v>282</v>
      </c>
      <c r="B121" s="7" t="s">
        <v>283</v>
      </c>
      <c r="C121" s="8" t="s">
        <v>266</v>
      </c>
      <c r="D121" s="7" t="s">
        <v>6</v>
      </c>
      <c r="E121" s="8" t="b">
        <f t="shared" ref="E121:K121" si="366">IF(IFERROR(SEARCH(E$1, $D121),0) &gt;= 1, TRUE,FALSE)</f>
        <v>0</v>
      </c>
      <c r="F121" s="8" t="b">
        <f t="shared" si="366"/>
        <v>0</v>
      </c>
      <c r="G121" s="8" t="b">
        <f t="shared" si="366"/>
        <v>1</v>
      </c>
      <c r="H121" s="8" t="b">
        <f t="shared" si="366"/>
        <v>0</v>
      </c>
      <c r="I121" s="8" t="b">
        <f t="shared" si="366"/>
        <v>0</v>
      </c>
      <c r="J121" s="8" t="b">
        <f t="shared" si="366"/>
        <v>0</v>
      </c>
      <c r="K121" s="8" t="b">
        <f t="shared" si="366"/>
        <v>0</v>
      </c>
      <c r="L121" s="9" t="b">
        <v>1</v>
      </c>
      <c r="M121" s="9" t="b">
        <v>0</v>
      </c>
      <c r="N121" s="9" t="b">
        <v>0</v>
      </c>
      <c r="O121" s="9" t="b">
        <v>0</v>
      </c>
      <c r="P121" s="7" t="str">
        <f t="shared" si="5"/>
        <v>Modemuseum Hasselt</v>
      </c>
      <c r="Q121" s="10">
        <v>8.0</v>
      </c>
      <c r="R121" s="9" t="b">
        <v>0</v>
      </c>
      <c r="S121" s="9" t="b">
        <v>1</v>
      </c>
      <c r="T121" s="10">
        <v>8.0</v>
      </c>
      <c r="U121" s="11">
        <f t="shared" si="6"/>
        <v>0</v>
      </c>
      <c r="V121" s="11">
        <f t="shared" ref="V121:AB121" si="367">IF(OR(AW121 = $AO$4, AW121 = $AQ$4), 1, 0)</f>
        <v>1</v>
      </c>
      <c r="W121" s="11">
        <f t="shared" si="367"/>
        <v>1</v>
      </c>
      <c r="X121" s="11">
        <f t="shared" si="367"/>
        <v>1</v>
      </c>
      <c r="Y121" s="11">
        <f t="shared" si="367"/>
        <v>1</v>
      </c>
      <c r="Z121" s="11">
        <f t="shared" si="367"/>
        <v>1</v>
      </c>
      <c r="AA121" s="11">
        <f t="shared" si="367"/>
        <v>1</v>
      </c>
      <c r="AB121" s="11">
        <f t="shared" si="367"/>
        <v>1</v>
      </c>
      <c r="AC121" s="11">
        <f t="shared" si="8"/>
        <v>7</v>
      </c>
      <c r="AD121" s="11">
        <f t="shared" si="9"/>
        <v>1</v>
      </c>
      <c r="AE121" s="11">
        <f t="shared" ref="AE121:AH121" si="368">IF(OR(BD121 = $AO$6, BD121 = $AS$6, BD121 = $AT$6, BD121 = $AU$6), 1, 0)</f>
        <v>1</v>
      </c>
      <c r="AF121" s="11">
        <f t="shared" si="368"/>
        <v>1</v>
      </c>
      <c r="AG121" s="11">
        <f t="shared" si="368"/>
        <v>1</v>
      </c>
      <c r="AH121" s="11">
        <f t="shared" si="368"/>
        <v>1</v>
      </c>
      <c r="AI121" s="11">
        <f t="shared" si="11"/>
        <v>4</v>
      </c>
      <c r="AJ121" s="11">
        <f t="shared" si="12"/>
        <v>12</v>
      </c>
      <c r="AK121" s="12">
        <f t="shared" si="13"/>
        <v>5</v>
      </c>
      <c r="AL121" s="13" t="str">
        <f t="shared" si="14"/>
        <v>excellent</v>
      </c>
      <c r="AM121" s="7"/>
      <c r="AN121" s="7"/>
    </row>
    <row r="122">
      <c r="A122" s="7" t="s">
        <v>284</v>
      </c>
      <c r="B122" s="7" t="s">
        <v>285</v>
      </c>
      <c r="C122" s="8" t="s">
        <v>266</v>
      </c>
      <c r="D122" s="7" t="s">
        <v>4</v>
      </c>
      <c r="E122" s="8" t="b">
        <f t="shared" ref="E122:K122" si="369">IF(IFERROR(SEARCH(E$1, $D122),0) &gt;= 1, TRUE,FALSE)</f>
        <v>1</v>
      </c>
      <c r="F122" s="8" t="b">
        <f t="shared" si="369"/>
        <v>0</v>
      </c>
      <c r="G122" s="8" t="b">
        <f t="shared" si="369"/>
        <v>0</v>
      </c>
      <c r="H122" s="8" t="b">
        <f t="shared" si="369"/>
        <v>0</v>
      </c>
      <c r="I122" s="8" t="b">
        <f t="shared" si="369"/>
        <v>0</v>
      </c>
      <c r="J122" s="8" t="b">
        <f t="shared" si="369"/>
        <v>0</v>
      </c>
      <c r="K122" s="8" t="b">
        <f t="shared" si="369"/>
        <v>0</v>
      </c>
      <c r="L122" s="9" t="b">
        <v>1</v>
      </c>
      <c r="M122" s="9" t="b">
        <v>1</v>
      </c>
      <c r="N122" s="9" t="b">
        <v>1</v>
      </c>
      <c r="O122" s="9" t="b">
        <v>1</v>
      </c>
      <c r="P122" s="7" t="str">
        <f t="shared" si="5"/>
        <v>Openluchtmuseum Bokrijk</v>
      </c>
      <c r="Q122" s="10">
        <v>16.0</v>
      </c>
      <c r="R122" s="9" t="b">
        <v>1</v>
      </c>
      <c r="S122" s="9" t="b">
        <v>0</v>
      </c>
      <c r="T122" s="7"/>
      <c r="U122" s="11">
        <f t="shared" si="6"/>
        <v>0</v>
      </c>
      <c r="V122" s="11">
        <f t="shared" ref="V122:AB122" si="370">IF(OR(AW122 = $AO$4, AW122 = $AQ$4), 1, 0)</f>
        <v>1</v>
      </c>
      <c r="W122" s="11">
        <f t="shared" si="370"/>
        <v>1</v>
      </c>
      <c r="X122" s="11">
        <f t="shared" si="370"/>
        <v>1</v>
      </c>
      <c r="Y122" s="11">
        <f t="shared" si="370"/>
        <v>1</v>
      </c>
      <c r="Z122" s="11">
        <f t="shared" si="370"/>
        <v>1</v>
      </c>
      <c r="AA122" s="11">
        <f t="shared" si="370"/>
        <v>1</v>
      </c>
      <c r="AB122" s="11">
        <f t="shared" si="370"/>
        <v>1</v>
      </c>
      <c r="AC122" s="11">
        <f t="shared" si="8"/>
        <v>7</v>
      </c>
      <c r="AD122" s="11">
        <f t="shared" si="9"/>
        <v>0</v>
      </c>
      <c r="AE122" s="11">
        <f t="shared" ref="AE122:AH122" si="371">IF(OR(BD122 = $AO$6, BD122 = $AS$6, BD122 = $AT$6, BD122 = $AU$6), 1, 0)</f>
        <v>1</v>
      </c>
      <c r="AF122" s="11">
        <f t="shared" si="371"/>
        <v>1</v>
      </c>
      <c r="AG122" s="11">
        <f t="shared" si="371"/>
        <v>1</v>
      </c>
      <c r="AH122" s="11">
        <f t="shared" si="371"/>
        <v>1</v>
      </c>
      <c r="AI122" s="11">
        <f t="shared" si="11"/>
        <v>4</v>
      </c>
      <c r="AJ122" s="11">
        <f t="shared" si="12"/>
        <v>11</v>
      </c>
      <c r="AK122" s="12">
        <f t="shared" si="13"/>
        <v>4.583333333</v>
      </c>
      <c r="AL122" s="13" t="str">
        <f t="shared" si="14"/>
        <v>excellent</v>
      </c>
      <c r="AM122" s="7"/>
      <c r="AN122" s="7"/>
    </row>
    <row r="123">
      <c r="A123" s="7" t="s">
        <v>286</v>
      </c>
      <c r="B123" s="7" t="s">
        <v>287</v>
      </c>
      <c r="C123" s="8" t="s">
        <v>266</v>
      </c>
      <c r="D123" s="7" t="s">
        <v>4</v>
      </c>
      <c r="E123" s="8" t="b">
        <f t="shared" ref="E123:K123" si="372">IF(IFERROR(SEARCH(E$1, $D123),0) &gt;= 1, TRUE,FALSE)</f>
        <v>1</v>
      </c>
      <c r="F123" s="8" t="b">
        <f t="shared" si="372"/>
        <v>0</v>
      </c>
      <c r="G123" s="8" t="b">
        <f t="shared" si="372"/>
        <v>0</v>
      </c>
      <c r="H123" s="8" t="b">
        <f t="shared" si="372"/>
        <v>0</v>
      </c>
      <c r="I123" s="8" t="b">
        <f t="shared" si="372"/>
        <v>0</v>
      </c>
      <c r="J123" s="8" t="b">
        <f t="shared" si="372"/>
        <v>0</v>
      </c>
      <c r="K123" s="8" t="b">
        <f t="shared" si="372"/>
        <v>0</v>
      </c>
      <c r="L123" s="9" t="b">
        <v>1</v>
      </c>
      <c r="M123" s="9" t="b">
        <v>0</v>
      </c>
      <c r="N123" s="9" t="b">
        <v>0</v>
      </c>
      <c r="O123" s="9" t="b">
        <v>0</v>
      </c>
      <c r="P123" s="7" t="str">
        <f t="shared" si="5"/>
        <v>RAM | Regionaal Archeologisch Museum</v>
      </c>
      <c r="Q123" s="14">
        <v>6.0</v>
      </c>
      <c r="R123" s="9" t="b">
        <v>0</v>
      </c>
      <c r="S123" s="9" t="b">
        <v>0</v>
      </c>
      <c r="T123" s="7"/>
      <c r="U123" s="11">
        <f t="shared" si="6"/>
        <v>0</v>
      </c>
      <c r="V123" s="11">
        <f t="shared" ref="V123:AB123" si="373">IF(OR(AW123 = $AO$4, AW123 = $AQ$4), 1, 0)</f>
        <v>1</v>
      </c>
      <c r="W123" s="11">
        <f t="shared" si="373"/>
        <v>1</v>
      </c>
      <c r="X123" s="11">
        <f t="shared" si="373"/>
        <v>1</v>
      </c>
      <c r="Y123" s="11">
        <f t="shared" si="373"/>
        <v>1</v>
      </c>
      <c r="Z123" s="11">
        <f t="shared" si="373"/>
        <v>1</v>
      </c>
      <c r="AA123" s="11">
        <f t="shared" si="373"/>
        <v>1</v>
      </c>
      <c r="AB123" s="11">
        <f t="shared" si="373"/>
        <v>1</v>
      </c>
      <c r="AC123" s="11">
        <f t="shared" si="8"/>
        <v>7</v>
      </c>
      <c r="AD123" s="11">
        <f t="shared" si="9"/>
        <v>1</v>
      </c>
      <c r="AE123" s="11">
        <f t="shared" ref="AE123:AH123" si="374">IF(OR(BD123 = $AO$6, BD123 = $AS$6, BD123 = $AT$6, BD123 = $AU$6), 1, 0)</f>
        <v>1</v>
      </c>
      <c r="AF123" s="11">
        <f t="shared" si="374"/>
        <v>1</v>
      </c>
      <c r="AG123" s="11">
        <f t="shared" si="374"/>
        <v>1</v>
      </c>
      <c r="AH123" s="11">
        <f t="shared" si="374"/>
        <v>1</v>
      </c>
      <c r="AI123" s="11">
        <f t="shared" si="11"/>
        <v>4</v>
      </c>
      <c r="AJ123" s="11">
        <f t="shared" si="12"/>
        <v>12</v>
      </c>
      <c r="AK123" s="12">
        <f t="shared" si="13"/>
        <v>5</v>
      </c>
      <c r="AL123" s="13" t="str">
        <f t="shared" si="14"/>
        <v>excellent</v>
      </c>
      <c r="AM123" s="7"/>
      <c r="AN123" s="7"/>
    </row>
    <row r="124">
      <c r="A124" s="7" t="s">
        <v>288</v>
      </c>
      <c r="B124" s="7" t="s">
        <v>289</v>
      </c>
      <c r="C124" s="8" t="s">
        <v>266</v>
      </c>
      <c r="D124" s="7" t="s">
        <v>9</v>
      </c>
      <c r="E124" s="8" t="b">
        <f t="shared" ref="E124:K124" si="375">IF(IFERROR(SEARCH(E$1, $D124),0) &gt;= 1, TRUE,FALSE)</f>
        <v>0</v>
      </c>
      <c r="F124" s="8" t="b">
        <f t="shared" si="375"/>
        <v>0</v>
      </c>
      <c r="G124" s="8" t="b">
        <f t="shared" si="375"/>
        <v>0</v>
      </c>
      <c r="H124" s="8" t="b">
        <f t="shared" si="375"/>
        <v>0</v>
      </c>
      <c r="I124" s="8" t="b">
        <f t="shared" si="375"/>
        <v>0</v>
      </c>
      <c r="J124" s="8" t="b">
        <f t="shared" si="375"/>
        <v>1</v>
      </c>
      <c r="K124" s="8" t="b">
        <f t="shared" si="375"/>
        <v>0</v>
      </c>
      <c r="L124" s="9" t="b">
        <v>0</v>
      </c>
      <c r="M124" s="9" t="b">
        <v>0</v>
      </c>
      <c r="N124" s="9" t="b">
        <v>0</v>
      </c>
      <c r="O124" s="9" t="b">
        <v>0</v>
      </c>
      <c r="P124" s="7" t="str">
        <f t="shared" si="5"/>
        <v>Schatkamer van Sint-Catharina</v>
      </c>
      <c r="Q124" s="10">
        <v>6.0</v>
      </c>
      <c r="R124" s="9" t="b">
        <v>0</v>
      </c>
      <c r="S124" s="9" t="b">
        <v>0</v>
      </c>
      <c r="T124" s="7"/>
      <c r="U124" s="11">
        <f t="shared" si="6"/>
        <v>0</v>
      </c>
      <c r="V124" s="11">
        <f t="shared" ref="V124:AB124" si="376">IF(OR(AW124 = $AO$4, AW124 = $AQ$4), 1, 0)</f>
        <v>1</v>
      </c>
      <c r="W124" s="11">
        <f t="shared" si="376"/>
        <v>1</v>
      </c>
      <c r="X124" s="11">
        <f t="shared" si="376"/>
        <v>1</v>
      </c>
      <c r="Y124" s="11">
        <f t="shared" si="376"/>
        <v>1</v>
      </c>
      <c r="Z124" s="11">
        <f t="shared" si="376"/>
        <v>1</v>
      </c>
      <c r="AA124" s="11">
        <f t="shared" si="376"/>
        <v>1</v>
      </c>
      <c r="AB124" s="11">
        <f t="shared" si="376"/>
        <v>1</v>
      </c>
      <c r="AC124" s="11">
        <f t="shared" si="8"/>
        <v>7</v>
      </c>
      <c r="AD124" s="11">
        <f t="shared" si="9"/>
        <v>1</v>
      </c>
      <c r="AE124" s="11">
        <f t="shared" ref="AE124:AH124" si="377">IF(OR(BD124 = $AO$6, BD124 = $AS$6, BD124 = $AT$6, BD124 = $AU$6), 1, 0)</f>
        <v>1</v>
      </c>
      <c r="AF124" s="11">
        <f t="shared" si="377"/>
        <v>1</v>
      </c>
      <c r="AG124" s="11">
        <f t="shared" si="377"/>
        <v>1</v>
      </c>
      <c r="AH124" s="11">
        <f t="shared" si="377"/>
        <v>1</v>
      </c>
      <c r="AI124" s="11">
        <f t="shared" si="11"/>
        <v>4</v>
      </c>
      <c r="AJ124" s="11">
        <f t="shared" si="12"/>
        <v>12</v>
      </c>
      <c r="AK124" s="12">
        <f t="shared" si="13"/>
        <v>5</v>
      </c>
      <c r="AL124" s="13" t="str">
        <f t="shared" si="14"/>
        <v>excellent</v>
      </c>
      <c r="AM124" s="7"/>
      <c r="AN124" s="7"/>
    </row>
    <row r="125">
      <c r="A125" s="7" t="s">
        <v>290</v>
      </c>
      <c r="B125" s="7" t="s">
        <v>291</v>
      </c>
      <c r="C125" s="8" t="s">
        <v>266</v>
      </c>
      <c r="D125" s="7" t="s">
        <v>292</v>
      </c>
      <c r="E125" s="8" t="b">
        <f t="shared" ref="E125:K125" si="378">IF(IFERROR(SEARCH(E$1, $D125),0) &gt;= 1, TRUE,FALSE)</f>
        <v>0</v>
      </c>
      <c r="F125" s="8" t="b">
        <f t="shared" si="378"/>
        <v>0</v>
      </c>
      <c r="G125" s="8" t="b">
        <f t="shared" si="378"/>
        <v>0</v>
      </c>
      <c r="H125" s="8" t="b">
        <f t="shared" si="378"/>
        <v>0</v>
      </c>
      <c r="I125" s="8" t="b">
        <f t="shared" si="378"/>
        <v>1</v>
      </c>
      <c r="J125" s="8" t="b">
        <f t="shared" si="378"/>
        <v>1</v>
      </c>
      <c r="K125" s="8" t="b">
        <f t="shared" si="378"/>
        <v>1</v>
      </c>
      <c r="L125" s="9" t="b">
        <v>1</v>
      </c>
      <c r="M125" s="9" t="b">
        <v>0</v>
      </c>
      <c r="N125" s="9" t="b">
        <v>1</v>
      </c>
      <c r="O125" s="9" t="b">
        <v>1</v>
      </c>
      <c r="P125" s="7" t="str">
        <f t="shared" si="5"/>
        <v>Z33 | Huis voor Actuele Kunst, Design &amp; Architectuur</v>
      </c>
      <c r="Q125" s="10">
        <v>12.0</v>
      </c>
      <c r="R125" s="9" t="b">
        <v>0</v>
      </c>
      <c r="S125" s="9" t="b">
        <v>1</v>
      </c>
      <c r="T125" s="10">
        <v>12.0</v>
      </c>
      <c r="U125" s="11">
        <f t="shared" si="6"/>
        <v>0</v>
      </c>
      <c r="V125" s="11">
        <f t="shared" ref="V125:AB125" si="379">IF(OR(AW125 = $AO$4, AW125 = $AQ$4), 1, 0)</f>
        <v>1</v>
      </c>
      <c r="W125" s="11">
        <f t="shared" si="379"/>
        <v>1</v>
      </c>
      <c r="X125" s="11">
        <f t="shared" si="379"/>
        <v>1</v>
      </c>
      <c r="Y125" s="11">
        <f t="shared" si="379"/>
        <v>1</v>
      </c>
      <c r="Z125" s="11">
        <f t="shared" si="379"/>
        <v>1</v>
      </c>
      <c r="AA125" s="11">
        <f t="shared" si="379"/>
        <v>1</v>
      </c>
      <c r="AB125" s="11">
        <f t="shared" si="379"/>
        <v>1</v>
      </c>
      <c r="AC125" s="11">
        <f t="shared" si="8"/>
        <v>7</v>
      </c>
      <c r="AD125" s="11">
        <f t="shared" si="9"/>
        <v>1</v>
      </c>
      <c r="AE125" s="11">
        <f t="shared" ref="AE125:AH125" si="380">IF(OR(BD125 = $AO$6, BD125 = $AS$6, BD125 = $AT$6, BD125 = $AU$6), 1, 0)</f>
        <v>1</v>
      </c>
      <c r="AF125" s="11">
        <f t="shared" si="380"/>
        <v>1</v>
      </c>
      <c r="AG125" s="11">
        <f t="shared" si="380"/>
        <v>1</v>
      </c>
      <c r="AH125" s="11">
        <f t="shared" si="380"/>
        <v>1</v>
      </c>
      <c r="AI125" s="11">
        <f t="shared" si="11"/>
        <v>4</v>
      </c>
      <c r="AJ125" s="11">
        <f t="shared" si="12"/>
        <v>12</v>
      </c>
      <c r="AK125" s="12">
        <f t="shared" si="13"/>
        <v>5</v>
      </c>
      <c r="AL125" s="13" t="str">
        <f t="shared" si="14"/>
        <v>excellent</v>
      </c>
      <c r="AM125" s="7"/>
      <c r="AN125" s="7"/>
    </row>
    <row r="126">
      <c r="A126" s="7" t="s">
        <v>293</v>
      </c>
      <c r="B126" s="7" t="s">
        <v>294</v>
      </c>
      <c r="C126" s="8" t="s">
        <v>295</v>
      </c>
      <c r="D126" s="7" t="s">
        <v>4</v>
      </c>
      <c r="E126" s="8" t="b">
        <f t="shared" ref="E126:K126" si="381">IF(IFERROR(SEARCH(E$1, $D126),0) &gt;= 1, TRUE,FALSE)</f>
        <v>1</v>
      </c>
      <c r="F126" s="8" t="b">
        <f t="shared" si="381"/>
        <v>0</v>
      </c>
      <c r="G126" s="8" t="b">
        <f t="shared" si="381"/>
        <v>0</v>
      </c>
      <c r="H126" s="8" t="b">
        <f t="shared" si="381"/>
        <v>0</v>
      </c>
      <c r="I126" s="8" t="b">
        <f t="shared" si="381"/>
        <v>0</v>
      </c>
      <c r="J126" s="8" t="b">
        <f t="shared" si="381"/>
        <v>0</v>
      </c>
      <c r="K126" s="8" t="b">
        <f t="shared" si="381"/>
        <v>0</v>
      </c>
      <c r="L126" s="9" t="b">
        <v>1</v>
      </c>
      <c r="M126" s="9" t="b">
        <v>1</v>
      </c>
      <c r="N126" s="9" t="b">
        <v>1</v>
      </c>
      <c r="O126" s="9" t="b">
        <v>1</v>
      </c>
      <c r="P126" s="7" t="str">
        <f t="shared" si="5"/>
        <v>Abdij van Stavelot</v>
      </c>
      <c r="Q126" s="10">
        <v>11.0</v>
      </c>
      <c r="R126" s="9" t="b">
        <v>0</v>
      </c>
      <c r="S126" s="9" t="b">
        <v>1</v>
      </c>
      <c r="T126" s="10">
        <v>19.0</v>
      </c>
      <c r="U126" s="11">
        <f t="shared" si="6"/>
        <v>0</v>
      </c>
      <c r="V126" s="11">
        <f t="shared" ref="V126:AB126" si="382">IF(OR(AW126 = $AO$4, AW126 = $AQ$4), 1, 0)</f>
        <v>1</v>
      </c>
      <c r="W126" s="11">
        <f t="shared" si="382"/>
        <v>1</v>
      </c>
      <c r="X126" s="11">
        <f t="shared" si="382"/>
        <v>1</v>
      </c>
      <c r="Y126" s="11">
        <f t="shared" si="382"/>
        <v>1</v>
      </c>
      <c r="Z126" s="11">
        <f t="shared" si="382"/>
        <v>1</v>
      </c>
      <c r="AA126" s="11">
        <f t="shared" si="382"/>
        <v>1</v>
      </c>
      <c r="AB126" s="11">
        <f t="shared" si="382"/>
        <v>1</v>
      </c>
      <c r="AC126" s="11">
        <f t="shared" si="8"/>
        <v>7</v>
      </c>
      <c r="AD126" s="11">
        <f t="shared" si="9"/>
        <v>1</v>
      </c>
      <c r="AE126" s="11">
        <f t="shared" ref="AE126:AH126" si="383">IF(OR(BD126 = $AO$6, BD126 = $AS$6, BD126 = $AT$6, BD126 = $AU$6), 1, 0)</f>
        <v>1</v>
      </c>
      <c r="AF126" s="11">
        <f t="shared" si="383"/>
        <v>1</v>
      </c>
      <c r="AG126" s="11">
        <f t="shared" si="383"/>
        <v>1</v>
      </c>
      <c r="AH126" s="11">
        <f t="shared" si="383"/>
        <v>1</v>
      </c>
      <c r="AI126" s="11">
        <f t="shared" si="11"/>
        <v>4</v>
      </c>
      <c r="AJ126" s="11">
        <f t="shared" si="12"/>
        <v>12</v>
      </c>
      <c r="AK126" s="12">
        <f t="shared" si="13"/>
        <v>5</v>
      </c>
      <c r="AL126" s="13" t="str">
        <f t="shared" si="14"/>
        <v>excellent</v>
      </c>
      <c r="AM126" s="7"/>
      <c r="AN126" s="7"/>
    </row>
    <row r="127">
      <c r="A127" s="7" t="s">
        <v>296</v>
      </c>
      <c r="B127" s="7" t="s">
        <v>297</v>
      </c>
      <c r="C127" s="8" t="s">
        <v>295</v>
      </c>
      <c r="D127" s="7" t="s">
        <v>5</v>
      </c>
      <c r="E127" s="8" t="b">
        <f t="shared" ref="E127:K127" si="384">IF(IFERROR(SEARCH(E$1, $D127),0) &gt;= 1, TRUE,FALSE)</f>
        <v>0</v>
      </c>
      <c r="F127" s="8" t="b">
        <f t="shared" si="384"/>
        <v>1</v>
      </c>
      <c r="G127" s="8" t="b">
        <f t="shared" si="384"/>
        <v>0</v>
      </c>
      <c r="H127" s="8" t="b">
        <f t="shared" si="384"/>
        <v>0</v>
      </c>
      <c r="I127" s="8" t="b">
        <f t="shared" si="384"/>
        <v>0</v>
      </c>
      <c r="J127" s="8" t="b">
        <f t="shared" si="384"/>
        <v>0</v>
      </c>
      <c r="K127" s="8" t="b">
        <f t="shared" si="384"/>
        <v>0</v>
      </c>
      <c r="L127" s="9" t="b">
        <v>1</v>
      </c>
      <c r="M127" s="9" t="b">
        <v>1</v>
      </c>
      <c r="N127" s="9" t="b">
        <v>1</v>
      </c>
      <c r="O127" s="9" t="b">
        <v>0</v>
      </c>
      <c r="P127" s="7" t="str">
        <f t="shared" si="5"/>
        <v>Aquarium-Museum van Luik</v>
      </c>
      <c r="Q127" s="10">
        <v>7.5</v>
      </c>
      <c r="R127" s="9" t="b">
        <v>1</v>
      </c>
      <c r="S127" s="9" t="b">
        <v>0</v>
      </c>
      <c r="T127" s="7"/>
      <c r="U127" s="11">
        <f t="shared" si="6"/>
        <v>0</v>
      </c>
      <c r="V127" s="11">
        <f t="shared" ref="V127:AB127" si="385">IF(OR(AW127 = $AO$4, AW127 = $AQ$4), 1, 0)</f>
        <v>1</v>
      </c>
      <c r="W127" s="11">
        <f t="shared" si="385"/>
        <v>1</v>
      </c>
      <c r="X127" s="11">
        <f t="shared" si="385"/>
        <v>1</v>
      </c>
      <c r="Y127" s="11">
        <f t="shared" si="385"/>
        <v>1</v>
      </c>
      <c r="Z127" s="11">
        <f t="shared" si="385"/>
        <v>1</v>
      </c>
      <c r="AA127" s="11">
        <f t="shared" si="385"/>
        <v>1</v>
      </c>
      <c r="AB127" s="11">
        <f t="shared" si="385"/>
        <v>1</v>
      </c>
      <c r="AC127" s="11">
        <f t="shared" si="8"/>
        <v>7</v>
      </c>
      <c r="AD127" s="11">
        <f t="shared" si="9"/>
        <v>1</v>
      </c>
      <c r="AE127" s="11">
        <f t="shared" ref="AE127:AH127" si="386">IF(OR(BD127 = $AO$6, BD127 = $AS$6, BD127 = $AT$6, BD127 = $AU$6), 1, 0)</f>
        <v>1</v>
      </c>
      <c r="AF127" s="11">
        <f t="shared" si="386"/>
        <v>1</v>
      </c>
      <c r="AG127" s="11">
        <f t="shared" si="386"/>
        <v>1</v>
      </c>
      <c r="AH127" s="11">
        <f t="shared" si="386"/>
        <v>1</v>
      </c>
      <c r="AI127" s="11">
        <f t="shared" si="11"/>
        <v>4</v>
      </c>
      <c r="AJ127" s="11">
        <f t="shared" si="12"/>
        <v>12</v>
      </c>
      <c r="AK127" s="12">
        <f t="shared" si="13"/>
        <v>5</v>
      </c>
      <c r="AL127" s="13" t="str">
        <f t="shared" si="14"/>
        <v>excellent</v>
      </c>
      <c r="AM127" s="7"/>
      <c r="AN127" s="7"/>
    </row>
    <row r="128">
      <c r="A128" s="7" t="s">
        <v>298</v>
      </c>
      <c r="B128" s="7" t="s">
        <v>299</v>
      </c>
      <c r="C128" s="8" t="s">
        <v>295</v>
      </c>
      <c r="D128" s="7" t="s">
        <v>4</v>
      </c>
      <c r="E128" s="8" t="b">
        <f t="shared" ref="E128:K128" si="387">IF(IFERROR(SEARCH(E$1, $D128),0) &gt;= 1, TRUE,FALSE)</f>
        <v>1</v>
      </c>
      <c r="F128" s="8" t="b">
        <f t="shared" si="387"/>
        <v>0</v>
      </c>
      <c r="G128" s="8" t="b">
        <f t="shared" si="387"/>
        <v>0</v>
      </c>
      <c r="H128" s="8" t="b">
        <f t="shared" si="387"/>
        <v>0</v>
      </c>
      <c r="I128" s="8" t="b">
        <f t="shared" si="387"/>
        <v>0</v>
      </c>
      <c r="J128" s="8" t="b">
        <f t="shared" si="387"/>
        <v>0</v>
      </c>
      <c r="K128" s="8" t="b">
        <f t="shared" si="387"/>
        <v>0</v>
      </c>
      <c r="L128" s="9" t="b">
        <v>1</v>
      </c>
      <c r="M128" s="9" t="b">
        <v>0</v>
      </c>
      <c r="N128" s="9" t="b">
        <v>0</v>
      </c>
      <c r="O128" s="9" t="b">
        <v>0</v>
      </c>
      <c r="P128" s="7" t="str">
        <f t="shared" si="5"/>
        <v>Archeoforum van Luik</v>
      </c>
      <c r="Q128" s="10">
        <v>6.0</v>
      </c>
      <c r="R128" s="9" t="b">
        <v>0</v>
      </c>
      <c r="S128" s="9" t="b">
        <v>0</v>
      </c>
      <c r="T128" s="7"/>
      <c r="U128" s="11">
        <f t="shared" si="6"/>
        <v>0</v>
      </c>
      <c r="V128" s="11">
        <f t="shared" ref="V128:AB128" si="388">IF(OR(AW128 = $AO$4, AW128 = $AQ$4), 1, 0)</f>
        <v>1</v>
      </c>
      <c r="W128" s="11">
        <f t="shared" si="388"/>
        <v>1</v>
      </c>
      <c r="X128" s="11">
        <f t="shared" si="388"/>
        <v>1</v>
      </c>
      <c r="Y128" s="11">
        <f t="shared" si="388"/>
        <v>1</v>
      </c>
      <c r="Z128" s="11">
        <f t="shared" si="388"/>
        <v>1</v>
      </c>
      <c r="AA128" s="11">
        <f t="shared" si="388"/>
        <v>1</v>
      </c>
      <c r="AB128" s="11">
        <f t="shared" si="388"/>
        <v>1</v>
      </c>
      <c r="AC128" s="11">
        <f t="shared" si="8"/>
        <v>7</v>
      </c>
      <c r="AD128" s="11">
        <f t="shared" si="9"/>
        <v>1</v>
      </c>
      <c r="AE128" s="11">
        <f t="shared" ref="AE128:AH128" si="389">IF(OR(BD128 = $AO$6, BD128 = $AS$6, BD128 = $AT$6, BD128 = $AU$6), 1, 0)</f>
        <v>1</v>
      </c>
      <c r="AF128" s="11">
        <f t="shared" si="389"/>
        <v>1</v>
      </c>
      <c r="AG128" s="11">
        <f t="shared" si="389"/>
        <v>1</v>
      </c>
      <c r="AH128" s="11">
        <f t="shared" si="389"/>
        <v>1</v>
      </c>
      <c r="AI128" s="11">
        <f t="shared" si="11"/>
        <v>4</v>
      </c>
      <c r="AJ128" s="11">
        <f t="shared" si="12"/>
        <v>12</v>
      </c>
      <c r="AK128" s="12">
        <f t="shared" si="13"/>
        <v>5</v>
      </c>
      <c r="AL128" s="13" t="str">
        <f t="shared" si="14"/>
        <v>excellent</v>
      </c>
      <c r="AM128" s="7"/>
      <c r="AN128" s="7"/>
    </row>
    <row r="129">
      <c r="A129" s="7"/>
      <c r="B129" s="7" t="s">
        <v>300</v>
      </c>
      <c r="C129" s="8" t="s">
        <v>295</v>
      </c>
      <c r="D129" s="7" t="s">
        <v>102</v>
      </c>
      <c r="E129" s="8" t="b">
        <f t="shared" ref="E129:K129" si="390">IF(IFERROR(SEARCH(E$1, $D129),0) &gt;= 1, TRUE,FALSE)</f>
        <v>1</v>
      </c>
      <c r="F129" s="8" t="b">
        <f t="shared" si="390"/>
        <v>0</v>
      </c>
      <c r="G129" s="8" t="b">
        <f t="shared" si="390"/>
        <v>0</v>
      </c>
      <c r="H129" s="8" t="b">
        <f t="shared" si="390"/>
        <v>0</v>
      </c>
      <c r="I129" s="8" t="b">
        <f t="shared" si="390"/>
        <v>0</v>
      </c>
      <c r="J129" s="8" t="b">
        <f t="shared" si="390"/>
        <v>1</v>
      </c>
      <c r="K129" s="8" t="b">
        <f t="shared" si="390"/>
        <v>0</v>
      </c>
      <c r="L129" s="9" t="b">
        <v>0</v>
      </c>
      <c r="M129" s="9" t="b">
        <v>1</v>
      </c>
      <c r="N129" s="9" t="b">
        <v>0</v>
      </c>
      <c r="O129" s="9" t="b">
        <v>1</v>
      </c>
      <c r="P129" s="7" t="str">
        <f t="shared" si="5"/>
        <v>ArtHouse</v>
      </c>
      <c r="Q129" s="10">
        <v>4.0</v>
      </c>
      <c r="R129" s="9" t="b">
        <v>0</v>
      </c>
      <c r="S129" s="9" t="b">
        <v>0</v>
      </c>
      <c r="T129" s="7"/>
      <c r="U129" s="11">
        <f t="shared" si="6"/>
        <v>0</v>
      </c>
      <c r="V129" s="11">
        <f t="shared" ref="V129:AB129" si="391">IF(OR(AW129 = $AO$4, AW129 = $AQ$4), 1, 0)</f>
        <v>1</v>
      </c>
      <c r="W129" s="11">
        <f t="shared" si="391"/>
        <v>1</v>
      </c>
      <c r="X129" s="11">
        <f t="shared" si="391"/>
        <v>1</v>
      </c>
      <c r="Y129" s="11">
        <f t="shared" si="391"/>
        <v>1</v>
      </c>
      <c r="Z129" s="11">
        <f t="shared" si="391"/>
        <v>1</v>
      </c>
      <c r="AA129" s="11">
        <f t="shared" si="391"/>
        <v>1</v>
      </c>
      <c r="AB129" s="11">
        <f t="shared" si="391"/>
        <v>1</v>
      </c>
      <c r="AC129" s="11">
        <f t="shared" si="8"/>
        <v>7</v>
      </c>
      <c r="AD129" s="11">
        <f t="shared" si="9"/>
        <v>1</v>
      </c>
      <c r="AE129" s="11">
        <f t="shared" ref="AE129:AH129" si="392">IF(OR(BD129 = $AO$6, BD129 = $AS$6, BD129 = $AT$6, BD129 = $AU$6), 1, 0)</f>
        <v>1</v>
      </c>
      <c r="AF129" s="11">
        <f t="shared" si="392"/>
        <v>1</v>
      </c>
      <c r="AG129" s="11">
        <f t="shared" si="392"/>
        <v>1</v>
      </c>
      <c r="AH129" s="11">
        <f t="shared" si="392"/>
        <v>1</v>
      </c>
      <c r="AI129" s="11">
        <f t="shared" si="11"/>
        <v>4</v>
      </c>
      <c r="AJ129" s="11">
        <f t="shared" si="12"/>
        <v>12</v>
      </c>
      <c r="AK129" s="12">
        <f t="shared" si="13"/>
        <v>5</v>
      </c>
      <c r="AL129" s="13" t="str">
        <f t="shared" si="14"/>
        <v>excellent</v>
      </c>
      <c r="AM129" s="7"/>
      <c r="AN129" s="7"/>
    </row>
    <row r="130">
      <c r="A130" s="7" t="s">
        <v>301</v>
      </c>
      <c r="B130" s="7" t="s">
        <v>302</v>
      </c>
      <c r="C130" s="8" t="s">
        <v>295</v>
      </c>
      <c r="D130" s="7" t="s">
        <v>9</v>
      </c>
      <c r="E130" s="8" t="b">
        <f t="shared" ref="E130:K130" si="393">IF(IFERROR(SEARCH(E$1, $D130),0) &gt;= 1, TRUE,FALSE)</f>
        <v>0</v>
      </c>
      <c r="F130" s="8" t="b">
        <f t="shared" si="393"/>
        <v>0</v>
      </c>
      <c r="G130" s="8" t="b">
        <f t="shared" si="393"/>
        <v>0</v>
      </c>
      <c r="H130" s="8" t="b">
        <f t="shared" si="393"/>
        <v>0</v>
      </c>
      <c r="I130" s="8" t="b">
        <f t="shared" si="393"/>
        <v>0</v>
      </c>
      <c r="J130" s="8" t="b">
        <f t="shared" si="393"/>
        <v>1</v>
      </c>
      <c r="K130" s="8" t="b">
        <f t="shared" si="393"/>
        <v>0</v>
      </c>
      <c r="L130" s="9" t="b">
        <v>1</v>
      </c>
      <c r="M130" s="9" t="b">
        <v>1</v>
      </c>
      <c r="N130" s="9" t="b">
        <v>0</v>
      </c>
      <c r="O130" s="9" t="b">
        <v>1</v>
      </c>
      <c r="P130" s="7" t="str">
        <f t="shared" si="5"/>
        <v>Museum voor Hedendaagse Kunst</v>
      </c>
      <c r="Q130" s="10">
        <v>6.0</v>
      </c>
      <c r="R130" s="9" t="b">
        <v>0</v>
      </c>
      <c r="S130" s="9" t="b">
        <v>1</v>
      </c>
      <c r="T130" s="10">
        <v>6.0</v>
      </c>
      <c r="U130" s="11">
        <f t="shared" si="6"/>
        <v>0</v>
      </c>
      <c r="V130" s="11">
        <f t="shared" ref="V130:AB130" si="394">IF(OR(AW130 = $AO$4, AW130 = $AQ$4), 1, 0)</f>
        <v>1</v>
      </c>
      <c r="W130" s="11">
        <f t="shared" si="394"/>
        <v>1</v>
      </c>
      <c r="X130" s="11">
        <f t="shared" si="394"/>
        <v>1</v>
      </c>
      <c r="Y130" s="11">
        <f t="shared" si="394"/>
        <v>1</v>
      </c>
      <c r="Z130" s="11">
        <f t="shared" si="394"/>
        <v>1</v>
      </c>
      <c r="AA130" s="11">
        <f t="shared" si="394"/>
        <v>1</v>
      </c>
      <c r="AB130" s="11">
        <f t="shared" si="394"/>
        <v>1</v>
      </c>
      <c r="AC130" s="11">
        <f t="shared" si="8"/>
        <v>7</v>
      </c>
      <c r="AD130" s="11">
        <f t="shared" si="9"/>
        <v>1</v>
      </c>
      <c r="AE130" s="11">
        <f t="shared" ref="AE130:AH130" si="395">IF(OR(BD130 = $AO$6, BD130 = $AS$6, BD130 = $AT$6, BD130 = $AU$6), 1, 0)</f>
        <v>1</v>
      </c>
      <c r="AF130" s="11">
        <f t="shared" si="395"/>
        <v>1</v>
      </c>
      <c r="AG130" s="11">
        <f t="shared" si="395"/>
        <v>1</v>
      </c>
      <c r="AH130" s="11">
        <f t="shared" si="395"/>
        <v>1</v>
      </c>
      <c r="AI130" s="11">
        <f t="shared" si="11"/>
        <v>4</v>
      </c>
      <c r="AJ130" s="11">
        <f t="shared" si="12"/>
        <v>12</v>
      </c>
      <c r="AK130" s="12">
        <f t="shared" si="13"/>
        <v>5</v>
      </c>
      <c r="AL130" s="13" t="str">
        <f t="shared" si="14"/>
        <v>excellent</v>
      </c>
      <c r="AM130" s="7"/>
      <c r="AN130" s="7"/>
    </row>
    <row r="131">
      <c r="A131" s="7"/>
      <c r="B131" s="7" t="s">
        <v>303</v>
      </c>
      <c r="C131" s="8" t="s">
        <v>295</v>
      </c>
      <c r="D131" s="7" t="s">
        <v>102</v>
      </c>
      <c r="E131" s="8" t="b">
        <f t="shared" ref="E131:K131" si="396">IF(IFERROR(SEARCH(E$1, $D131),0) &gt;= 1, TRUE,FALSE)</f>
        <v>1</v>
      </c>
      <c r="F131" s="8" t="b">
        <f t="shared" si="396"/>
        <v>0</v>
      </c>
      <c r="G131" s="8" t="b">
        <f t="shared" si="396"/>
        <v>0</v>
      </c>
      <c r="H131" s="8" t="b">
        <f t="shared" si="396"/>
        <v>0</v>
      </c>
      <c r="I131" s="8" t="b">
        <f t="shared" si="396"/>
        <v>0</v>
      </c>
      <c r="J131" s="8" t="b">
        <f t="shared" si="396"/>
        <v>1</v>
      </c>
      <c r="K131" s="8" t="b">
        <f t="shared" si="396"/>
        <v>0</v>
      </c>
      <c r="L131" s="9" t="b">
        <v>1</v>
      </c>
      <c r="M131" s="9" t="b">
        <v>0</v>
      </c>
      <c r="N131" s="9" t="b">
        <v>0</v>
      </c>
      <c r="O131" s="9" t="b">
        <v>1</v>
      </c>
      <c r="P131" s="7" t="str">
        <f t="shared" si="5"/>
        <v>La Boverie</v>
      </c>
      <c r="Q131" s="10">
        <v>5.0</v>
      </c>
      <c r="R131" s="9" t="b">
        <v>0</v>
      </c>
      <c r="S131" s="9" t="b">
        <v>0</v>
      </c>
      <c r="T131" s="7"/>
      <c r="U131" s="11">
        <f t="shared" si="6"/>
        <v>0</v>
      </c>
      <c r="V131" s="11">
        <f t="shared" ref="V131:AB131" si="397">IF(OR(AW131 = $AO$4, AW131 = $AQ$4), 1, 0)</f>
        <v>1</v>
      </c>
      <c r="W131" s="11">
        <f t="shared" si="397"/>
        <v>1</v>
      </c>
      <c r="X131" s="11">
        <f t="shared" si="397"/>
        <v>1</v>
      </c>
      <c r="Y131" s="11">
        <f t="shared" si="397"/>
        <v>1</v>
      </c>
      <c r="Z131" s="11">
        <f t="shared" si="397"/>
        <v>1</v>
      </c>
      <c r="AA131" s="11">
        <f t="shared" si="397"/>
        <v>1</v>
      </c>
      <c r="AB131" s="11">
        <f t="shared" si="397"/>
        <v>1</v>
      </c>
      <c r="AC131" s="11">
        <f t="shared" si="8"/>
        <v>7</v>
      </c>
      <c r="AD131" s="11">
        <f t="shared" si="9"/>
        <v>1</v>
      </c>
      <c r="AE131" s="11">
        <f t="shared" ref="AE131:AH131" si="398">IF(OR(BD131 = $AO$6, BD131 = $AS$6, BD131 = $AT$6, BD131 = $AU$6), 1, 0)</f>
        <v>1</v>
      </c>
      <c r="AF131" s="11">
        <f t="shared" si="398"/>
        <v>1</v>
      </c>
      <c r="AG131" s="11">
        <f t="shared" si="398"/>
        <v>1</v>
      </c>
      <c r="AH131" s="11">
        <f t="shared" si="398"/>
        <v>1</v>
      </c>
      <c r="AI131" s="11">
        <f t="shared" si="11"/>
        <v>4</v>
      </c>
      <c r="AJ131" s="11">
        <f t="shared" si="12"/>
        <v>12</v>
      </c>
      <c r="AK131" s="12">
        <f t="shared" si="13"/>
        <v>5</v>
      </c>
      <c r="AL131" s="13" t="str">
        <f t="shared" si="14"/>
        <v>excellent</v>
      </c>
      <c r="AM131" s="7"/>
      <c r="AN131" s="7"/>
    </row>
    <row r="132">
      <c r="A132" s="7"/>
      <c r="B132" s="7" t="s">
        <v>304</v>
      </c>
      <c r="C132" s="8" t="s">
        <v>295</v>
      </c>
      <c r="D132" s="7" t="s">
        <v>102</v>
      </c>
      <c r="E132" s="8" t="b">
        <f t="shared" ref="E132:K132" si="399">IF(IFERROR(SEARCH(E$1, $D132),0) &gt;= 1, TRUE,FALSE)</f>
        <v>1</v>
      </c>
      <c r="F132" s="8" t="b">
        <f t="shared" si="399"/>
        <v>0</v>
      </c>
      <c r="G132" s="8" t="b">
        <f t="shared" si="399"/>
        <v>0</v>
      </c>
      <c r="H132" s="8" t="b">
        <f t="shared" si="399"/>
        <v>0</v>
      </c>
      <c r="I132" s="8" t="b">
        <f t="shared" si="399"/>
        <v>0</v>
      </c>
      <c r="J132" s="8" t="b">
        <f t="shared" si="399"/>
        <v>1</v>
      </c>
      <c r="K132" s="8" t="b">
        <f t="shared" si="399"/>
        <v>0</v>
      </c>
      <c r="L132" s="9" t="b">
        <v>1</v>
      </c>
      <c r="M132" s="9" t="b">
        <v>0</v>
      </c>
      <c r="N132" s="9" t="b">
        <v>0</v>
      </c>
      <c r="O132" s="9" t="b">
        <v>1</v>
      </c>
      <c r="P132" s="7" t="str">
        <f t="shared" si="5"/>
        <v>Le Grand Curtius</v>
      </c>
      <c r="Q132" s="10">
        <v>9.0</v>
      </c>
      <c r="R132" s="9" t="b">
        <v>0</v>
      </c>
      <c r="S132" s="9" t="b">
        <v>0</v>
      </c>
      <c r="T132" s="7"/>
      <c r="U132" s="11">
        <f t="shared" si="6"/>
        <v>0</v>
      </c>
      <c r="V132" s="11">
        <f t="shared" ref="V132:AB132" si="400">IF(OR(AW132 = $AO$4, AW132 = $AQ$4), 1, 0)</f>
        <v>1</v>
      </c>
      <c r="W132" s="11">
        <f t="shared" si="400"/>
        <v>1</v>
      </c>
      <c r="X132" s="11">
        <f t="shared" si="400"/>
        <v>1</v>
      </c>
      <c r="Y132" s="11">
        <f t="shared" si="400"/>
        <v>1</v>
      </c>
      <c r="Z132" s="11">
        <f t="shared" si="400"/>
        <v>1</v>
      </c>
      <c r="AA132" s="11">
        <f t="shared" si="400"/>
        <v>1</v>
      </c>
      <c r="AB132" s="11">
        <f t="shared" si="400"/>
        <v>1</v>
      </c>
      <c r="AC132" s="11">
        <f t="shared" si="8"/>
        <v>7</v>
      </c>
      <c r="AD132" s="11">
        <f t="shared" si="9"/>
        <v>1</v>
      </c>
      <c r="AE132" s="11">
        <f t="shared" ref="AE132:AH132" si="401">IF(OR(BD132 = $AO$6, BD132 = $AS$6, BD132 = $AT$6, BD132 = $AU$6), 1, 0)</f>
        <v>1</v>
      </c>
      <c r="AF132" s="11">
        <f t="shared" si="401"/>
        <v>1</v>
      </c>
      <c r="AG132" s="11">
        <f t="shared" si="401"/>
        <v>1</v>
      </c>
      <c r="AH132" s="11">
        <f t="shared" si="401"/>
        <v>1</v>
      </c>
      <c r="AI132" s="11">
        <f t="shared" si="11"/>
        <v>4</v>
      </c>
      <c r="AJ132" s="11">
        <f t="shared" si="12"/>
        <v>12</v>
      </c>
      <c r="AK132" s="12">
        <f t="shared" si="13"/>
        <v>5</v>
      </c>
      <c r="AL132" s="13" t="str">
        <f t="shared" si="14"/>
        <v>excellent</v>
      </c>
      <c r="AM132" s="7"/>
      <c r="AN132" s="7"/>
    </row>
    <row r="133">
      <c r="A133" s="7" t="s">
        <v>305</v>
      </c>
      <c r="B133" s="7" t="s">
        <v>306</v>
      </c>
      <c r="C133" s="8" t="s">
        <v>295</v>
      </c>
      <c r="D133" s="7" t="s">
        <v>5</v>
      </c>
      <c r="E133" s="8" t="b">
        <f t="shared" ref="E133:K133" si="402">IF(IFERROR(SEARCH(E$1, $D133),0) &gt;= 1, TRUE,FALSE)</f>
        <v>0</v>
      </c>
      <c r="F133" s="8" t="b">
        <f t="shared" si="402"/>
        <v>1</v>
      </c>
      <c r="G133" s="8" t="b">
        <f t="shared" si="402"/>
        <v>0</v>
      </c>
      <c r="H133" s="8" t="b">
        <f t="shared" si="402"/>
        <v>0</v>
      </c>
      <c r="I133" s="8" t="b">
        <f t="shared" si="402"/>
        <v>0</v>
      </c>
      <c r="J133" s="8" t="b">
        <f t="shared" si="402"/>
        <v>0</v>
      </c>
      <c r="K133" s="8" t="b">
        <f t="shared" si="402"/>
        <v>0</v>
      </c>
      <c r="L133" s="9" t="b">
        <v>1</v>
      </c>
      <c r="M133" s="9" t="b">
        <v>1</v>
      </c>
      <c r="N133" s="9" t="b">
        <v>0</v>
      </c>
      <c r="O133" s="9" t="b">
        <v>0</v>
      </c>
      <c r="P133" s="7" t="str">
        <f t="shared" si="5"/>
        <v>Bos en Watermuseum “P. Noé”</v>
      </c>
      <c r="Q133" s="10">
        <v>7.0</v>
      </c>
      <c r="R133" s="9" t="b">
        <v>0</v>
      </c>
      <c r="S133" s="9" t="b">
        <v>0</v>
      </c>
      <c r="T133" s="7"/>
      <c r="U133" s="11">
        <f t="shared" si="6"/>
        <v>0</v>
      </c>
      <c r="V133" s="11">
        <f t="shared" ref="V133:AB133" si="403">IF(OR(AW133 = $AO$4, AW133 = $AQ$4), 1, 0)</f>
        <v>1</v>
      </c>
      <c r="W133" s="11">
        <f t="shared" si="403"/>
        <v>1</v>
      </c>
      <c r="X133" s="11">
        <f t="shared" si="403"/>
        <v>1</v>
      </c>
      <c r="Y133" s="11">
        <f t="shared" si="403"/>
        <v>1</v>
      </c>
      <c r="Z133" s="11">
        <f t="shared" si="403"/>
        <v>1</v>
      </c>
      <c r="AA133" s="11">
        <f t="shared" si="403"/>
        <v>1</v>
      </c>
      <c r="AB133" s="11">
        <f t="shared" si="403"/>
        <v>1</v>
      </c>
      <c r="AC133" s="11">
        <f t="shared" si="8"/>
        <v>7</v>
      </c>
      <c r="AD133" s="11">
        <f t="shared" si="9"/>
        <v>1</v>
      </c>
      <c r="AE133" s="11">
        <f t="shared" ref="AE133:AH133" si="404">IF(OR(BD133 = $AO$6, BD133 = $AS$6, BD133 = $AT$6, BD133 = $AU$6), 1, 0)</f>
        <v>1</v>
      </c>
      <c r="AF133" s="11">
        <f t="shared" si="404"/>
        <v>1</v>
      </c>
      <c r="AG133" s="11">
        <f t="shared" si="404"/>
        <v>1</v>
      </c>
      <c r="AH133" s="11">
        <f t="shared" si="404"/>
        <v>1</v>
      </c>
      <c r="AI133" s="11">
        <f t="shared" si="11"/>
        <v>4</v>
      </c>
      <c r="AJ133" s="11">
        <f t="shared" si="12"/>
        <v>12</v>
      </c>
      <c r="AK133" s="12">
        <f t="shared" si="13"/>
        <v>5</v>
      </c>
      <c r="AL133" s="13" t="str">
        <f t="shared" si="14"/>
        <v>excellent</v>
      </c>
      <c r="AM133" s="7"/>
      <c r="AN133" s="7"/>
    </row>
    <row r="134">
      <c r="A134" s="7" t="s">
        <v>307</v>
      </c>
      <c r="B134" s="7" t="s">
        <v>308</v>
      </c>
      <c r="C134" s="8" t="s">
        <v>295</v>
      </c>
      <c r="D134" s="7" t="s">
        <v>114</v>
      </c>
      <c r="E134" s="8" t="b">
        <f t="shared" ref="E134:K134" si="405">IF(IFERROR(SEARCH(E$1, $D134),0) &gt;= 1, TRUE,FALSE)</f>
        <v>1</v>
      </c>
      <c r="F134" s="8" t="b">
        <f t="shared" si="405"/>
        <v>1</v>
      </c>
      <c r="G134" s="8" t="b">
        <f t="shared" si="405"/>
        <v>0</v>
      </c>
      <c r="H134" s="8" t="b">
        <f t="shared" si="405"/>
        <v>0</v>
      </c>
      <c r="I134" s="8" t="b">
        <f t="shared" si="405"/>
        <v>0</v>
      </c>
      <c r="J134" s="8" t="b">
        <f t="shared" si="405"/>
        <v>0</v>
      </c>
      <c r="K134" s="8" t="b">
        <f t="shared" si="405"/>
        <v>0</v>
      </c>
      <c r="L134" s="9" t="b">
        <v>1</v>
      </c>
      <c r="M134" s="9" t="b">
        <v>1</v>
      </c>
      <c r="N134" s="9" t="b">
        <v>0</v>
      </c>
      <c r="O134" s="9" t="b">
        <v>0</v>
      </c>
      <c r="P134" s="7" t="str">
        <f t="shared" si="5"/>
        <v>Museum van de wastechniek</v>
      </c>
      <c r="Q134" s="10">
        <v>4.0</v>
      </c>
      <c r="R134" s="9" t="b">
        <v>0</v>
      </c>
      <c r="S134" s="9" t="b">
        <v>0</v>
      </c>
      <c r="T134" s="7"/>
      <c r="U134" s="11">
        <f t="shared" si="6"/>
        <v>0</v>
      </c>
      <c r="V134" s="11">
        <f t="shared" ref="V134:AB134" si="406">IF(OR(AW134 = $AO$4, AW134 = $AQ$4), 1, 0)</f>
        <v>1</v>
      </c>
      <c r="W134" s="11">
        <f t="shared" si="406"/>
        <v>1</v>
      </c>
      <c r="X134" s="11">
        <f t="shared" si="406"/>
        <v>1</v>
      </c>
      <c r="Y134" s="11">
        <f t="shared" si="406"/>
        <v>1</v>
      </c>
      <c r="Z134" s="11">
        <f t="shared" si="406"/>
        <v>1</v>
      </c>
      <c r="AA134" s="11">
        <f t="shared" si="406"/>
        <v>1</v>
      </c>
      <c r="AB134" s="11">
        <f t="shared" si="406"/>
        <v>1</v>
      </c>
      <c r="AC134" s="11">
        <f t="shared" si="8"/>
        <v>7</v>
      </c>
      <c r="AD134" s="11">
        <f t="shared" si="9"/>
        <v>1</v>
      </c>
      <c r="AE134" s="11">
        <f t="shared" ref="AE134:AH134" si="407">IF(OR(BD134 = $AO$6, BD134 = $AS$6, BD134 = $AT$6, BD134 = $AU$6), 1, 0)</f>
        <v>1</v>
      </c>
      <c r="AF134" s="11">
        <f t="shared" si="407"/>
        <v>1</v>
      </c>
      <c r="AG134" s="11">
        <f t="shared" si="407"/>
        <v>1</v>
      </c>
      <c r="AH134" s="11">
        <f t="shared" si="407"/>
        <v>1</v>
      </c>
      <c r="AI134" s="11">
        <f t="shared" si="11"/>
        <v>4</v>
      </c>
      <c r="AJ134" s="11">
        <f t="shared" si="12"/>
        <v>12</v>
      </c>
      <c r="AK134" s="12">
        <f t="shared" si="13"/>
        <v>5</v>
      </c>
      <c r="AL134" s="13" t="str">
        <f t="shared" si="14"/>
        <v>excellent</v>
      </c>
      <c r="AM134" s="7"/>
      <c r="AN134" s="7"/>
    </row>
    <row r="135">
      <c r="A135" s="7" t="s">
        <v>309</v>
      </c>
      <c r="B135" s="7" t="s">
        <v>310</v>
      </c>
      <c r="C135" s="8" t="s">
        <v>295</v>
      </c>
      <c r="D135" s="7" t="s">
        <v>114</v>
      </c>
      <c r="E135" s="8" t="b">
        <f t="shared" ref="E135:K135" si="408">IF(IFERROR(SEARCH(E$1, $D135),0) &gt;= 1, TRUE,FALSE)</f>
        <v>1</v>
      </c>
      <c r="F135" s="8" t="b">
        <f t="shared" si="408"/>
        <v>1</v>
      </c>
      <c r="G135" s="8" t="b">
        <f t="shared" si="408"/>
        <v>0</v>
      </c>
      <c r="H135" s="8" t="b">
        <f t="shared" si="408"/>
        <v>0</v>
      </c>
      <c r="I135" s="8" t="b">
        <f t="shared" si="408"/>
        <v>0</v>
      </c>
      <c r="J135" s="8" t="b">
        <f t="shared" si="408"/>
        <v>0</v>
      </c>
      <c r="K135" s="8" t="b">
        <f t="shared" si="408"/>
        <v>0</v>
      </c>
      <c r="L135" s="9" t="b">
        <v>1</v>
      </c>
      <c r="M135" s="9" t="b">
        <v>0</v>
      </c>
      <c r="N135" s="9" t="b">
        <v>0</v>
      </c>
      <c r="O135" s="9" t="b">
        <v>1</v>
      </c>
      <c r="P135" s="7" t="str">
        <f t="shared" si="5"/>
        <v>Huis van de Metallurgie en Industrie van Luik</v>
      </c>
      <c r="Q135" s="10">
        <v>5.0</v>
      </c>
      <c r="R135" s="9" t="b">
        <v>0</v>
      </c>
      <c r="S135" s="9" t="b">
        <v>0</v>
      </c>
      <c r="T135" s="7"/>
      <c r="U135" s="11">
        <f t="shared" si="6"/>
        <v>0</v>
      </c>
      <c r="V135" s="11">
        <f t="shared" ref="V135:AB135" si="409">IF(OR(AW135 = $AO$4, AW135 = $AQ$4), 1, 0)</f>
        <v>1</v>
      </c>
      <c r="W135" s="11">
        <f t="shared" si="409"/>
        <v>1</v>
      </c>
      <c r="X135" s="11">
        <f t="shared" si="409"/>
        <v>1</v>
      </c>
      <c r="Y135" s="11">
        <f t="shared" si="409"/>
        <v>1</v>
      </c>
      <c r="Z135" s="11">
        <f t="shared" si="409"/>
        <v>1</v>
      </c>
      <c r="AA135" s="11">
        <f t="shared" si="409"/>
        <v>1</v>
      </c>
      <c r="AB135" s="11">
        <f t="shared" si="409"/>
        <v>1</v>
      </c>
      <c r="AC135" s="11">
        <f t="shared" si="8"/>
        <v>7</v>
      </c>
      <c r="AD135" s="11">
        <f t="shared" si="9"/>
        <v>1</v>
      </c>
      <c r="AE135" s="11">
        <f t="shared" ref="AE135:AH135" si="410">IF(OR(BD135 = $AO$6, BD135 = $AS$6, BD135 = $AT$6, BD135 = $AU$6), 1, 0)</f>
        <v>1</v>
      </c>
      <c r="AF135" s="11">
        <f t="shared" si="410"/>
        <v>1</v>
      </c>
      <c r="AG135" s="11">
        <f t="shared" si="410"/>
        <v>1</v>
      </c>
      <c r="AH135" s="11">
        <f t="shared" si="410"/>
        <v>1</v>
      </c>
      <c r="AI135" s="11">
        <f t="shared" si="11"/>
        <v>4</v>
      </c>
      <c r="AJ135" s="11">
        <f t="shared" si="12"/>
        <v>12</v>
      </c>
      <c r="AK135" s="12">
        <f t="shared" si="13"/>
        <v>5</v>
      </c>
      <c r="AL135" s="13" t="str">
        <f t="shared" si="14"/>
        <v>excellent</v>
      </c>
      <c r="AM135" s="7"/>
      <c r="AN135" s="7"/>
    </row>
    <row r="136">
      <c r="A136" s="7" t="s">
        <v>311</v>
      </c>
      <c r="B136" s="7" t="s">
        <v>312</v>
      </c>
      <c r="C136" s="8" t="s">
        <v>295</v>
      </c>
      <c r="D136" s="7" t="s">
        <v>102</v>
      </c>
      <c r="E136" s="8" t="b">
        <f t="shared" ref="E136:K136" si="411">IF(IFERROR(SEARCH(E$1, $D136),0) &gt;= 1, TRUE,FALSE)</f>
        <v>1</v>
      </c>
      <c r="F136" s="8" t="b">
        <f t="shared" si="411"/>
        <v>0</v>
      </c>
      <c r="G136" s="8" t="b">
        <f t="shared" si="411"/>
        <v>0</v>
      </c>
      <c r="H136" s="8" t="b">
        <f t="shared" si="411"/>
        <v>0</v>
      </c>
      <c r="I136" s="8" t="b">
        <f t="shared" si="411"/>
        <v>0</v>
      </c>
      <c r="J136" s="8" t="b">
        <f t="shared" si="411"/>
        <v>1</v>
      </c>
      <c r="K136" s="8" t="b">
        <f t="shared" si="411"/>
        <v>0</v>
      </c>
      <c r="L136" s="9" t="b">
        <v>1</v>
      </c>
      <c r="M136" s="9" t="b">
        <v>1</v>
      </c>
      <c r="N136" s="9" t="b">
        <v>0</v>
      </c>
      <c r="O136" s="9" t="b">
        <v>0</v>
      </c>
      <c r="P136" s="7" t="str">
        <f t="shared" si="5"/>
        <v>Pottenbakkerijmuseum Raeren</v>
      </c>
      <c r="Q136" s="10">
        <v>5.0</v>
      </c>
      <c r="R136" s="9" t="b">
        <v>0</v>
      </c>
      <c r="S136" s="9" t="b">
        <v>0</v>
      </c>
      <c r="T136" s="7"/>
      <c r="U136" s="11">
        <f t="shared" si="6"/>
        <v>0</v>
      </c>
      <c r="V136" s="11">
        <f t="shared" ref="V136:AB136" si="412">IF(OR(AW136 = $AO$4, AW136 = $AQ$4), 1, 0)</f>
        <v>1</v>
      </c>
      <c r="W136" s="11">
        <f t="shared" si="412"/>
        <v>1</v>
      </c>
      <c r="X136" s="11">
        <f t="shared" si="412"/>
        <v>1</v>
      </c>
      <c r="Y136" s="11">
        <f t="shared" si="412"/>
        <v>1</v>
      </c>
      <c r="Z136" s="11">
        <f t="shared" si="412"/>
        <v>1</v>
      </c>
      <c r="AA136" s="11">
        <f t="shared" si="412"/>
        <v>1</v>
      </c>
      <c r="AB136" s="11">
        <f t="shared" si="412"/>
        <v>1</v>
      </c>
      <c r="AC136" s="11">
        <f t="shared" si="8"/>
        <v>7</v>
      </c>
      <c r="AD136" s="11">
        <f t="shared" si="9"/>
        <v>1</v>
      </c>
      <c r="AE136" s="11">
        <f t="shared" ref="AE136:AH136" si="413">IF(OR(BD136 = $AO$6, BD136 = $AS$6, BD136 = $AT$6, BD136 = $AU$6), 1, 0)</f>
        <v>1</v>
      </c>
      <c r="AF136" s="11">
        <f t="shared" si="413"/>
        <v>1</v>
      </c>
      <c r="AG136" s="11">
        <f t="shared" si="413"/>
        <v>1</v>
      </c>
      <c r="AH136" s="11">
        <f t="shared" si="413"/>
        <v>1</v>
      </c>
      <c r="AI136" s="11">
        <f t="shared" si="11"/>
        <v>4</v>
      </c>
      <c r="AJ136" s="11">
        <f t="shared" si="12"/>
        <v>12</v>
      </c>
      <c r="AK136" s="12">
        <f t="shared" si="13"/>
        <v>5</v>
      </c>
      <c r="AL136" s="13" t="str">
        <f t="shared" si="14"/>
        <v>excellent</v>
      </c>
      <c r="AM136" s="7"/>
      <c r="AN136" s="7"/>
    </row>
    <row r="137">
      <c r="A137" s="7" t="s">
        <v>313</v>
      </c>
      <c r="B137" s="7" t="s">
        <v>314</v>
      </c>
      <c r="C137" s="8" t="s">
        <v>295</v>
      </c>
      <c r="D137" s="7" t="s">
        <v>4</v>
      </c>
      <c r="E137" s="8" t="b">
        <f t="shared" ref="E137:K137" si="414">IF(IFERROR(SEARCH(E$1, $D137),0) &gt;= 1, TRUE,FALSE)</f>
        <v>1</v>
      </c>
      <c r="F137" s="8" t="b">
        <f t="shared" si="414"/>
        <v>0</v>
      </c>
      <c r="G137" s="8" t="b">
        <f t="shared" si="414"/>
        <v>0</v>
      </c>
      <c r="H137" s="8" t="b">
        <f t="shared" si="414"/>
        <v>0</v>
      </c>
      <c r="I137" s="8" t="b">
        <f t="shared" si="414"/>
        <v>0</v>
      </c>
      <c r="J137" s="8" t="b">
        <f t="shared" si="414"/>
        <v>0</v>
      </c>
      <c r="K137" s="8" t="b">
        <f t="shared" si="414"/>
        <v>0</v>
      </c>
      <c r="L137" s="9" t="b">
        <v>1</v>
      </c>
      <c r="M137" s="9" t="b">
        <v>0</v>
      </c>
      <c r="N137" s="9" t="b">
        <v>1</v>
      </c>
      <c r="O137" s="9" t="b">
        <v>1</v>
      </c>
      <c r="P137" s="7" t="str">
        <f t="shared" si="5"/>
        <v>Museum van het Waalse Leven</v>
      </c>
      <c r="Q137" s="10">
        <v>0.0</v>
      </c>
      <c r="R137" s="9" t="b">
        <v>0</v>
      </c>
      <c r="S137" s="9" t="b">
        <v>0</v>
      </c>
      <c r="T137" s="7"/>
      <c r="U137" s="11">
        <f t="shared" si="6"/>
        <v>0</v>
      </c>
      <c r="V137" s="11">
        <f t="shared" ref="V137:AB137" si="415">IF(OR(AW137 = $AO$4, AW137 = $AQ$4), 1, 0)</f>
        <v>1</v>
      </c>
      <c r="W137" s="11">
        <f t="shared" si="415"/>
        <v>1</v>
      </c>
      <c r="X137" s="11">
        <f t="shared" si="415"/>
        <v>1</v>
      </c>
      <c r="Y137" s="11">
        <f t="shared" si="415"/>
        <v>1</v>
      </c>
      <c r="Z137" s="11">
        <f t="shared" si="415"/>
        <v>1</v>
      </c>
      <c r="AA137" s="11">
        <f t="shared" si="415"/>
        <v>1</v>
      </c>
      <c r="AB137" s="11">
        <f t="shared" si="415"/>
        <v>1</v>
      </c>
      <c r="AC137" s="11">
        <f t="shared" si="8"/>
        <v>7</v>
      </c>
      <c r="AD137" s="11">
        <f t="shared" si="9"/>
        <v>1</v>
      </c>
      <c r="AE137" s="11">
        <f t="shared" ref="AE137:AH137" si="416">IF(OR(BD137 = $AO$6, BD137 = $AS$6, BD137 = $AT$6, BD137 = $AU$6), 1, 0)</f>
        <v>1</v>
      </c>
      <c r="AF137" s="11">
        <f t="shared" si="416"/>
        <v>1</v>
      </c>
      <c r="AG137" s="11">
        <f t="shared" si="416"/>
        <v>1</v>
      </c>
      <c r="AH137" s="11">
        <f t="shared" si="416"/>
        <v>1</v>
      </c>
      <c r="AI137" s="11">
        <f t="shared" si="11"/>
        <v>4</v>
      </c>
      <c r="AJ137" s="11">
        <f t="shared" si="12"/>
        <v>12</v>
      </c>
      <c r="AK137" s="12">
        <f t="shared" si="13"/>
        <v>5</v>
      </c>
      <c r="AL137" s="13" t="str">
        <f t="shared" si="14"/>
        <v>excellent</v>
      </c>
      <c r="AM137" s="7"/>
      <c r="AN137" s="7"/>
    </row>
    <row r="138">
      <c r="A138" s="7" t="s">
        <v>315</v>
      </c>
      <c r="B138" s="7" t="s">
        <v>316</v>
      </c>
      <c r="C138" s="8" t="s">
        <v>295</v>
      </c>
      <c r="D138" s="7" t="s">
        <v>4</v>
      </c>
      <c r="E138" s="8" t="b">
        <f t="shared" ref="E138:K138" si="417">IF(IFERROR(SEARCH(E$1, $D138),0) &gt;= 1, TRUE,FALSE)</f>
        <v>1</v>
      </c>
      <c r="F138" s="8" t="b">
        <f t="shared" si="417"/>
        <v>0</v>
      </c>
      <c r="G138" s="8" t="b">
        <f t="shared" si="417"/>
        <v>0</v>
      </c>
      <c r="H138" s="8" t="b">
        <f t="shared" si="417"/>
        <v>0</v>
      </c>
      <c r="I138" s="8" t="b">
        <f t="shared" si="417"/>
        <v>0</v>
      </c>
      <c r="J138" s="8" t="b">
        <f t="shared" si="417"/>
        <v>0</v>
      </c>
      <c r="K138" s="8" t="b">
        <f t="shared" si="417"/>
        <v>0</v>
      </c>
      <c r="L138" s="9" t="b">
        <v>1</v>
      </c>
      <c r="M138" s="9" t="b">
        <v>0</v>
      </c>
      <c r="N138" s="9" t="b">
        <v>0</v>
      </c>
      <c r="O138" s="9" t="b">
        <v>0</v>
      </c>
      <c r="P138" s="7" t="str">
        <f t="shared" si="5"/>
        <v>Musea van de Kuurstad</v>
      </c>
      <c r="Q138" s="10">
        <v>5.0</v>
      </c>
      <c r="R138" s="9" t="b">
        <v>0</v>
      </c>
      <c r="S138" s="9" t="b">
        <v>0</v>
      </c>
      <c r="T138" s="7"/>
      <c r="U138" s="11">
        <f t="shared" si="6"/>
        <v>0</v>
      </c>
      <c r="V138" s="11">
        <f t="shared" ref="V138:AB138" si="418">IF(OR(AW138 = $AO$4, AW138 = $AQ$4), 1, 0)</f>
        <v>1</v>
      </c>
      <c r="W138" s="11">
        <f t="shared" si="418"/>
        <v>1</v>
      </c>
      <c r="X138" s="11">
        <f t="shared" si="418"/>
        <v>1</v>
      </c>
      <c r="Y138" s="11">
        <f t="shared" si="418"/>
        <v>1</v>
      </c>
      <c r="Z138" s="11">
        <f t="shared" si="418"/>
        <v>1</v>
      </c>
      <c r="AA138" s="11">
        <f t="shared" si="418"/>
        <v>1</v>
      </c>
      <c r="AB138" s="11">
        <f t="shared" si="418"/>
        <v>1</v>
      </c>
      <c r="AC138" s="11">
        <f t="shared" si="8"/>
        <v>7</v>
      </c>
      <c r="AD138" s="11">
        <f t="shared" si="9"/>
        <v>1</v>
      </c>
      <c r="AE138" s="11">
        <f t="shared" ref="AE138:AH138" si="419">IF(OR(BD138 = $AO$6, BD138 = $AS$6, BD138 = $AT$6, BD138 = $AU$6), 1, 0)</f>
        <v>1</v>
      </c>
      <c r="AF138" s="11">
        <f t="shared" si="419"/>
        <v>1</v>
      </c>
      <c r="AG138" s="11">
        <f t="shared" si="419"/>
        <v>1</v>
      </c>
      <c r="AH138" s="11">
        <f t="shared" si="419"/>
        <v>1</v>
      </c>
      <c r="AI138" s="11">
        <f t="shared" si="11"/>
        <v>4</v>
      </c>
      <c r="AJ138" s="11">
        <f t="shared" si="12"/>
        <v>12</v>
      </c>
      <c r="AK138" s="12">
        <f t="shared" si="13"/>
        <v>5</v>
      </c>
      <c r="AL138" s="13" t="str">
        <f t="shared" si="14"/>
        <v>excellent</v>
      </c>
      <c r="AM138" s="7"/>
      <c r="AN138" s="7"/>
    </row>
    <row r="139">
      <c r="A139" s="7" t="s">
        <v>317</v>
      </c>
      <c r="B139" s="7" t="s">
        <v>318</v>
      </c>
      <c r="C139" s="8" t="s">
        <v>295</v>
      </c>
      <c r="D139" s="7" t="s">
        <v>171</v>
      </c>
      <c r="E139" s="8" t="b">
        <f t="shared" ref="E139:K139" si="420">IF(IFERROR(SEARCH(E$1, $D139),0) &gt;= 1, TRUE,FALSE)</f>
        <v>1</v>
      </c>
      <c r="F139" s="8" t="b">
        <f t="shared" si="420"/>
        <v>1</v>
      </c>
      <c r="G139" s="8" t="b">
        <f t="shared" si="420"/>
        <v>0</v>
      </c>
      <c r="H139" s="8" t="b">
        <f t="shared" si="420"/>
        <v>0</v>
      </c>
      <c r="I139" s="8" t="b">
        <f t="shared" si="420"/>
        <v>1</v>
      </c>
      <c r="J139" s="8" t="b">
        <f t="shared" si="420"/>
        <v>1</v>
      </c>
      <c r="K139" s="8" t="b">
        <f t="shared" si="420"/>
        <v>0</v>
      </c>
      <c r="L139" s="9" t="b">
        <v>1</v>
      </c>
      <c r="M139" s="9" t="b">
        <v>0</v>
      </c>
      <c r="N139" s="9" t="b">
        <v>0</v>
      </c>
      <c r="O139" s="9" t="b">
        <v>0</v>
      </c>
      <c r="P139" s="7" t="str">
        <f t="shared" si="5"/>
        <v>Stadsmuseum Eupen</v>
      </c>
      <c r="Q139" s="10">
        <v>5.0</v>
      </c>
      <c r="R139" s="9" t="b">
        <v>0</v>
      </c>
      <c r="S139" s="9" t="b">
        <v>0</v>
      </c>
      <c r="T139" s="7"/>
      <c r="U139" s="11">
        <f t="shared" si="6"/>
        <v>0</v>
      </c>
      <c r="V139" s="11">
        <f t="shared" ref="V139:AB139" si="421">IF(OR(AW139 = $AO$4, AW139 = $AQ$4), 1, 0)</f>
        <v>1</v>
      </c>
      <c r="W139" s="11">
        <f t="shared" si="421"/>
        <v>1</v>
      </c>
      <c r="X139" s="11">
        <f t="shared" si="421"/>
        <v>1</v>
      </c>
      <c r="Y139" s="11">
        <f t="shared" si="421"/>
        <v>1</v>
      </c>
      <c r="Z139" s="11">
        <f t="shared" si="421"/>
        <v>1</v>
      </c>
      <c r="AA139" s="11">
        <f t="shared" si="421"/>
        <v>1</v>
      </c>
      <c r="AB139" s="11">
        <f t="shared" si="421"/>
        <v>1</v>
      </c>
      <c r="AC139" s="11">
        <f t="shared" si="8"/>
        <v>7</v>
      </c>
      <c r="AD139" s="11">
        <f t="shared" si="9"/>
        <v>1</v>
      </c>
      <c r="AE139" s="11">
        <f t="shared" ref="AE139:AH139" si="422">IF(OR(BD139 = $AO$6, BD139 = $AS$6, BD139 = $AT$6, BD139 = $AU$6), 1, 0)</f>
        <v>1</v>
      </c>
      <c r="AF139" s="11">
        <f t="shared" si="422"/>
        <v>1</v>
      </c>
      <c r="AG139" s="11">
        <f t="shared" si="422"/>
        <v>1</v>
      </c>
      <c r="AH139" s="11">
        <f t="shared" si="422"/>
        <v>1</v>
      </c>
      <c r="AI139" s="11">
        <f t="shared" si="11"/>
        <v>4</v>
      </c>
      <c r="AJ139" s="11">
        <f t="shared" si="12"/>
        <v>12</v>
      </c>
      <c r="AK139" s="12">
        <f t="shared" si="13"/>
        <v>5</v>
      </c>
      <c r="AL139" s="13" t="str">
        <f t="shared" si="14"/>
        <v>excellent</v>
      </c>
      <c r="AM139" s="7"/>
      <c r="AN139" s="7"/>
    </row>
    <row r="140">
      <c r="A140" s="7" t="s">
        <v>319</v>
      </c>
      <c r="B140" s="7" t="s">
        <v>320</v>
      </c>
      <c r="C140" s="8" t="s">
        <v>295</v>
      </c>
      <c r="D140" s="7" t="s">
        <v>102</v>
      </c>
      <c r="E140" s="8" t="b">
        <f t="shared" ref="E140:K140" si="423">IF(IFERROR(SEARCH(E$1, $D140),0) &gt;= 1, TRUE,FALSE)</f>
        <v>1</v>
      </c>
      <c r="F140" s="8" t="b">
        <f t="shared" si="423"/>
        <v>0</v>
      </c>
      <c r="G140" s="8" t="b">
        <f t="shared" si="423"/>
        <v>0</v>
      </c>
      <c r="H140" s="8" t="b">
        <f t="shared" si="423"/>
        <v>0</v>
      </c>
      <c r="I140" s="8" t="b">
        <f t="shared" si="423"/>
        <v>0</v>
      </c>
      <c r="J140" s="8" t="b">
        <f t="shared" si="423"/>
        <v>1</v>
      </c>
      <c r="K140" s="8" t="b">
        <f t="shared" si="423"/>
        <v>0</v>
      </c>
      <c r="L140" s="9" t="b">
        <v>1</v>
      </c>
      <c r="M140" s="9" t="b">
        <v>0</v>
      </c>
      <c r="N140" s="9" t="b">
        <v>0</v>
      </c>
      <c r="O140" s="9" t="b">
        <v>0</v>
      </c>
      <c r="P140" s="7" t="str">
        <f t="shared" si="5"/>
        <v>Musea van Verviers</v>
      </c>
      <c r="Q140" s="10">
        <v>4.0</v>
      </c>
      <c r="R140" s="9" t="b">
        <v>0</v>
      </c>
      <c r="S140" s="9" t="b">
        <v>0</v>
      </c>
      <c r="T140" s="7"/>
      <c r="U140" s="11">
        <f t="shared" si="6"/>
        <v>0</v>
      </c>
      <c r="V140" s="11">
        <f t="shared" ref="V140:AB140" si="424">IF(OR(AW140 = $AO$4, AW140 = $AQ$4), 1, 0)</f>
        <v>1</v>
      </c>
      <c r="W140" s="11">
        <f t="shared" si="424"/>
        <v>1</v>
      </c>
      <c r="X140" s="11">
        <f t="shared" si="424"/>
        <v>1</v>
      </c>
      <c r="Y140" s="11">
        <f t="shared" si="424"/>
        <v>1</v>
      </c>
      <c r="Z140" s="11">
        <f t="shared" si="424"/>
        <v>1</v>
      </c>
      <c r="AA140" s="11">
        <f t="shared" si="424"/>
        <v>1</v>
      </c>
      <c r="AB140" s="11">
        <f t="shared" si="424"/>
        <v>1</v>
      </c>
      <c r="AC140" s="11">
        <f t="shared" si="8"/>
        <v>7</v>
      </c>
      <c r="AD140" s="11">
        <f t="shared" si="9"/>
        <v>1</v>
      </c>
      <c r="AE140" s="11">
        <f t="shared" ref="AE140:AH140" si="425">IF(OR(BD140 = $AO$6, BD140 = $AS$6, BD140 = $AT$6, BD140 = $AU$6), 1, 0)</f>
        <v>1</v>
      </c>
      <c r="AF140" s="11">
        <f t="shared" si="425"/>
        <v>1</v>
      </c>
      <c r="AG140" s="11">
        <f t="shared" si="425"/>
        <v>1</v>
      </c>
      <c r="AH140" s="11">
        <f t="shared" si="425"/>
        <v>1</v>
      </c>
      <c r="AI140" s="11">
        <f t="shared" si="11"/>
        <v>4</v>
      </c>
      <c r="AJ140" s="11">
        <f t="shared" si="12"/>
        <v>12</v>
      </c>
      <c r="AK140" s="12">
        <f t="shared" si="13"/>
        <v>5</v>
      </c>
      <c r="AL140" s="13" t="str">
        <f t="shared" si="14"/>
        <v>excellent</v>
      </c>
      <c r="AM140" s="7"/>
      <c r="AN140" s="7"/>
    </row>
    <row r="141">
      <c r="A141" s="7" t="s">
        <v>321</v>
      </c>
      <c r="B141" s="7" t="s">
        <v>322</v>
      </c>
      <c r="C141" s="8" t="s">
        <v>295</v>
      </c>
      <c r="D141" s="7" t="s">
        <v>114</v>
      </c>
      <c r="E141" s="8" t="b">
        <f t="shared" ref="E141:K141" si="426">IF(IFERROR(SEARCH(E$1, $D141),0) &gt;= 1, TRUE,FALSE)</f>
        <v>1</v>
      </c>
      <c r="F141" s="8" t="b">
        <f t="shared" si="426"/>
        <v>1</v>
      </c>
      <c r="G141" s="8" t="b">
        <f t="shared" si="426"/>
        <v>0</v>
      </c>
      <c r="H141" s="8" t="b">
        <f t="shared" si="426"/>
        <v>0</v>
      </c>
      <c r="I141" s="8" t="b">
        <f t="shared" si="426"/>
        <v>0</v>
      </c>
      <c r="J141" s="8" t="b">
        <f t="shared" si="426"/>
        <v>0</v>
      </c>
      <c r="K141" s="8" t="b">
        <f t="shared" si="426"/>
        <v>0</v>
      </c>
      <c r="L141" s="9" t="b">
        <v>1</v>
      </c>
      <c r="M141" s="9" t="b">
        <v>1</v>
      </c>
      <c r="N141" s="9" t="b">
        <v>0</v>
      </c>
      <c r="O141" s="9" t="b">
        <v>0</v>
      </c>
      <c r="P141" s="7" t="str">
        <f t="shared" si="5"/>
        <v>Museum Vieille Montagne</v>
      </c>
      <c r="Q141" s="10">
        <v>7.5</v>
      </c>
      <c r="R141" s="9" t="b">
        <v>0</v>
      </c>
      <c r="S141" s="9" t="b">
        <v>0</v>
      </c>
      <c r="T141" s="7"/>
      <c r="U141" s="11">
        <f t="shared" si="6"/>
        <v>0</v>
      </c>
      <c r="V141" s="11">
        <f t="shared" ref="V141:AB141" si="427">IF(OR(AW141 = $AO$4, AW141 = $AQ$4), 1, 0)</f>
        <v>1</v>
      </c>
      <c r="W141" s="11">
        <f t="shared" si="427"/>
        <v>1</v>
      </c>
      <c r="X141" s="11">
        <f t="shared" si="427"/>
        <v>1</v>
      </c>
      <c r="Y141" s="11">
        <f t="shared" si="427"/>
        <v>1</v>
      </c>
      <c r="Z141" s="11">
        <f t="shared" si="427"/>
        <v>1</v>
      </c>
      <c r="AA141" s="11">
        <f t="shared" si="427"/>
        <v>1</v>
      </c>
      <c r="AB141" s="11">
        <f t="shared" si="427"/>
        <v>1</v>
      </c>
      <c r="AC141" s="11">
        <f t="shared" si="8"/>
        <v>7</v>
      </c>
      <c r="AD141" s="11">
        <f t="shared" si="9"/>
        <v>1</v>
      </c>
      <c r="AE141" s="11">
        <f t="shared" ref="AE141:AH141" si="428">IF(OR(BD141 = $AO$6, BD141 = $AS$6, BD141 = $AT$6, BD141 = $AU$6), 1, 0)</f>
        <v>1</v>
      </c>
      <c r="AF141" s="11">
        <f t="shared" si="428"/>
        <v>1</v>
      </c>
      <c r="AG141" s="11">
        <f t="shared" si="428"/>
        <v>1</v>
      </c>
      <c r="AH141" s="11">
        <f t="shared" si="428"/>
        <v>1</v>
      </c>
      <c r="AI141" s="11">
        <f t="shared" si="11"/>
        <v>4</v>
      </c>
      <c r="AJ141" s="11">
        <f t="shared" si="12"/>
        <v>12</v>
      </c>
      <c r="AK141" s="12">
        <f t="shared" si="13"/>
        <v>5</v>
      </c>
      <c r="AL141" s="13" t="str">
        <f t="shared" si="14"/>
        <v>excellent</v>
      </c>
      <c r="AM141" s="7"/>
      <c r="AN141" s="7"/>
    </row>
    <row r="142">
      <c r="A142" s="7"/>
      <c r="B142" s="7" t="s">
        <v>323</v>
      </c>
      <c r="C142" s="8" t="s">
        <v>295</v>
      </c>
      <c r="D142" s="7" t="s">
        <v>4</v>
      </c>
      <c r="E142" s="8" t="b">
        <f t="shared" ref="E142:K142" si="429">IF(IFERROR(SEARCH(E$1, $D142),0) &gt;= 1, TRUE,FALSE)</f>
        <v>1</v>
      </c>
      <c r="F142" s="8" t="b">
        <f t="shared" si="429"/>
        <v>0</v>
      </c>
      <c r="G142" s="8" t="b">
        <f t="shared" si="429"/>
        <v>0</v>
      </c>
      <c r="H142" s="8" t="b">
        <f t="shared" si="429"/>
        <v>0</v>
      </c>
      <c r="I142" s="8" t="b">
        <f t="shared" si="429"/>
        <v>0</v>
      </c>
      <c r="J142" s="8" t="b">
        <f t="shared" si="429"/>
        <v>0</v>
      </c>
      <c r="K142" s="8" t="b">
        <f t="shared" si="429"/>
        <v>0</v>
      </c>
      <c r="L142" s="9" t="b">
        <v>1</v>
      </c>
      <c r="M142" s="9" t="b">
        <v>1</v>
      </c>
      <c r="N142" s="9" t="b">
        <v>1</v>
      </c>
      <c r="O142" s="9" t="b">
        <v>0</v>
      </c>
      <c r="P142" s="7" t="str">
        <f t="shared" si="5"/>
        <v>Préhistomuseum</v>
      </c>
      <c r="Q142" s="10">
        <v>16.0</v>
      </c>
      <c r="R142" s="9" t="b">
        <v>0</v>
      </c>
      <c r="S142" s="9" t="b">
        <v>0</v>
      </c>
      <c r="T142" s="7"/>
      <c r="U142" s="11">
        <f t="shared" si="6"/>
        <v>0</v>
      </c>
      <c r="V142" s="11">
        <f t="shared" ref="V142:AB142" si="430">IF(OR(AW142 = $AO$4, AW142 = $AQ$4), 1, 0)</f>
        <v>1</v>
      </c>
      <c r="W142" s="11">
        <f t="shared" si="430"/>
        <v>1</v>
      </c>
      <c r="X142" s="11">
        <f t="shared" si="430"/>
        <v>1</v>
      </c>
      <c r="Y142" s="11">
        <f t="shared" si="430"/>
        <v>1</v>
      </c>
      <c r="Z142" s="11">
        <f t="shared" si="430"/>
        <v>1</v>
      </c>
      <c r="AA142" s="11">
        <f t="shared" si="430"/>
        <v>1</v>
      </c>
      <c r="AB142" s="11">
        <f t="shared" si="430"/>
        <v>1</v>
      </c>
      <c r="AC142" s="11">
        <f t="shared" si="8"/>
        <v>7</v>
      </c>
      <c r="AD142" s="11">
        <f t="shared" si="9"/>
        <v>0</v>
      </c>
      <c r="AE142" s="11">
        <f t="shared" ref="AE142:AH142" si="431">IF(OR(BD142 = $AO$6, BD142 = $AS$6, BD142 = $AT$6, BD142 = $AU$6), 1, 0)</f>
        <v>1</v>
      </c>
      <c r="AF142" s="11">
        <f t="shared" si="431"/>
        <v>1</v>
      </c>
      <c r="AG142" s="11">
        <f t="shared" si="431"/>
        <v>1</v>
      </c>
      <c r="AH142" s="11">
        <f t="shared" si="431"/>
        <v>1</v>
      </c>
      <c r="AI142" s="11">
        <f t="shared" si="11"/>
        <v>4</v>
      </c>
      <c r="AJ142" s="11">
        <f t="shared" si="12"/>
        <v>11</v>
      </c>
      <c r="AK142" s="12">
        <f t="shared" si="13"/>
        <v>4.583333333</v>
      </c>
      <c r="AL142" s="13" t="str">
        <f t="shared" si="14"/>
        <v>excellent</v>
      </c>
      <c r="AM142" s="7"/>
      <c r="AN142" s="7"/>
    </row>
    <row r="143">
      <c r="A143" s="7"/>
      <c r="B143" s="7" t="s">
        <v>324</v>
      </c>
      <c r="C143" s="8" t="s">
        <v>295</v>
      </c>
      <c r="D143" s="7" t="s">
        <v>9</v>
      </c>
      <c r="E143" s="8" t="b">
        <f t="shared" ref="E143:K143" si="432">IF(IFERROR(SEARCH(E$1, $D143),0) &gt;= 1, TRUE,FALSE)</f>
        <v>0</v>
      </c>
      <c r="F143" s="8" t="b">
        <f t="shared" si="432"/>
        <v>0</v>
      </c>
      <c r="G143" s="8" t="b">
        <f t="shared" si="432"/>
        <v>0</v>
      </c>
      <c r="H143" s="8" t="b">
        <f t="shared" si="432"/>
        <v>0</v>
      </c>
      <c r="I143" s="8" t="b">
        <f t="shared" si="432"/>
        <v>0</v>
      </c>
      <c r="J143" s="8" t="b">
        <f t="shared" si="432"/>
        <v>1</v>
      </c>
      <c r="K143" s="8" t="b">
        <f t="shared" si="432"/>
        <v>0</v>
      </c>
      <c r="L143" s="9" t="b">
        <v>1</v>
      </c>
      <c r="M143" s="9" t="b">
        <v>1</v>
      </c>
      <c r="N143" s="9" t="b">
        <v>1</v>
      </c>
      <c r="O143" s="9" t="b">
        <v>1</v>
      </c>
      <c r="P143" s="7" t="str">
        <f t="shared" si="5"/>
        <v>Trinkhall museum</v>
      </c>
      <c r="Q143" s="10">
        <v>9.0</v>
      </c>
      <c r="R143" s="9" t="b">
        <v>0</v>
      </c>
      <c r="S143" s="15" t="b">
        <v>1</v>
      </c>
      <c r="T143" s="10">
        <v>9.0</v>
      </c>
      <c r="U143" s="11">
        <f t="shared" si="6"/>
        <v>0</v>
      </c>
      <c r="V143" s="11">
        <f t="shared" ref="V143:AB143" si="433">IF(OR(AW143 = $AO$4, AW143 = $AQ$4), 1, 0)</f>
        <v>1</v>
      </c>
      <c r="W143" s="11">
        <f t="shared" si="433"/>
        <v>1</v>
      </c>
      <c r="X143" s="11">
        <f t="shared" si="433"/>
        <v>1</v>
      </c>
      <c r="Y143" s="11">
        <f t="shared" si="433"/>
        <v>1</v>
      </c>
      <c r="Z143" s="11">
        <f t="shared" si="433"/>
        <v>1</v>
      </c>
      <c r="AA143" s="11">
        <f t="shared" si="433"/>
        <v>1</v>
      </c>
      <c r="AB143" s="11">
        <f t="shared" si="433"/>
        <v>1</v>
      </c>
      <c r="AC143" s="11">
        <f t="shared" si="8"/>
        <v>7</v>
      </c>
      <c r="AD143" s="11">
        <f t="shared" si="9"/>
        <v>1</v>
      </c>
      <c r="AE143" s="11">
        <f t="shared" ref="AE143:AH143" si="434">IF(OR(BD143 = $AO$6, BD143 = $AS$6, BD143 = $AT$6, BD143 = $AU$6), 1, 0)</f>
        <v>1</v>
      </c>
      <c r="AF143" s="11">
        <f t="shared" si="434"/>
        <v>1</v>
      </c>
      <c r="AG143" s="11">
        <f t="shared" si="434"/>
        <v>1</v>
      </c>
      <c r="AH143" s="11">
        <f t="shared" si="434"/>
        <v>1</v>
      </c>
      <c r="AI143" s="11">
        <f t="shared" si="11"/>
        <v>4</v>
      </c>
      <c r="AJ143" s="11">
        <f t="shared" si="12"/>
        <v>12</v>
      </c>
      <c r="AK143" s="12">
        <f t="shared" si="13"/>
        <v>5</v>
      </c>
      <c r="AL143" s="13" t="str">
        <f t="shared" si="14"/>
        <v>excellent</v>
      </c>
      <c r="AM143" s="7"/>
      <c r="AN143" s="7"/>
    </row>
    <row r="144">
      <c r="A144" s="7"/>
      <c r="B144" s="7" t="s">
        <v>325</v>
      </c>
      <c r="C144" s="8" t="s">
        <v>295</v>
      </c>
      <c r="D144" s="7" t="s">
        <v>5</v>
      </c>
      <c r="E144" s="8" t="b">
        <f t="shared" ref="E144:K144" si="435">IF(IFERROR(SEARCH(E$1, $D144),0) &gt;= 1, TRUE,FALSE)</f>
        <v>0</v>
      </c>
      <c r="F144" s="8" t="b">
        <f t="shared" si="435"/>
        <v>1</v>
      </c>
      <c r="G144" s="8" t="b">
        <f t="shared" si="435"/>
        <v>0</v>
      </c>
      <c r="H144" s="8" t="b">
        <f t="shared" si="435"/>
        <v>0</v>
      </c>
      <c r="I144" s="8" t="b">
        <f t="shared" si="435"/>
        <v>0</v>
      </c>
      <c r="J144" s="8" t="b">
        <f t="shared" si="435"/>
        <v>0</v>
      </c>
      <c r="K144" s="8" t="b">
        <f t="shared" si="435"/>
        <v>0</v>
      </c>
      <c r="L144" s="9" t="b">
        <v>0</v>
      </c>
      <c r="M144" s="9" t="b">
        <v>1</v>
      </c>
      <c r="N144" s="9" t="b">
        <v>0</v>
      </c>
      <c r="O144" s="9" t="b">
        <v>1</v>
      </c>
      <c r="P144" s="7" t="str">
        <f t="shared" si="5"/>
        <v>WaterHouse</v>
      </c>
      <c r="Q144" s="10">
        <v>10.0</v>
      </c>
      <c r="R144" s="9" t="b">
        <v>1</v>
      </c>
      <c r="S144" s="9" t="b">
        <v>0</v>
      </c>
      <c r="T144" s="7"/>
      <c r="U144" s="11">
        <f t="shared" si="6"/>
        <v>0</v>
      </c>
      <c r="V144" s="11">
        <f t="shared" ref="V144:AB144" si="436">IF(OR(AW144 = $AO$4, AW144 = $AQ$4), 1, 0)</f>
        <v>1</v>
      </c>
      <c r="W144" s="11">
        <f t="shared" si="436"/>
        <v>1</v>
      </c>
      <c r="X144" s="11">
        <f t="shared" si="436"/>
        <v>1</v>
      </c>
      <c r="Y144" s="11">
        <f t="shared" si="436"/>
        <v>1</v>
      </c>
      <c r="Z144" s="11">
        <f t="shared" si="436"/>
        <v>1</v>
      </c>
      <c r="AA144" s="11">
        <f t="shared" si="436"/>
        <v>1</v>
      </c>
      <c r="AB144" s="11">
        <f t="shared" si="436"/>
        <v>1</v>
      </c>
      <c r="AC144" s="11">
        <f t="shared" si="8"/>
        <v>7</v>
      </c>
      <c r="AD144" s="11">
        <f t="shared" si="9"/>
        <v>1</v>
      </c>
      <c r="AE144" s="11">
        <f t="shared" ref="AE144:AH144" si="437">IF(OR(BD144 = $AO$6, BD144 = $AS$6, BD144 = $AT$6, BD144 = $AU$6), 1, 0)</f>
        <v>1</v>
      </c>
      <c r="AF144" s="11">
        <f t="shared" si="437"/>
        <v>1</v>
      </c>
      <c r="AG144" s="11">
        <f t="shared" si="437"/>
        <v>1</v>
      </c>
      <c r="AH144" s="11">
        <f t="shared" si="437"/>
        <v>1</v>
      </c>
      <c r="AI144" s="11">
        <f t="shared" si="11"/>
        <v>4</v>
      </c>
      <c r="AJ144" s="11">
        <f t="shared" si="12"/>
        <v>12</v>
      </c>
      <c r="AK144" s="12">
        <f t="shared" si="13"/>
        <v>5</v>
      </c>
      <c r="AL144" s="13" t="str">
        <f t="shared" si="14"/>
        <v>excellent</v>
      </c>
      <c r="AM144" s="7"/>
      <c r="AN144" s="7"/>
    </row>
    <row r="145">
      <c r="A145" s="7" t="s">
        <v>326</v>
      </c>
      <c r="B145" s="7" t="s">
        <v>327</v>
      </c>
      <c r="C145" s="8" t="s">
        <v>328</v>
      </c>
      <c r="D145" s="7" t="s">
        <v>171</v>
      </c>
      <c r="E145" s="8" t="b">
        <f t="shared" ref="E145:K145" si="438">IF(IFERROR(SEARCH(E$1, $D145),0) &gt;= 1, TRUE,FALSE)</f>
        <v>1</v>
      </c>
      <c r="F145" s="8" t="b">
        <f t="shared" si="438"/>
        <v>1</v>
      </c>
      <c r="G145" s="8" t="b">
        <f t="shared" si="438"/>
        <v>0</v>
      </c>
      <c r="H145" s="8" t="b">
        <f t="shared" si="438"/>
        <v>0</v>
      </c>
      <c r="I145" s="8" t="b">
        <f t="shared" si="438"/>
        <v>1</v>
      </c>
      <c r="J145" s="8" t="b">
        <f t="shared" si="438"/>
        <v>1</v>
      </c>
      <c r="K145" s="8" t="b">
        <f t="shared" si="438"/>
        <v>0</v>
      </c>
      <c r="L145" s="9" t="b">
        <v>1</v>
      </c>
      <c r="M145" s="9" t="b">
        <v>0</v>
      </c>
      <c r="N145" s="9" t="b">
        <v>0</v>
      </c>
      <c r="O145" s="9" t="b">
        <v>0</v>
      </c>
      <c r="P145" s="7" t="str">
        <f t="shared" si="5"/>
        <v>Artotheek</v>
      </c>
      <c r="Q145" s="10">
        <v>6.0</v>
      </c>
      <c r="R145" s="9" t="b">
        <v>0</v>
      </c>
      <c r="S145" s="9" t="b">
        <v>0</v>
      </c>
      <c r="T145" s="7"/>
      <c r="U145" s="11">
        <f t="shared" si="6"/>
        <v>0</v>
      </c>
      <c r="V145" s="11">
        <f t="shared" ref="V145:AB145" si="439">IF(OR(AW145 = $AO$4, AW145 = $AQ$4), 1, 0)</f>
        <v>1</v>
      </c>
      <c r="W145" s="11">
        <f t="shared" si="439"/>
        <v>1</v>
      </c>
      <c r="X145" s="11">
        <f t="shared" si="439"/>
        <v>1</v>
      </c>
      <c r="Y145" s="11">
        <f t="shared" si="439"/>
        <v>1</v>
      </c>
      <c r="Z145" s="11">
        <f t="shared" si="439"/>
        <v>1</v>
      </c>
      <c r="AA145" s="11">
        <f t="shared" si="439"/>
        <v>1</v>
      </c>
      <c r="AB145" s="11">
        <f t="shared" si="439"/>
        <v>1</v>
      </c>
      <c r="AC145" s="11">
        <f t="shared" si="8"/>
        <v>7</v>
      </c>
      <c r="AD145" s="11">
        <f t="shared" si="9"/>
        <v>1</v>
      </c>
      <c r="AE145" s="11">
        <f t="shared" ref="AE145:AH145" si="440">IF(OR(BD145 = $AO$6, BD145 = $AS$6, BD145 = $AT$6, BD145 = $AU$6), 1, 0)</f>
        <v>1</v>
      </c>
      <c r="AF145" s="11">
        <f t="shared" si="440"/>
        <v>1</v>
      </c>
      <c r="AG145" s="11">
        <f t="shared" si="440"/>
        <v>1</v>
      </c>
      <c r="AH145" s="11">
        <f t="shared" si="440"/>
        <v>1</v>
      </c>
      <c r="AI145" s="11">
        <f t="shared" si="11"/>
        <v>4</v>
      </c>
      <c r="AJ145" s="11">
        <f t="shared" si="12"/>
        <v>12</v>
      </c>
      <c r="AK145" s="12">
        <f t="shared" si="13"/>
        <v>5</v>
      </c>
      <c r="AL145" s="13" t="str">
        <f t="shared" si="14"/>
        <v>excellent</v>
      </c>
      <c r="AM145" s="7"/>
      <c r="AN145" s="7"/>
    </row>
    <row r="146">
      <c r="A146" s="7" t="s">
        <v>329</v>
      </c>
      <c r="B146" s="7" t="s">
        <v>330</v>
      </c>
      <c r="C146" s="8" t="s">
        <v>328</v>
      </c>
      <c r="D146" s="7" t="s">
        <v>151</v>
      </c>
      <c r="E146" s="8" t="b">
        <f t="shared" ref="E146:K146" si="441">IF(IFERROR(SEARCH(E$1, $D146),0) &gt;= 1, TRUE,FALSE)</f>
        <v>1</v>
      </c>
      <c r="F146" s="8" t="b">
        <f t="shared" si="441"/>
        <v>0</v>
      </c>
      <c r="G146" s="8" t="b">
        <f t="shared" si="441"/>
        <v>0</v>
      </c>
      <c r="H146" s="8" t="b">
        <f t="shared" si="441"/>
        <v>0</v>
      </c>
      <c r="I146" s="8" t="b">
        <f t="shared" si="441"/>
        <v>1</v>
      </c>
      <c r="J146" s="8" t="b">
        <f t="shared" si="441"/>
        <v>0</v>
      </c>
      <c r="K146" s="8" t="b">
        <f t="shared" si="441"/>
        <v>0</v>
      </c>
      <c r="L146" s="9" t="b">
        <v>1</v>
      </c>
      <c r="M146" s="9" t="b">
        <v>0</v>
      </c>
      <c r="N146" s="9" t="b">
        <v>0</v>
      </c>
      <c r="O146" s="9" t="b">
        <v>0</v>
      </c>
      <c r="P146" s="7" t="str">
        <f t="shared" si="5"/>
        <v>Belfort van Bergen</v>
      </c>
      <c r="Q146" s="10">
        <v>9.0</v>
      </c>
      <c r="R146" s="9" t="b">
        <v>0</v>
      </c>
      <c r="S146" s="9" t="b">
        <v>1</v>
      </c>
      <c r="T146" s="10">
        <v>9.0</v>
      </c>
      <c r="U146" s="11">
        <f t="shared" si="6"/>
        <v>0</v>
      </c>
      <c r="V146" s="11">
        <f t="shared" ref="V146:AB146" si="442">IF(OR(AW146 = $AO$4, AW146 = $AQ$4), 1, 0)</f>
        <v>1</v>
      </c>
      <c r="W146" s="11">
        <f t="shared" si="442"/>
        <v>1</v>
      </c>
      <c r="X146" s="11">
        <f t="shared" si="442"/>
        <v>1</v>
      </c>
      <c r="Y146" s="11">
        <f t="shared" si="442"/>
        <v>1</v>
      </c>
      <c r="Z146" s="11">
        <f t="shared" si="442"/>
        <v>1</v>
      </c>
      <c r="AA146" s="11">
        <f t="shared" si="442"/>
        <v>1</v>
      </c>
      <c r="AB146" s="11">
        <f t="shared" si="442"/>
        <v>1</v>
      </c>
      <c r="AC146" s="11">
        <f t="shared" si="8"/>
        <v>7</v>
      </c>
      <c r="AD146" s="11">
        <f t="shared" si="9"/>
        <v>1</v>
      </c>
      <c r="AE146" s="11">
        <f t="shared" ref="AE146:AH146" si="443">IF(OR(BD146 = $AO$6, BD146 = $AS$6, BD146 = $AT$6, BD146 = $AU$6), 1, 0)</f>
        <v>1</v>
      </c>
      <c r="AF146" s="11">
        <f t="shared" si="443"/>
        <v>1</v>
      </c>
      <c r="AG146" s="11">
        <f t="shared" si="443"/>
        <v>1</v>
      </c>
      <c r="AH146" s="11">
        <f t="shared" si="443"/>
        <v>1</v>
      </c>
      <c r="AI146" s="11">
        <f t="shared" si="11"/>
        <v>4</v>
      </c>
      <c r="AJ146" s="11">
        <f t="shared" si="12"/>
        <v>12</v>
      </c>
      <c r="AK146" s="12">
        <f t="shared" si="13"/>
        <v>5</v>
      </c>
      <c r="AL146" s="13" t="str">
        <f t="shared" si="14"/>
        <v>excellent</v>
      </c>
      <c r="AM146" s="7"/>
      <c r="AN146" s="7"/>
    </row>
    <row r="147">
      <c r="A147" s="7" t="s">
        <v>331</v>
      </c>
      <c r="B147" s="7" t="s">
        <v>332</v>
      </c>
      <c r="C147" s="8" t="s">
        <v>328</v>
      </c>
      <c r="D147" s="7" t="s">
        <v>72</v>
      </c>
      <c r="E147" s="8" t="b">
        <f t="shared" ref="E147:K147" si="444">IF(IFERROR(SEARCH(E$1, $D147),0) &gt;= 1, TRUE,FALSE)</f>
        <v>1</v>
      </c>
      <c r="F147" s="8" t="b">
        <f t="shared" si="444"/>
        <v>1</v>
      </c>
      <c r="G147" s="8" t="b">
        <f t="shared" si="444"/>
        <v>0</v>
      </c>
      <c r="H147" s="8" t="b">
        <f t="shared" si="444"/>
        <v>0</v>
      </c>
      <c r="I147" s="8" t="b">
        <f t="shared" si="444"/>
        <v>1</v>
      </c>
      <c r="J147" s="8" t="b">
        <f t="shared" si="444"/>
        <v>0</v>
      </c>
      <c r="K147" s="8" t="b">
        <f t="shared" si="444"/>
        <v>0</v>
      </c>
      <c r="L147" s="9" t="b">
        <v>1</v>
      </c>
      <c r="M147" s="9" t="b">
        <v>1</v>
      </c>
      <c r="N147" s="9" t="b">
        <v>0</v>
      </c>
      <c r="O147" s="9" t="b">
        <v>1</v>
      </c>
      <c r="P147" s="7" t="str">
        <f t="shared" si="5"/>
        <v>Museum van Mijnbouw en Duurzame Ontwikkeling</v>
      </c>
      <c r="Q147" s="10">
        <v>9.0</v>
      </c>
      <c r="R147" s="9" t="b">
        <v>0</v>
      </c>
      <c r="S147" s="9" t="b">
        <v>1</v>
      </c>
      <c r="T147" s="10">
        <v>9.0</v>
      </c>
      <c r="U147" s="11">
        <f t="shared" si="6"/>
        <v>0</v>
      </c>
      <c r="V147" s="11">
        <f t="shared" ref="V147:AB147" si="445">IF(OR(AW147 = $AO$4, AW147 = $AQ$4), 1, 0)</f>
        <v>1</v>
      </c>
      <c r="W147" s="11">
        <f t="shared" si="445"/>
        <v>1</v>
      </c>
      <c r="X147" s="11">
        <f t="shared" si="445"/>
        <v>1</v>
      </c>
      <c r="Y147" s="11">
        <f t="shared" si="445"/>
        <v>1</v>
      </c>
      <c r="Z147" s="11">
        <f t="shared" si="445"/>
        <v>1</v>
      </c>
      <c r="AA147" s="11">
        <f t="shared" si="445"/>
        <v>1</v>
      </c>
      <c r="AB147" s="11">
        <f t="shared" si="445"/>
        <v>1</v>
      </c>
      <c r="AC147" s="11">
        <f t="shared" si="8"/>
        <v>7</v>
      </c>
      <c r="AD147" s="11">
        <f t="shared" si="9"/>
        <v>1</v>
      </c>
      <c r="AE147" s="11">
        <f t="shared" ref="AE147:AH147" si="446">IF(OR(BD147 = $AO$6, BD147 = $AS$6, BD147 = $AT$6, BD147 = $AU$6), 1, 0)</f>
        <v>1</v>
      </c>
      <c r="AF147" s="11">
        <f t="shared" si="446"/>
        <v>1</v>
      </c>
      <c r="AG147" s="11">
        <f t="shared" si="446"/>
        <v>1</v>
      </c>
      <c r="AH147" s="11">
        <f t="shared" si="446"/>
        <v>1</v>
      </c>
      <c r="AI147" s="11">
        <f t="shared" si="11"/>
        <v>4</v>
      </c>
      <c r="AJ147" s="11">
        <f t="shared" si="12"/>
        <v>12</v>
      </c>
      <c r="AK147" s="12">
        <f t="shared" si="13"/>
        <v>5</v>
      </c>
      <c r="AL147" s="13" t="str">
        <f t="shared" si="14"/>
        <v>excellent</v>
      </c>
      <c r="AM147" s="7"/>
      <c r="AN147" s="7"/>
    </row>
    <row r="148">
      <c r="A148" s="7" t="s">
        <v>333</v>
      </c>
      <c r="B148" s="7" t="s">
        <v>334</v>
      </c>
      <c r="C148" s="8" t="s">
        <v>328</v>
      </c>
      <c r="D148" s="7" t="s">
        <v>9</v>
      </c>
      <c r="E148" s="8" t="b">
        <f t="shared" ref="E148:K148" si="447">IF(IFERROR(SEARCH(E$1, $D148),0) &gt;= 1, TRUE,FALSE)</f>
        <v>0</v>
      </c>
      <c r="F148" s="8" t="b">
        <f t="shared" si="447"/>
        <v>0</v>
      </c>
      <c r="G148" s="8" t="b">
        <f t="shared" si="447"/>
        <v>0</v>
      </c>
      <c r="H148" s="8" t="b">
        <f t="shared" si="447"/>
        <v>0</v>
      </c>
      <c r="I148" s="8" t="b">
        <f t="shared" si="447"/>
        <v>0</v>
      </c>
      <c r="J148" s="8" t="b">
        <f t="shared" si="447"/>
        <v>1</v>
      </c>
      <c r="K148" s="8" t="b">
        <f t="shared" si="447"/>
        <v>0</v>
      </c>
      <c r="L148" s="9" t="b">
        <v>1</v>
      </c>
      <c r="M148" s="9" t="b">
        <v>0</v>
      </c>
      <c r="N148" s="9" t="b">
        <v>0</v>
      </c>
      <c r="O148" s="9" t="b">
        <v>0</v>
      </c>
      <c r="P148" s="7" t="str">
        <f t="shared" si="5"/>
        <v>Museum voor kunst van de Provincie Henegouwen</v>
      </c>
      <c r="Q148" s="10">
        <v>6.0</v>
      </c>
      <c r="R148" s="9" t="b">
        <v>0</v>
      </c>
      <c r="S148" s="9" t="b">
        <v>1</v>
      </c>
      <c r="T148" s="10">
        <v>6.0</v>
      </c>
      <c r="U148" s="11">
        <f t="shared" si="6"/>
        <v>0</v>
      </c>
      <c r="V148" s="11">
        <f t="shared" ref="V148:AB148" si="448">IF(OR(AW148 = $AO$4, AW148 = $AQ$4), 1, 0)</f>
        <v>1</v>
      </c>
      <c r="W148" s="11">
        <f t="shared" si="448"/>
        <v>1</v>
      </c>
      <c r="X148" s="11">
        <f t="shared" si="448"/>
        <v>1</v>
      </c>
      <c r="Y148" s="11">
        <f t="shared" si="448"/>
        <v>1</v>
      </c>
      <c r="Z148" s="11">
        <f t="shared" si="448"/>
        <v>1</v>
      </c>
      <c r="AA148" s="11">
        <f t="shared" si="448"/>
        <v>1</v>
      </c>
      <c r="AB148" s="11">
        <f t="shared" si="448"/>
        <v>1</v>
      </c>
      <c r="AC148" s="11">
        <f t="shared" si="8"/>
        <v>7</v>
      </c>
      <c r="AD148" s="11">
        <f t="shared" si="9"/>
        <v>1</v>
      </c>
      <c r="AE148" s="11">
        <f t="shared" ref="AE148:AH148" si="449">IF(OR(BD148 = $AO$6, BD148 = $AS$6, BD148 = $AT$6, BD148 = $AU$6), 1, 0)</f>
        <v>1</v>
      </c>
      <c r="AF148" s="11">
        <f t="shared" si="449"/>
        <v>1</v>
      </c>
      <c r="AG148" s="11">
        <f t="shared" si="449"/>
        <v>1</v>
      </c>
      <c r="AH148" s="11">
        <f t="shared" si="449"/>
        <v>1</v>
      </c>
      <c r="AI148" s="11">
        <f t="shared" si="11"/>
        <v>4</v>
      </c>
      <c r="AJ148" s="11">
        <f t="shared" si="12"/>
        <v>12</v>
      </c>
      <c r="AK148" s="12">
        <f t="shared" si="13"/>
        <v>5</v>
      </c>
      <c r="AL148" s="13" t="str">
        <f t="shared" si="14"/>
        <v>excellent</v>
      </c>
      <c r="AM148" s="7"/>
      <c r="AN148" s="7"/>
    </row>
    <row r="149">
      <c r="A149" s="7" t="s">
        <v>335</v>
      </c>
      <c r="B149" s="7" t="s">
        <v>336</v>
      </c>
      <c r="C149" s="8" t="s">
        <v>328</v>
      </c>
      <c r="D149" s="7" t="s">
        <v>188</v>
      </c>
      <c r="E149" s="8" t="b">
        <f t="shared" ref="E149:K149" si="450">IF(IFERROR(SEARCH(E$1, $D149),0) &gt;= 1, TRUE,FALSE)</f>
        <v>0</v>
      </c>
      <c r="F149" s="8" t="b">
        <f t="shared" si="450"/>
        <v>0</v>
      </c>
      <c r="G149" s="8" t="b">
        <f t="shared" si="450"/>
        <v>0</v>
      </c>
      <c r="H149" s="8" t="b">
        <f t="shared" si="450"/>
        <v>0</v>
      </c>
      <c r="I149" s="8" t="b">
        <f t="shared" si="450"/>
        <v>0</v>
      </c>
      <c r="J149" s="8" t="b">
        <f t="shared" si="450"/>
        <v>1</v>
      </c>
      <c r="K149" s="8" t="b">
        <f t="shared" si="450"/>
        <v>1</v>
      </c>
      <c r="L149" s="9" t="b">
        <v>1</v>
      </c>
      <c r="M149" s="9" t="b">
        <v>0</v>
      </c>
      <c r="N149" s="9" t="b">
        <v>0</v>
      </c>
      <c r="O149" s="9" t="b">
        <v>0</v>
      </c>
      <c r="P149" s="7" t="str">
        <f t="shared" si="5"/>
        <v>CAP/museum voor Schone Kunsten van Bergen</v>
      </c>
      <c r="Q149" s="10">
        <v>16.0</v>
      </c>
      <c r="R149" s="9" t="b">
        <v>0</v>
      </c>
      <c r="S149" s="9" t="b">
        <v>1</v>
      </c>
      <c r="T149" s="10">
        <v>16.0</v>
      </c>
      <c r="U149" s="11">
        <f t="shared" si="6"/>
        <v>0</v>
      </c>
      <c r="V149" s="11">
        <f t="shared" ref="V149:AB149" si="451">IF(OR(AW149 = $AO$4, AW149 = $AQ$4), 1, 0)</f>
        <v>1</v>
      </c>
      <c r="W149" s="11">
        <f t="shared" si="451"/>
        <v>1</v>
      </c>
      <c r="X149" s="11">
        <f t="shared" si="451"/>
        <v>1</v>
      </c>
      <c r="Y149" s="11">
        <f t="shared" si="451"/>
        <v>1</v>
      </c>
      <c r="Z149" s="11">
        <f t="shared" si="451"/>
        <v>1</v>
      </c>
      <c r="AA149" s="11">
        <f t="shared" si="451"/>
        <v>1</v>
      </c>
      <c r="AB149" s="11">
        <f t="shared" si="451"/>
        <v>1</v>
      </c>
      <c r="AC149" s="11">
        <f t="shared" si="8"/>
        <v>7</v>
      </c>
      <c r="AD149" s="11">
        <f t="shared" si="9"/>
        <v>0</v>
      </c>
      <c r="AE149" s="11">
        <f t="shared" ref="AE149:AH149" si="452">IF(OR(BD149 = $AO$6, BD149 = $AS$6, BD149 = $AT$6, BD149 = $AU$6), 1, 0)</f>
        <v>1</v>
      </c>
      <c r="AF149" s="11">
        <f t="shared" si="452"/>
        <v>1</v>
      </c>
      <c r="AG149" s="11">
        <f t="shared" si="452"/>
        <v>1</v>
      </c>
      <c r="AH149" s="11">
        <f t="shared" si="452"/>
        <v>1</v>
      </c>
      <c r="AI149" s="11">
        <f t="shared" si="11"/>
        <v>4</v>
      </c>
      <c r="AJ149" s="11">
        <f t="shared" si="12"/>
        <v>11</v>
      </c>
      <c r="AK149" s="12">
        <f t="shared" si="13"/>
        <v>4.583333333</v>
      </c>
      <c r="AL149" s="13" t="str">
        <f t="shared" si="14"/>
        <v>excellent</v>
      </c>
      <c r="AM149" s="7"/>
      <c r="AN149" s="7"/>
    </row>
    <row r="150">
      <c r="A150" s="7" t="s">
        <v>337</v>
      </c>
      <c r="B150" s="7" t="s">
        <v>338</v>
      </c>
      <c r="C150" s="8" t="s">
        <v>328</v>
      </c>
      <c r="D150" s="7" t="s">
        <v>151</v>
      </c>
      <c r="E150" s="8" t="b">
        <f t="shared" ref="E150:K150" si="453">IF(IFERROR(SEARCH(E$1, $D150),0) &gt;= 1, TRUE,FALSE)</f>
        <v>1</v>
      </c>
      <c r="F150" s="8" t="b">
        <f t="shared" si="453"/>
        <v>0</v>
      </c>
      <c r="G150" s="8" t="b">
        <f t="shared" si="453"/>
        <v>0</v>
      </c>
      <c r="H150" s="8" t="b">
        <f t="shared" si="453"/>
        <v>0</v>
      </c>
      <c r="I150" s="8" t="b">
        <f t="shared" si="453"/>
        <v>1</v>
      </c>
      <c r="J150" s="8" t="b">
        <f t="shared" si="453"/>
        <v>0</v>
      </c>
      <c r="K150" s="8" t="b">
        <f t="shared" si="453"/>
        <v>0</v>
      </c>
      <c r="L150" s="9" t="b">
        <v>1</v>
      </c>
      <c r="M150" s="9" t="b">
        <v>0</v>
      </c>
      <c r="N150" s="9" t="b">
        <v>0</v>
      </c>
      <c r="O150" s="9" t="b">
        <v>0</v>
      </c>
      <c r="P150" s="7" t="str">
        <f t="shared" si="5"/>
        <v>CAP/het Collectiehuis</v>
      </c>
      <c r="Q150" s="10">
        <v>4.0</v>
      </c>
      <c r="R150" s="9" t="b">
        <v>0</v>
      </c>
      <c r="S150" s="9" t="b">
        <v>0</v>
      </c>
      <c r="T150" s="7"/>
      <c r="U150" s="11">
        <f t="shared" si="6"/>
        <v>0</v>
      </c>
      <c r="V150" s="11">
        <f t="shared" ref="V150:AB150" si="454">IF(OR(AW150 = $AO$4, AW150 = $AQ$4), 1, 0)</f>
        <v>1</v>
      </c>
      <c r="W150" s="11">
        <f t="shared" si="454"/>
        <v>1</v>
      </c>
      <c r="X150" s="11">
        <f t="shared" si="454"/>
        <v>1</v>
      </c>
      <c r="Y150" s="11">
        <f t="shared" si="454"/>
        <v>1</v>
      </c>
      <c r="Z150" s="11">
        <f t="shared" si="454"/>
        <v>1</v>
      </c>
      <c r="AA150" s="11">
        <f t="shared" si="454"/>
        <v>1</v>
      </c>
      <c r="AB150" s="11">
        <f t="shared" si="454"/>
        <v>1</v>
      </c>
      <c r="AC150" s="11">
        <f t="shared" si="8"/>
        <v>7</v>
      </c>
      <c r="AD150" s="11">
        <f t="shared" si="9"/>
        <v>1</v>
      </c>
      <c r="AE150" s="11">
        <f t="shared" ref="AE150:AH150" si="455">IF(OR(BD150 = $AO$6, BD150 = $AS$6, BD150 = $AT$6, BD150 = $AU$6), 1, 0)</f>
        <v>1</v>
      </c>
      <c r="AF150" s="11">
        <f t="shared" si="455"/>
        <v>1</v>
      </c>
      <c r="AG150" s="11">
        <f t="shared" si="455"/>
        <v>1</v>
      </c>
      <c r="AH150" s="11">
        <f t="shared" si="455"/>
        <v>1</v>
      </c>
      <c r="AI150" s="11">
        <f t="shared" si="11"/>
        <v>4</v>
      </c>
      <c r="AJ150" s="11">
        <f t="shared" si="12"/>
        <v>12</v>
      </c>
      <c r="AK150" s="12">
        <f t="shared" si="13"/>
        <v>5</v>
      </c>
      <c r="AL150" s="13" t="str">
        <f t="shared" si="14"/>
        <v>excellent</v>
      </c>
      <c r="AM150" s="7"/>
      <c r="AN150" s="7"/>
    </row>
    <row r="151">
      <c r="A151" s="7"/>
      <c r="B151" s="7" t="s">
        <v>339</v>
      </c>
      <c r="C151" s="8" t="s">
        <v>328</v>
      </c>
      <c r="D151" s="7" t="s">
        <v>340</v>
      </c>
      <c r="E151" s="8" t="b">
        <f t="shared" ref="E151:K151" si="456">IF(IFERROR(SEARCH(E$1, $D151),0) &gt;= 1, TRUE,FALSE)</f>
        <v>0</v>
      </c>
      <c r="F151" s="8" t="b">
        <f t="shared" si="456"/>
        <v>0</v>
      </c>
      <c r="G151" s="8" t="b">
        <f t="shared" si="456"/>
        <v>0</v>
      </c>
      <c r="H151" s="8" t="b">
        <f t="shared" si="456"/>
        <v>1</v>
      </c>
      <c r="I151" s="8" t="b">
        <f t="shared" si="456"/>
        <v>0</v>
      </c>
      <c r="J151" s="8" t="b">
        <f t="shared" si="456"/>
        <v>1</v>
      </c>
      <c r="K151" s="8" t="b">
        <f t="shared" si="456"/>
        <v>0</v>
      </c>
      <c r="L151" s="9" t="b">
        <v>1</v>
      </c>
      <c r="M151" s="9" t="b">
        <v>0</v>
      </c>
      <c r="N151" s="9" t="b">
        <v>0</v>
      </c>
      <c r="O151" s="9" t="b">
        <v>1</v>
      </c>
      <c r="P151" s="7" t="str">
        <f t="shared" si="5"/>
        <v>Centre Daily-Bul &amp; C°</v>
      </c>
      <c r="Q151" s="10">
        <v>0.0</v>
      </c>
      <c r="R151" s="9" t="b">
        <v>0</v>
      </c>
      <c r="S151" s="9" t="b">
        <v>1</v>
      </c>
      <c r="T151" s="10">
        <v>0.0</v>
      </c>
      <c r="U151" s="11">
        <f t="shared" si="6"/>
        <v>0</v>
      </c>
      <c r="V151" s="11">
        <f t="shared" ref="V151:AB151" si="457">IF(OR(AW151 = $AO$4, AW151 = $AQ$4), 1, 0)</f>
        <v>1</v>
      </c>
      <c r="W151" s="11">
        <f t="shared" si="457"/>
        <v>1</v>
      </c>
      <c r="X151" s="11">
        <f t="shared" si="457"/>
        <v>1</v>
      </c>
      <c r="Y151" s="11">
        <f t="shared" si="457"/>
        <v>1</v>
      </c>
      <c r="Z151" s="11">
        <f t="shared" si="457"/>
        <v>1</v>
      </c>
      <c r="AA151" s="11">
        <f t="shared" si="457"/>
        <v>1</v>
      </c>
      <c r="AB151" s="11">
        <f t="shared" si="457"/>
        <v>1</v>
      </c>
      <c r="AC151" s="11">
        <f t="shared" si="8"/>
        <v>7</v>
      </c>
      <c r="AD151" s="11">
        <f t="shared" si="9"/>
        <v>1</v>
      </c>
      <c r="AE151" s="11">
        <f t="shared" ref="AE151:AH151" si="458">IF(OR(BD151 = $AO$6, BD151 = $AS$6, BD151 = $AT$6, BD151 = $AU$6), 1, 0)</f>
        <v>1</v>
      </c>
      <c r="AF151" s="11">
        <f t="shared" si="458"/>
        <v>1</v>
      </c>
      <c r="AG151" s="11">
        <f t="shared" si="458"/>
        <v>1</v>
      </c>
      <c r="AH151" s="11">
        <f t="shared" si="458"/>
        <v>1</v>
      </c>
      <c r="AI151" s="11">
        <f t="shared" si="11"/>
        <v>4</v>
      </c>
      <c r="AJ151" s="11">
        <f t="shared" si="12"/>
        <v>12</v>
      </c>
      <c r="AK151" s="12">
        <f t="shared" si="13"/>
        <v>5</v>
      </c>
      <c r="AL151" s="13" t="str">
        <f t="shared" si="14"/>
        <v>excellent</v>
      </c>
      <c r="AM151" s="7"/>
      <c r="AN151" s="7"/>
    </row>
    <row r="152">
      <c r="A152" s="7" t="s">
        <v>341</v>
      </c>
      <c r="B152" s="7" t="s">
        <v>342</v>
      </c>
      <c r="C152" s="8" t="s">
        <v>328</v>
      </c>
      <c r="D152" s="7" t="s">
        <v>5</v>
      </c>
      <c r="E152" s="8" t="b">
        <f t="shared" ref="E152:K152" si="459">IF(IFERROR(SEARCH(E$1, $D152),0) &gt;= 1, TRUE,FALSE)</f>
        <v>0</v>
      </c>
      <c r="F152" s="8" t="b">
        <f t="shared" si="459"/>
        <v>1</v>
      </c>
      <c r="G152" s="8" t="b">
        <f t="shared" si="459"/>
        <v>0</v>
      </c>
      <c r="H152" s="8" t="b">
        <f t="shared" si="459"/>
        <v>0</v>
      </c>
      <c r="I152" s="8" t="b">
        <f t="shared" si="459"/>
        <v>0</v>
      </c>
      <c r="J152" s="8" t="b">
        <f t="shared" si="459"/>
        <v>0</v>
      </c>
      <c r="K152" s="8" t="b">
        <f t="shared" si="459"/>
        <v>0</v>
      </c>
      <c r="L152" s="9" t="b">
        <v>1</v>
      </c>
      <c r="M152" s="9" t="b">
        <v>1</v>
      </c>
      <c r="N152" s="9" t="b">
        <v>0</v>
      </c>
      <c r="O152" s="9" t="b">
        <v>1</v>
      </c>
      <c r="P152" s="7" t="str">
        <f t="shared" si="5"/>
        <v>Wetenschappelijk Cultuurcentrum - ULB</v>
      </c>
      <c r="Q152" s="10">
        <v>6.0</v>
      </c>
      <c r="R152" s="9" t="b">
        <v>0</v>
      </c>
      <c r="S152" s="9" t="b">
        <v>1</v>
      </c>
      <c r="T152" s="10">
        <v>6.0</v>
      </c>
      <c r="U152" s="11">
        <f t="shared" si="6"/>
        <v>0</v>
      </c>
      <c r="V152" s="11">
        <f t="shared" ref="V152:AB152" si="460">IF(OR(AW152 = $AO$4, AW152 = $AQ$4), 1, 0)</f>
        <v>1</v>
      </c>
      <c r="W152" s="11">
        <f t="shared" si="460"/>
        <v>1</v>
      </c>
      <c r="X152" s="11">
        <f t="shared" si="460"/>
        <v>1</v>
      </c>
      <c r="Y152" s="11">
        <f t="shared" si="460"/>
        <v>1</v>
      </c>
      <c r="Z152" s="11">
        <f t="shared" si="460"/>
        <v>1</v>
      </c>
      <c r="AA152" s="11">
        <f t="shared" si="460"/>
        <v>1</v>
      </c>
      <c r="AB152" s="11">
        <f t="shared" si="460"/>
        <v>1</v>
      </c>
      <c r="AC152" s="11">
        <f t="shared" si="8"/>
        <v>7</v>
      </c>
      <c r="AD152" s="11">
        <f t="shared" si="9"/>
        <v>1</v>
      </c>
      <c r="AE152" s="11">
        <f t="shared" ref="AE152:AH152" si="461">IF(OR(BD152 = $AO$6, BD152 = $AS$6, BD152 = $AT$6, BD152 = $AU$6), 1, 0)</f>
        <v>1</v>
      </c>
      <c r="AF152" s="11">
        <f t="shared" si="461"/>
        <v>1</v>
      </c>
      <c r="AG152" s="11">
        <f t="shared" si="461"/>
        <v>1</v>
      </c>
      <c r="AH152" s="11">
        <f t="shared" si="461"/>
        <v>1</v>
      </c>
      <c r="AI152" s="11">
        <f t="shared" si="11"/>
        <v>4</v>
      </c>
      <c r="AJ152" s="11">
        <f t="shared" si="12"/>
        <v>12</v>
      </c>
      <c r="AK152" s="12">
        <f t="shared" si="13"/>
        <v>5</v>
      </c>
      <c r="AL152" s="13" t="str">
        <f t="shared" si="14"/>
        <v>excellent</v>
      </c>
      <c r="AM152" s="7"/>
      <c r="AN152" s="7"/>
    </row>
    <row r="153">
      <c r="A153" s="7"/>
      <c r="B153" s="7" t="s">
        <v>343</v>
      </c>
      <c r="C153" s="8" t="s">
        <v>328</v>
      </c>
      <c r="D153" s="7" t="s">
        <v>9</v>
      </c>
      <c r="E153" s="8" t="b">
        <f t="shared" ref="E153:K153" si="462">IF(IFERROR(SEARCH(E$1, $D153),0) &gt;= 1, TRUE,FALSE)</f>
        <v>0</v>
      </c>
      <c r="F153" s="8" t="b">
        <f t="shared" si="462"/>
        <v>0</v>
      </c>
      <c r="G153" s="8" t="b">
        <f t="shared" si="462"/>
        <v>0</v>
      </c>
      <c r="H153" s="8" t="b">
        <f t="shared" si="462"/>
        <v>0</v>
      </c>
      <c r="I153" s="8" t="b">
        <f t="shared" si="462"/>
        <v>0</v>
      </c>
      <c r="J153" s="8" t="b">
        <f t="shared" si="462"/>
        <v>1</v>
      </c>
      <c r="K153" s="8" t="b">
        <f t="shared" si="462"/>
        <v>0</v>
      </c>
      <c r="L153" s="9" t="b">
        <v>1</v>
      </c>
      <c r="M153" s="9" t="b">
        <v>0</v>
      </c>
      <c r="N153" s="9" t="b">
        <v>0</v>
      </c>
      <c r="O153" s="9" t="b">
        <v>0</v>
      </c>
      <c r="P153" s="7" t="str">
        <f t="shared" si="5"/>
        <v>Centre de la Gravure et de l’Image imprimée</v>
      </c>
      <c r="Q153" s="10">
        <v>8.0</v>
      </c>
      <c r="R153" s="9" t="b">
        <v>0</v>
      </c>
      <c r="S153" s="9" t="b">
        <v>1</v>
      </c>
      <c r="T153" s="10">
        <v>8.0</v>
      </c>
      <c r="U153" s="11">
        <f t="shared" si="6"/>
        <v>0</v>
      </c>
      <c r="V153" s="11">
        <f t="shared" ref="V153:AB153" si="463">IF(OR(AW153 = $AO$4, AW153 = $AQ$4), 1, 0)</f>
        <v>1</v>
      </c>
      <c r="W153" s="11">
        <f t="shared" si="463"/>
        <v>1</v>
      </c>
      <c r="X153" s="11">
        <f t="shared" si="463"/>
        <v>1</v>
      </c>
      <c r="Y153" s="11">
        <f t="shared" si="463"/>
        <v>1</v>
      </c>
      <c r="Z153" s="11">
        <f t="shared" si="463"/>
        <v>1</v>
      </c>
      <c r="AA153" s="11">
        <f t="shared" si="463"/>
        <v>1</v>
      </c>
      <c r="AB153" s="11">
        <f t="shared" si="463"/>
        <v>1</v>
      </c>
      <c r="AC153" s="11">
        <f t="shared" si="8"/>
        <v>7</v>
      </c>
      <c r="AD153" s="11">
        <f t="shared" si="9"/>
        <v>1</v>
      </c>
      <c r="AE153" s="11">
        <f t="shared" ref="AE153:AH153" si="464">IF(OR(BD153 = $AO$6, BD153 = $AS$6, BD153 = $AT$6, BD153 = $AU$6), 1, 0)</f>
        <v>1</v>
      </c>
      <c r="AF153" s="11">
        <f t="shared" si="464"/>
        <v>1</v>
      </c>
      <c r="AG153" s="11">
        <f t="shared" si="464"/>
        <v>1</v>
      </c>
      <c r="AH153" s="11">
        <f t="shared" si="464"/>
        <v>1</v>
      </c>
      <c r="AI153" s="11">
        <f t="shared" si="11"/>
        <v>4</v>
      </c>
      <c r="AJ153" s="11">
        <f t="shared" si="12"/>
        <v>12</v>
      </c>
      <c r="AK153" s="12">
        <f t="shared" si="13"/>
        <v>5</v>
      </c>
      <c r="AL153" s="13" t="str">
        <f t="shared" si="14"/>
        <v>excellent</v>
      </c>
      <c r="AM153" s="7"/>
      <c r="AN153" s="7"/>
    </row>
    <row r="154">
      <c r="A154" s="7" t="s">
        <v>344</v>
      </c>
      <c r="B154" s="7" t="s">
        <v>345</v>
      </c>
      <c r="C154" s="8" t="s">
        <v>328</v>
      </c>
      <c r="D154" s="7" t="s">
        <v>292</v>
      </c>
      <c r="E154" s="8" t="b">
        <f t="shared" ref="E154:K154" si="465">IF(IFERROR(SEARCH(E$1, $D154),0) &gt;= 1, TRUE,FALSE)</f>
        <v>0</v>
      </c>
      <c r="F154" s="8" t="b">
        <f t="shared" si="465"/>
        <v>0</v>
      </c>
      <c r="G154" s="8" t="b">
        <f t="shared" si="465"/>
        <v>0</v>
      </c>
      <c r="H154" s="8" t="b">
        <f t="shared" si="465"/>
        <v>0</v>
      </c>
      <c r="I154" s="8" t="b">
        <f t="shared" si="465"/>
        <v>1</v>
      </c>
      <c r="J154" s="8" t="b">
        <f t="shared" si="465"/>
        <v>1</v>
      </c>
      <c r="K154" s="8" t="b">
        <f t="shared" si="465"/>
        <v>1</v>
      </c>
      <c r="L154" s="9" t="b">
        <v>1</v>
      </c>
      <c r="M154" s="9" t="b">
        <v>1</v>
      </c>
      <c r="N154" s="9" t="b">
        <v>1</v>
      </c>
      <c r="O154" s="9" t="b">
        <v>1</v>
      </c>
      <c r="P154" s="7" t="str">
        <f t="shared" si="5"/>
        <v>Centrum voor Innovatie en Design van Grand-Hornu</v>
      </c>
      <c r="Q154" s="10">
        <v>10.0</v>
      </c>
      <c r="R154" s="9" t="b">
        <v>0</v>
      </c>
      <c r="S154" s="9" t="b">
        <v>1</v>
      </c>
      <c r="T154" s="10">
        <v>10.0</v>
      </c>
      <c r="U154" s="11">
        <f t="shared" si="6"/>
        <v>0</v>
      </c>
      <c r="V154" s="11">
        <f t="shared" ref="V154:AB154" si="466">IF(OR(AW154 = $AO$4, AW154 = $AQ$4), 1, 0)</f>
        <v>1</v>
      </c>
      <c r="W154" s="11">
        <f t="shared" si="466"/>
        <v>1</v>
      </c>
      <c r="X154" s="11">
        <f t="shared" si="466"/>
        <v>1</v>
      </c>
      <c r="Y154" s="11">
        <f t="shared" si="466"/>
        <v>1</v>
      </c>
      <c r="Z154" s="11">
        <f t="shared" si="466"/>
        <v>1</v>
      </c>
      <c r="AA154" s="11">
        <f t="shared" si="466"/>
        <v>1</v>
      </c>
      <c r="AB154" s="11">
        <f t="shared" si="466"/>
        <v>1</v>
      </c>
      <c r="AC154" s="11">
        <f t="shared" si="8"/>
        <v>7</v>
      </c>
      <c r="AD154" s="11">
        <f t="shared" si="9"/>
        <v>1</v>
      </c>
      <c r="AE154" s="11">
        <f t="shared" ref="AE154:AH154" si="467">IF(OR(BD154 = $AO$6, BD154 = $AS$6, BD154 = $AT$6, BD154 = $AU$6), 1, 0)</f>
        <v>1</v>
      </c>
      <c r="AF154" s="11">
        <f t="shared" si="467"/>
        <v>1</v>
      </c>
      <c r="AG154" s="11">
        <f t="shared" si="467"/>
        <v>1</v>
      </c>
      <c r="AH154" s="11">
        <f t="shared" si="467"/>
        <v>1</v>
      </c>
      <c r="AI154" s="11">
        <f t="shared" si="11"/>
        <v>4</v>
      </c>
      <c r="AJ154" s="11">
        <f t="shared" si="12"/>
        <v>12</v>
      </c>
      <c r="AK154" s="12">
        <f t="shared" si="13"/>
        <v>5</v>
      </c>
      <c r="AL154" s="13" t="str">
        <f t="shared" si="14"/>
        <v>excellent</v>
      </c>
      <c r="AM154" s="7"/>
      <c r="AN154" s="7"/>
    </row>
    <row r="155">
      <c r="A155" s="7" t="s">
        <v>346</v>
      </c>
      <c r="B155" s="7" t="s">
        <v>347</v>
      </c>
      <c r="C155" s="8" t="s">
        <v>328</v>
      </c>
      <c r="D155" s="7" t="s">
        <v>8</v>
      </c>
      <c r="E155" s="8" t="b">
        <f t="shared" ref="E155:K155" si="468">IF(IFERROR(SEARCH(E$1, $D155),0) &gt;= 1, TRUE,FALSE)</f>
        <v>0</v>
      </c>
      <c r="F155" s="8" t="b">
        <f t="shared" si="468"/>
        <v>0</v>
      </c>
      <c r="G155" s="8" t="b">
        <f t="shared" si="468"/>
        <v>0</v>
      </c>
      <c r="H155" s="8" t="b">
        <f t="shared" si="468"/>
        <v>0</v>
      </c>
      <c r="I155" s="8" t="b">
        <f t="shared" si="468"/>
        <v>1</v>
      </c>
      <c r="J155" s="8" t="b">
        <f t="shared" si="468"/>
        <v>0</v>
      </c>
      <c r="K155" s="8" t="b">
        <f t="shared" si="468"/>
        <v>0</v>
      </c>
      <c r="L155" s="9" t="b">
        <v>1</v>
      </c>
      <c r="M155" s="9" t="b">
        <v>1</v>
      </c>
      <c r="N155" s="9" t="b">
        <v>0</v>
      </c>
      <c r="O155" s="9" t="b">
        <v>1</v>
      </c>
      <c r="P155" s="7" t="str">
        <f t="shared" si="5"/>
        <v>Domein van het Kasteel van Seneffe</v>
      </c>
      <c r="Q155" s="10">
        <v>6.0</v>
      </c>
      <c r="R155" s="9" t="b">
        <v>0</v>
      </c>
      <c r="S155" s="9" t="b">
        <v>1</v>
      </c>
      <c r="T155" s="10">
        <v>6.0</v>
      </c>
      <c r="U155" s="11">
        <f t="shared" si="6"/>
        <v>0</v>
      </c>
      <c r="V155" s="11">
        <f t="shared" ref="V155:AB155" si="469">IF(OR(AW155 = $AO$4, AW155 = $AQ$4), 1, 0)</f>
        <v>1</v>
      </c>
      <c r="W155" s="11">
        <f t="shared" si="469"/>
        <v>1</v>
      </c>
      <c r="X155" s="11">
        <f t="shared" si="469"/>
        <v>1</v>
      </c>
      <c r="Y155" s="11">
        <f t="shared" si="469"/>
        <v>1</v>
      </c>
      <c r="Z155" s="11">
        <f t="shared" si="469"/>
        <v>1</v>
      </c>
      <c r="AA155" s="11">
        <f t="shared" si="469"/>
        <v>1</v>
      </c>
      <c r="AB155" s="11">
        <f t="shared" si="469"/>
        <v>1</v>
      </c>
      <c r="AC155" s="11">
        <f t="shared" si="8"/>
        <v>7</v>
      </c>
      <c r="AD155" s="11">
        <f t="shared" si="9"/>
        <v>1</v>
      </c>
      <c r="AE155" s="11">
        <f t="shared" ref="AE155:AH155" si="470">IF(OR(BD155 = $AO$6, BD155 = $AS$6, BD155 = $AT$6, BD155 = $AU$6), 1, 0)</f>
        <v>1</v>
      </c>
      <c r="AF155" s="11">
        <f t="shared" si="470"/>
        <v>1</v>
      </c>
      <c r="AG155" s="11">
        <f t="shared" si="470"/>
        <v>1</v>
      </c>
      <c r="AH155" s="11">
        <f t="shared" si="470"/>
        <v>1</v>
      </c>
      <c r="AI155" s="11">
        <f t="shared" si="11"/>
        <v>4</v>
      </c>
      <c r="AJ155" s="11">
        <f t="shared" si="12"/>
        <v>12</v>
      </c>
      <c r="AK155" s="12">
        <f t="shared" si="13"/>
        <v>5</v>
      </c>
      <c r="AL155" s="13" t="str">
        <f t="shared" si="14"/>
        <v>excellent</v>
      </c>
      <c r="AM155" s="7"/>
      <c r="AN155" s="7"/>
    </row>
    <row r="156">
      <c r="A156" s="7" t="s">
        <v>348</v>
      </c>
      <c r="B156" s="7" t="s">
        <v>349</v>
      </c>
      <c r="C156" s="8" t="s">
        <v>328</v>
      </c>
      <c r="D156" s="7" t="s">
        <v>4</v>
      </c>
      <c r="E156" s="8" t="b">
        <f t="shared" ref="E156:K156" si="471">IF(IFERROR(SEARCH(E$1, $D156),0) &gt;= 1, TRUE,FALSE)</f>
        <v>1</v>
      </c>
      <c r="F156" s="8" t="b">
        <f t="shared" si="471"/>
        <v>0</v>
      </c>
      <c r="G156" s="8" t="b">
        <f t="shared" si="471"/>
        <v>0</v>
      </c>
      <c r="H156" s="8" t="b">
        <f t="shared" si="471"/>
        <v>0</v>
      </c>
      <c r="I156" s="8" t="b">
        <f t="shared" si="471"/>
        <v>0</v>
      </c>
      <c r="J156" s="8" t="b">
        <f t="shared" si="471"/>
        <v>0</v>
      </c>
      <c r="K156" s="8" t="b">
        <f t="shared" si="471"/>
        <v>0</v>
      </c>
      <c r="L156" s="9" t="b">
        <v>1</v>
      </c>
      <c r="M156" s="9" t="b">
        <v>0</v>
      </c>
      <c r="N156" s="9" t="b">
        <v>0</v>
      </c>
      <c r="O156" s="9" t="b">
        <v>0</v>
      </c>
      <c r="P156" s="7" t="str">
        <f t="shared" si="5"/>
        <v>Gallo-Romeins Museum van Aat</v>
      </c>
      <c r="Q156" s="10">
        <v>6.0</v>
      </c>
      <c r="R156" s="9" t="b">
        <v>0</v>
      </c>
      <c r="S156" s="9" t="b">
        <v>1</v>
      </c>
      <c r="T156" s="10">
        <v>6.0</v>
      </c>
      <c r="U156" s="11">
        <f t="shared" si="6"/>
        <v>0</v>
      </c>
      <c r="V156" s="11">
        <f t="shared" ref="V156:AB156" si="472">IF(OR(AW156 = $AO$4, AW156 = $AQ$4), 1, 0)</f>
        <v>1</v>
      </c>
      <c r="W156" s="11">
        <f t="shared" si="472"/>
        <v>1</v>
      </c>
      <c r="X156" s="11">
        <f t="shared" si="472"/>
        <v>1</v>
      </c>
      <c r="Y156" s="11">
        <f t="shared" si="472"/>
        <v>1</v>
      </c>
      <c r="Z156" s="11">
        <f t="shared" si="472"/>
        <v>1</v>
      </c>
      <c r="AA156" s="11">
        <f t="shared" si="472"/>
        <v>1</v>
      </c>
      <c r="AB156" s="11">
        <f t="shared" si="472"/>
        <v>1</v>
      </c>
      <c r="AC156" s="11">
        <f t="shared" si="8"/>
        <v>7</v>
      </c>
      <c r="AD156" s="11">
        <f t="shared" si="9"/>
        <v>1</v>
      </c>
      <c r="AE156" s="11">
        <f t="shared" ref="AE156:AH156" si="473">IF(OR(BD156 = $AO$6, BD156 = $AS$6, BD156 = $AT$6, BD156 = $AU$6), 1, 0)</f>
        <v>1</v>
      </c>
      <c r="AF156" s="11">
        <f t="shared" si="473"/>
        <v>1</v>
      </c>
      <c r="AG156" s="11">
        <f t="shared" si="473"/>
        <v>1</v>
      </c>
      <c r="AH156" s="11">
        <f t="shared" si="473"/>
        <v>1</v>
      </c>
      <c r="AI156" s="11">
        <f t="shared" si="11"/>
        <v>4</v>
      </c>
      <c r="AJ156" s="11">
        <f t="shared" si="12"/>
        <v>12</v>
      </c>
      <c r="AK156" s="12">
        <f t="shared" si="13"/>
        <v>5</v>
      </c>
      <c r="AL156" s="13" t="str">
        <f t="shared" si="14"/>
        <v>excellent</v>
      </c>
      <c r="AM156" s="7"/>
      <c r="AN156" s="7"/>
    </row>
    <row r="157">
      <c r="A157" s="7" t="s">
        <v>350</v>
      </c>
      <c r="B157" s="7" t="s">
        <v>351</v>
      </c>
      <c r="C157" s="8" t="s">
        <v>328</v>
      </c>
      <c r="D157" s="7" t="s">
        <v>4</v>
      </c>
      <c r="E157" s="8" t="b">
        <f t="shared" ref="E157:K157" si="474">IF(IFERROR(SEARCH(E$1, $D157),0) &gt;= 1, TRUE,FALSE)</f>
        <v>1</v>
      </c>
      <c r="F157" s="8" t="b">
        <f t="shared" si="474"/>
        <v>0</v>
      </c>
      <c r="G157" s="8" t="b">
        <f t="shared" si="474"/>
        <v>0</v>
      </c>
      <c r="H157" s="8" t="b">
        <f t="shared" si="474"/>
        <v>0</v>
      </c>
      <c r="I157" s="8" t="b">
        <f t="shared" si="474"/>
        <v>0</v>
      </c>
      <c r="J157" s="8" t="b">
        <f t="shared" si="474"/>
        <v>0</v>
      </c>
      <c r="K157" s="8" t="b">
        <f t="shared" si="474"/>
        <v>0</v>
      </c>
      <c r="L157" s="9" t="b">
        <v>1</v>
      </c>
      <c r="M157" s="9" t="b">
        <v>0</v>
      </c>
      <c r="N157" s="9" t="b">
        <v>1</v>
      </c>
      <c r="O157" s="9" t="b">
        <v>1</v>
      </c>
      <c r="P157" s="7" t="str">
        <f t="shared" si="5"/>
        <v>Hospitaal Onze-Lieve-Vrouw met de Roos</v>
      </c>
      <c r="Q157" s="10">
        <v>13.0</v>
      </c>
      <c r="R157" s="9" t="b">
        <v>0</v>
      </c>
      <c r="S157" s="9" t="b">
        <v>1</v>
      </c>
      <c r="T157" s="10">
        <v>13.0</v>
      </c>
      <c r="U157" s="11">
        <f t="shared" si="6"/>
        <v>0</v>
      </c>
      <c r="V157" s="11">
        <f t="shared" ref="V157:AB157" si="475">IF(OR(AW157 = $AO$4, AW157 = $AQ$4), 1, 0)</f>
        <v>1</v>
      </c>
      <c r="W157" s="11">
        <f t="shared" si="475"/>
        <v>1</v>
      </c>
      <c r="X157" s="11">
        <f t="shared" si="475"/>
        <v>1</v>
      </c>
      <c r="Y157" s="11">
        <f t="shared" si="475"/>
        <v>1</v>
      </c>
      <c r="Z157" s="11">
        <f t="shared" si="475"/>
        <v>1</v>
      </c>
      <c r="AA157" s="11">
        <f t="shared" si="475"/>
        <v>1</v>
      </c>
      <c r="AB157" s="11">
        <f t="shared" si="475"/>
        <v>1</v>
      </c>
      <c r="AC157" s="11">
        <f t="shared" si="8"/>
        <v>7</v>
      </c>
      <c r="AD157" s="11">
        <f t="shared" si="9"/>
        <v>1</v>
      </c>
      <c r="AE157" s="11">
        <f t="shared" ref="AE157:AH157" si="476">IF(OR(BD157 = $AO$6, BD157 = $AS$6, BD157 = $AT$6, BD157 = $AU$6), 1, 0)</f>
        <v>1</v>
      </c>
      <c r="AF157" s="11">
        <f t="shared" si="476"/>
        <v>1</v>
      </c>
      <c r="AG157" s="11">
        <f t="shared" si="476"/>
        <v>1</v>
      </c>
      <c r="AH157" s="11">
        <f t="shared" si="476"/>
        <v>1</v>
      </c>
      <c r="AI157" s="11">
        <f t="shared" si="11"/>
        <v>4</v>
      </c>
      <c r="AJ157" s="11">
        <f t="shared" si="12"/>
        <v>12</v>
      </c>
      <c r="AK157" s="12">
        <f t="shared" si="13"/>
        <v>5</v>
      </c>
      <c r="AL157" s="13" t="str">
        <f t="shared" si="14"/>
        <v>excellent</v>
      </c>
      <c r="AM157" s="7"/>
      <c r="AN157" s="7"/>
    </row>
    <row r="158">
      <c r="A158" s="7" t="s">
        <v>352</v>
      </c>
      <c r="B158" s="7" t="s">
        <v>353</v>
      </c>
      <c r="C158" s="8" t="s">
        <v>328</v>
      </c>
      <c r="D158" s="7" t="s">
        <v>102</v>
      </c>
      <c r="E158" s="8" t="b">
        <f t="shared" ref="E158:K158" si="477">IF(IFERROR(SEARCH(E$1, $D158),0) &gt;= 1, TRUE,FALSE)</f>
        <v>1</v>
      </c>
      <c r="F158" s="8" t="b">
        <f t="shared" si="477"/>
        <v>0</v>
      </c>
      <c r="G158" s="8" t="b">
        <f t="shared" si="477"/>
        <v>0</v>
      </c>
      <c r="H158" s="8" t="b">
        <f t="shared" si="477"/>
        <v>0</v>
      </c>
      <c r="I158" s="8" t="b">
        <f t="shared" si="477"/>
        <v>0</v>
      </c>
      <c r="J158" s="8" t="b">
        <f t="shared" si="477"/>
        <v>1</v>
      </c>
      <c r="K158" s="8" t="b">
        <f t="shared" si="477"/>
        <v>0</v>
      </c>
      <c r="L158" s="9" t="b">
        <v>1</v>
      </c>
      <c r="M158" s="9" t="b">
        <v>0</v>
      </c>
      <c r="N158" s="9" t="b">
        <v>0</v>
      </c>
      <c r="O158" s="9" t="b">
        <v>1</v>
      </c>
      <c r="P158" s="7" t="str">
        <f t="shared" si="5"/>
        <v>Keramis - Centrum van de Keramiek</v>
      </c>
      <c r="Q158" s="10">
        <v>8.0</v>
      </c>
      <c r="R158" s="9" t="b">
        <v>0</v>
      </c>
      <c r="S158" s="9" t="b">
        <v>1</v>
      </c>
      <c r="T158" s="10">
        <v>8.0</v>
      </c>
      <c r="U158" s="11">
        <f t="shared" si="6"/>
        <v>0</v>
      </c>
      <c r="V158" s="11">
        <f t="shared" ref="V158:AB158" si="478">IF(OR(AW158 = $AO$4, AW158 = $AQ$4), 1, 0)</f>
        <v>1</v>
      </c>
      <c r="W158" s="11">
        <f t="shared" si="478"/>
        <v>1</v>
      </c>
      <c r="X158" s="11">
        <f t="shared" si="478"/>
        <v>1</v>
      </c>
      <c r="Y158" s="11">
        <f t="shared" si="478"/>
        <v>1</v>
      </c>
      <c r="Z158" s="11">
        <f t="shared" si="478"/>
        <v>1</v>
      </c>
      <c r="AA158" s="11">
        <f t="shared" si="478"/>
        <v>1</v>
      </c>
      <c r="AB158" s="11">
        <f t="shared" si="478"/>
        <v>1</v>
      </c>
      <c r="AC158" s="11">
        <f t="shared" si="8"/>
        <v>7</v>
      </c>
      <c r="AD158" s="11">
        <f t="shared" si="9"/>
        <v>1</v>
      </c>
      <c r="AE158" s="11">
        <f t="shared" ref="AE158:AH158" si="479">IF(OR(BD158 = $AO$6, BD158 = $AS$6, BD158 = $AT$6, BD158 = $AU$6), 1, 0)</f>
        <v>1</v>
      </c>
      <c r="AF158" s="11">
        <f t="shared" si="479"/>
        <v>1</v>
      </c>
      <c r="AG158" s="11">
        <f t="shared" si="479"/>
        <v>1</v>
      </c>
      <c r="AH158" s="11">
        <f t="shared" si="479"/>
        <v>1</v>
      </c>
      <c r="AI158" s="11">
        <f t="shared" si="11"/>
        <v>4</v>
      </c>
      <c r="AJ158" s="11">
        <f t="shared" si="12"/>
        <v>12</v>
      </c>
      <c r="AK158" s="12">
        <f t="shared" si="13"/>
        <v>5</v>
      </c>
      <c r="AL158" s="13" t="str">
        <f t="shared" si="14"/>
        <v>excellent</v>
      </c>
      <c r="AM158" s="7"/>
      <c r="AN158" s="7"/>
    </row>
    <row r="159">
      <c r="A159" s="7" t="s">
        <v>354</v>
      </c>
      <c r="B159" s="7" t="s">
        <v>355</v>
      </c>
      <c r="C159" s="8" t="s">
        <v>328</v>
      </c>
      <c r="D159" s="7" t="s">
        <v>102</v>
      </c>
      <c r="E159" s="8" t="b">
        <f t="shared" ref="E159:K159" si="480">IF(IFERROR(SEARCH(E$1, $D159),0) &gt;= 1, TRUE,FALSE)</f>
        <v>1</v>
      </c>
      <c r="F159" s="8" t="b">
        <f t="shared" si="480"/>
        <v>0</v>
      </c>
      <c r="G159" s="8" t="b">
        <f t="shared" si="480"/>
        <v>0</v>
      </c>
      <c r="H159" s="8" t="b">
        <f t="shared" si="480"/>
        <v>0</v>
      </c>
      <c r="I159" s="8" t="b">
        <f t="shared" si="480"/>
        <v>0</v>
      </c>
      <c r="J159" s="8" t="b">
        <f t="shared" si="480"/>
        <v>1</v>
      </c>
      <c r="K159" s="8" t="b">
        <f t="shared" si="480"/>
        <v>0</v>
      </c>
      <c r="L159" s="9" t="b">
        <v>1</v>
      </c>
      <c r="M159" s="9" t="b">
        <v>0</v>
      </c>
      <c r="N159" s="9" t="b">
        <v>0</v>
      </c>
      <c r="O159" s="9" t="b">
        <v>0</v>
      </c>
      <c r="P159" s="7" t="str">
        <f t="shared" si="5"/>
        <v>Het Reuzenhuis</v>
      </c>
      <c r="Q159" s="10">
        <v>8.0</v>
      </c>
      <c r="R159" s="9" t="b">
        <v>0</v>
      </c>
      <c r="S159" s="9" t="b">
        <v>0</v>
      </c>
      <c r="T159" s="7"/>
      <c r="U159" s="11">
        <f t="shared" si="6"/>
        <v>0</v>
      </c>
      <c r="V159" s="11">
        <f t="shared" ref="V159:AB159" si="481">IF(OR(AW159 = $AO$4, AW159 = $AQ$4), 1, 0)</f>
        <v>1</v>
      </c>
      <c r="W159" s="11">
        <f t="shared" si="481"/>
        <v>1</v>
      </c>
      <c r="X159" s="11">
        <f t="shared" si="481"/>
        <v>1</v>
      </c>
      <c r="Y159" s="11">
        <f t="shared" si="481"/>
        <v>1</v>
      </c>
      <c r="Z159" s="11">
        <f t="shared" si="481"/>
        <v>1</v>
      </c>
      <c r="AA159" s="11">
        <f t="shared" si="481"/>
        <v>1</v>
      </c>
      <c r="AB159" s="11">
        <f t="shared" si="481"/>
        <v>1</v>
      </c>
      <c r="AC159" s="11">
        <f t="shared" si="8"/>
        <v>7</v>
      </c>
      <c r="AD159" s="11">
        <f t="shared" si="9"/>
        <v>1</v>
      </c>
      <c r="AE159" s="11">
        <f t="shared" ref="AE159:AH159" si="482">IF(OR(BD159 = $AO$6, BD159 = $AS$6, BD159 = $AT$6, BD159 = $AU$6), 1, 0)</f>
        <v>1</v>
      </c>
      <c r="AF159" s="11">
        <f t="shared" si="482"/>
        <v>1</v>
      </c>
      <c r="AG159" s="11">
        <f t="shared" si="482"/>
        <v>1</v>
      </c>
      <c r="AH159" s="11">
        <f t="shared" si="482"/>
        <v>1</v>
      </c>
      <c r="AI159" s="11">
        <f t="shared" si="11"/>
        <v>4</v>
      </c>
      <c r="AJ159" s="11">
        <f t="shared" si="12"/>
        <v>12</v>
      </c>
      <c r="AK159" s="12">
        <f t="shared" si="13"/>
        <v>5</v>
      </c>
      <c r="AL159" s="13" t="str">
        <f t="shared" si="14"/>
        <v>excellent</v>
      </c>
      <c r="AM159" s="7"/>
      <c r="AN159" s="7"/>
    </row>
    <row r="160">
      <c r="A160" s="7" t="s">
        <v>356</v>
      </c>
      <c r="B160" s="7" t="s">
        <v>357</v>
      </c>
      <c r="C160" s="8" t="s">
        <v>328</v>
      </c>
      <c r="D160" s="7" t="s">
        <v>4</v>
      </c>
      <c r="E160" s="8" t="b">
        <f t="shared" ref="E160:K160" si="483">IF(IFERROR(SEARCH(E$1, $D160),0) &gt;= 1, TRUE,FALSE)</f>
        <v>1</v>
      </c>
      <c r="F160" s="8" t="b">
        <f t="shared" si="483"/>
        <v>0</v>
      </c>
      <c r="G160" s="8" t="b">
        <f t="shared" si="483"/>
        <v>0</v>
      </c>
      <c r="H160" s="8" t="b">
        <f t="shared" si="483"/>
        <v>0</v>
      </c>
      <c r="I160" s="8" t="b">
        <f t="shared" si="483"/>
        <v>0</v>
      </c>
      <c r="J160" s="8" t="b">
        <f t="shared" si="483"/>
        <v>0</v>
      </c>
      <c r="K160" s="8" t="b">
        <f t="shared" si="483"/>
        <v>0</v>
      </c>
      <c r="L160" s="9" t="b">
        <v>1</v>
      </c>
      <c r="M160" s="9" t="b">
        <v>0</v>
      </c>
      <c r="N160" s="9" t="b">
        <v>0</v>
      </c>
      <c r="O160" s="9" t="b">
        <v>0</v>
      </c>
      <c r="P160" s="7" t="str">
        <f t="shared" si="5"/>
        <v>Het Huis Van Gogh</v>
      </c>
      <c r="Q160" s="10">
        <v>4.0</v>
      </c>
      <c r="R160" s="9" t="b">
        <v>0</v>
      </c>
      <c r="S160" s="9" t="b">
        <v>1</v>
      </c>
      <c r="T160" s="10">
        <v>4.0</v>
      </c>
      <c r="U160" s="11">
        <f t="shared" si="6"/>
        <v>0</v>
      </c>
      <c r="V160" s="11">
        <f t="shared" ref="V160:AB160" si="484">IF(OR(AW160 = $AO$4, AW160 = $AQ$4), 1, 0)</f>
        <v>1</v>
      </c>
      <c r="W160" s="11">
        <f t="shared" si="484"/>
        <v>1</v>
      </c>
      <c r="X160" s="11">
        <f t="shared" si="484"/>
        <v>1</v>
      </c>
      <c r="Y160" s="11">
        <f t="shared" si="484"/>
        <v>1</v>
      </c>
      <c r="Z160" s="11">
        <f t="shared" si="484"/>
        <v>1</v>
      </c>
      <c r="AA160" s="11">
        <f t="shared" si="484"/>
        <v>1</v>
      </c>
      <c r="AB160" s="11">
        <f t="shared" si="484"/>
        <v>1</v>
      </c>
      <c r="AC160" s="11">
        <f t="shared" si="8"/>
        <v>7</v>
      </c>
      <c r="AD160" s="11">
        <f t="shared" si="9"/>
        <v>1</v>
      </c>
      <c r="AE160" s="11">
        <f t="shared" ref="AE160:AH160" si="485">IF(OR(BD160 = $AO$6, BD160 = $AS$6, BD160 = $AT$6, BD160 = $AU$6), 1, 0)</f>
        <v>1</v>
      </c>
      <c r="AF160" s="11">
        <f t="shared" si="485"/>
        <v>1</v>
      </c>
      <c r="AG160" s="11">
        <f t="shared" si="485"/>
        <v>1</v>
      </c>
      <c r="AH160" s="11">
        <f t="shared" si="485"/>
        <v>1</v>
      </c>
      <c r="AI160" s="11">
        <f t="shared" si="11"/>
        <v>4</v>
      </c>
      <c r="AJ160" s="11">
        <f t="shared" si="12"/>
        <v>12</v>
      </c>
      <c r="AK160" s="12">
        <f t="shared" si="13"/>
        <v>5</v>
      </c>
      <c r="AL160" s="13" t="str">
        <f t="shared" si="14"/>
        <v>excellent</v>
      </c>
      <c r="AM160" s="7"/>
      <c r="AN160" s="7"/>
    </row>
    <row r="161">
      <c r="A161" s="7"/>
      <c r="B161" s="7" t="s">
        <v>358</v>
      </c>
      <c r="C161" s="8" t="s">
        <v>328</v>
      </c>
      <c r="D161" s="7" t="s">
        <v>114</v>
      </c>
      <c r="E161" s="8" t="b">
        <f t="shared" ref="E161:K161" si="486">IF(IFERROR(SEARCH(E$1, $D161),0) &gt;= 1, TRUE,FALSE)</f>
        <v>1</v>
      </c>
      <c r="F161" s="8" t="b">
        <f t="shared" si="486"/>
        <v>1</v>
      </c>
      <c r="G161" s="8" t="b">
        <f t="shared" si="486"/>
        <v>0</v>
      </c>
      <c r="H161" s="8" t="b">
        <f t="shared" si="486"/>
        <v>0</v>
      </c>
      <c r="I161" s="8" t="b">
        <f t="shared" si="486"/>
        <v>0</v>
      </c>
      <c r="J161" s="8" t="b">
        <f t="shared" si="486"/>
        <v>0</v>
      </c>
      <c r="K161" s="8" t="b">
        <f t="shared" si="486"/>
        <v>0</v>
      </c>
      <c r="L161" s="9" t="b">
        <v>1</v>
      </c>
      <c r="M161" s="9" t="b">
        <v>1</v>
      </c>
      <c r="N161" s="9" t="b">
        <v>1</v>
      </c>
      <c r="O161" s="9" t="b">
        <v>1</v>
      </c>
      <c r="P161" s="7" t="str">
        <f t="shared" si="5"/>
        <v>Le Bois du Cazier</v>
      </c>
      <c r="Q161" s="10">
        <v>9.0</v>
      </c>
      <c r="R161" s="9" t="b">
        <v>0</v>
      </c>
      <c r="S161" s="9" t="b">
        <v>1</v>
      </c>
      <c r="T161" s="10">
        <v>9.0</v>
      </c>
      <c r="U161" s="11">
        <f t="shared" si="6"/>
        <v>0</v>
      </c>
      <c r="V161" s="11">
        <f t="shared" ref="V161:AB161" si="487">IF(OR(AW161 = $AO$4, AW161 = $AQ$4), 1, 0)</f>
        <v>1</v>
      </c>
      <c r="W161" s="11">
        <f t="shared" si="487"/>
        <v>1</v>
      </c>
      <c r="X161" s="11">
        <f t="shared" si="487"/>
        <v>1</v>
      </c>
      <c r="Y161" s="11">
        <f t="shared" si="487"/>
        <v>1</v>
      </c>
      <c r="Z161" s="11">
        <f t="shared" si="487"/>
        <v>1</v>
      </c>
      <c r="AA161" s="11">
        <f t="shared" si="487"/>
        <v>1</v>
      </c>
      <c r="AB161" s="11">
        <f t="shared" si="487"/>
        <v>1</v>
      </c>
      <c r="AC161" s="11">
        <f t="shared" si="8"/>
        <v>7</v>
      </c>
      <c r="AD161" s="11">
        <f t="shared" si="9"/>
        <v>1</v>
      </c>
      <c r="AE161" s="11">
        <f t="shared" ref="AE161:AH161" si="488">IF(OR(BD161 = $AO$6, BD161 = $AS$6, BD161 = $AT$6, BD161 = $AU$6), 1, 0)</f>
        <v>1</v>
      </c>
      <c r="AF161" s="11">
        <f t="shared" si="488"/>
        <v>1</v>
      </c>
      <c r="AG161" s="11">
        <f t="shared" si="488"/>
        <v>1</v>
      </c>
      <c r="AH161" s="11">
        <f t="shared" si="488"/>
        <v>1</v>
      </c>
      <c r="AI161" s="11">
        <f t="shared" si="11"/>
        <v>4</v>
      </c>
      <c r="AJ161" s="11">
        <f t="shared" si="12"/>
        <v>12</v>
      </c>
      <c r="AK161" s="12">
        <f t="shared" si="13"/>
        <v>5</v>
      </c>
      <c r="AL161" s="13" t="str">
        <f t="shared" si="14"/>
        <v>excellent</v>
      </c>
      <c r="AM161" s="7"/>
      <c r="AN161" s="7"/>
    </row>
    <row r="162">
      <c r="A162" s="7" t="s">
        <v>359</v>
      </c>
      <c r="B162" s="7" t="s">
        <v>360</v>
      </c>
      <c r="C162" s="8" t="s">
        <v>328</v>
      </c>
      <c r="D162" s="7" t="s">
        <v>361</v>
      </c>
      <c r="E162" s="8" t="b">
        <f t="shared" ref="E162:K162" si="489">IF(IFERROR(SEARCH(E$1, $D162),0) &gt;= 1, TRUE,FALSE)</f>
        <v>0</v>
      </c>
      <c r="F162" s="8" t="b">
        <f t="shared" si="489"/>
        <v>0</v>
      </c>
      <c r="G162" s="8" t="b">
        <f t="shared" si="489"/>
        <v>0</v>
      </c>
      <c r="H162" s="8" t="b">
        <f t="shared" si="489"/>
        <v>0</v>
      </c>
      <c r="I162" s="8" t="b">
        <f t="shared" si="489"/>
        <v>1</v>
      </c>
      <c r="J162" s="8" t="b">
        <f t="shared" si="489"/>
        <v>0</v>
      </c>
      <c r="K162" s="8" t="b">
        <f t="shared" si="489"/>
        <v>1</v>
      </c>
      <c r="L162" s="9" t="b">
        <v>1</v>
      </c>
      <c r="M162" s="9" t="b">
        <v>1</v>
      </c>
      <c r="N162" s="9" t="b">
        <v>0</v>
      </c>
      <c r="O162" s="9" t="b">
        <v>1</v>
      </c>
      <c r="P162" s="7" t="str">
        <f t="shared" si="5"/>
        <v>MACS | Museum voor Hedendaagse Kunsten Grand-Hornu</v>
      </c>
      <c r="Q162" s="10">
        <v>10.0</v>
      </c>
      <c r="R162" s="9" t="b">
        <v>0</v>
      </c>
      <c r="S162" s="9" t="b">
        <v>1</v>
      </c>
      <c r="T162" s="10">
        <v>10.0</v>
      </c>
      <c r="U162" s="11">
        <f t="shared" si="6"/>
        <v>0</v>
      </c>
      <c r="V162" s="11">
        <f t="shared" ref="V162:AB162" si="490">IF(OR(AW162 = $AO$4, AW162 = $AQ$4), 1, 0)</f>
        <v>1</v>
      </c>
      <c r="W162" s="11">
        <f t="shared" si="490"/>
        <v>1</v>
      </c>
      <c r="X162" s="11">
        <f t="shared" si="490"/>
        <v>1</v>
      </c>
      <c r="Y162" s="11">
        <f t="shared" si="490"/>
        <v>1</v>
      </c>
      <c r="Z162" s="11">
        <f t="shared" si="490"/>
        <v>1</v>
      </c>
      <c r="AA162" s="11">
        <f t="shared" si="490"/>
        <v>1</v>
      </c>
      <c r="AB162" s="11">
        <f t="shared" si="490"/>
        <v>1</v>
      </c>
      <c r="AC162" s="11">
        <f t="shared" si="8"/>
        <v>7</v>
      </c>
      <c r="AD162" s="11">
        <f t="shared" si="9"/>
        <v>1</v>
      </c>
      <c r="AE162" s="11">
        <f t="shared" ref="AE162:AH162" si="491">IF(OR(BD162 = $AO$6, BD162 = $AS$6, BD162 = $AT$6, BD162 = $AU$6), 1, 0)</f>
        <v>1</v>
      </c>
      <c r="AF162" s="11">
        <f t="shared" si="491"/>
        <v>1</v>
      </c>
      <c r="AG162" s="11">
        <f t="shared" si="491"/>
        <v>1</v>
      </c>
      <c r="AH162" s="11">
        <f t="shared" si="491"/>
        <v>1</v>
      </c>
      <c r="AI162" s="11">
        <f t="shared" si="11"/>
        <v>4</v>
      </c>
      <c r="AJ162" s="11">
        <f t="shared" si="12"/>
        <v>12</v>
      </c>
      <c r="AK162" s="12">
        <f t="shared" si="13"/>
        <v>5</v>
      </c>
      <c r="AL162" s="13" t="str">
        <f t="shared" si="14"/>
        <v>excellent</v>
      </c>
      <c r="AM162" s="7"/>
      <c r="AN162" s="7"/>
    </row>
    <row r="163">
      <c r="A163" s="7"/>
      <c r="B163" s="7" t="s">
        <v>362</v>
      </c>
      <c r="C163" s="8" t="s">
        <v>328</v>
      </c>
      <c r="D163" s="7" t="s">
        <v>5</v>
      </c>
      <c r="E163" s="8" t="b">
        <f t="shared" ref="E163:K163" si="492">IF(IFERROR(SEARCH(E$1, $D163),0) &gt;= 1, TRUE,FALSE)</f>
        <v>0</v>
      </c>
      <c r="F163" s="8" t="b">
        <f t="shared" si="492"/>
        <v>1</v>
      </c>
      <c r="G163" s="8" t="b">
        <f t="shared" si="492"/>
        <v>0</v>
      </c>
      <c r="H163" s="8" t="b">
        <f t="shared" si="492"/>
        <v>0</v>
      </c>
      <c r="I163" s="8" t="b">
        <f t="shared" si="492"/>
        <v>0</v>
      </c>
      <c r="J163" s="8" t="b">
        <f t="shared" si="492"/>
        <v>0</v>
      </c>
      <c r="K163" s="8" t="b">
        <f t="shared" si="492"/>
        <v>0</v>
      </c>
      <c r="L163" s="9" t="b">
        <v>1</v>
      </c>
      <c r="M163" s="9" t="b">
        <v>1</v>
      </c>
      <c r="N163" s="9" t="b">
        <v>0</v>
      </c>
      <c r="O163" s="9" t="b">
        <v>1</v>
      </c>
      <c r="P163" s="7" t="str">
        <f t="shared" si="5"/>
        <v>Maison de l’Imprimerie</v>
      </c>
      <c r="Q163" s="10">
        <v>5.0</v>
      </c>
      <c r="R163" s="9" t="b">
        <v>0</v>
      </c>
      <c r="S163" s="9" t="b">
        <v>1</v>
      </c>
      <c r="T163" s="10">
        <v>5.0</v>
      </c>
      <c r="U163" s="11">
        <f t="shared" si="6"/>
        <v>0</v>
      </c>
      <c r="V163" s="11">
        <f t="shared" ref="V163:AB163" si="493">IF(OR(AW163 = $AO$4, AW163 = $AQ$4), 1, 0)</f>
        <v>1</v>
      </c>
      <c r="W163" s="11">
        <f t="shared" si="493"/>
        <v>1</v>
      </c>
      <c r="X163" s="11">
        <f t="shared" si="493"/>
        <v>1</v>
      </c>
      <c r="Y163" s="11">
        <f t="shared" si="493"/>
        <v>1</v>
      </c>
      <c r="Z163" s="11">
        <f t="shared" si="493"/>
        <v>1</v>
      </c>
      <c r="AA163" s="11">
        <f t="shared" si="493"/>
        <v>1</v>
      </c>
      <c r="AB163" s="11">
        <f t="shared" si="493"/>
        <v>1</v>
      </c>
      <c r="AC163" s="11">
        <f t="shared" si="8"/>
        <v>7</v>
      </c>
      <c r="AD163" s="11">
        <f t="shared" si="9"/>
        <v>1</v>
      </c>
      <c r="AE163" s="11">
        <f t="shared" ref="AE163:AH163" si="494">IF(OR(BD163 = $AO$6, BD163 = $AS$6, BD163 = $AT$6, BD163 = $AU$6), 1, 0)</f>
        <v>1</v>
      </c>
      <c r="AF163" s="11">
        <f t="shared" si="494"/>
        <v>1</v>
      </c>
      <c r="AG163" s="11">
        <f t="shared" si="494"/>
        <v>1</v>
      </c>
      <c r="AH163" s="11">
        <f t="shared" si="494"/>
        <v>1</v>
      </c>
      <c r="AI163" s="11">
        <f t="shared" si="11"/>
        <v>4</v>
      </c>
      <c r="AJ163" s="11">
        <f t="shared" si="12"/>
        <v>12</v>
      </c>
      <c r="AK163" s="12">
        <f t="shared" si="13"/>
        <v>5</v>
      </c>
      <c r="AL163" s="13" t="str">
        <f t="shared" si="14"/>
        <v>excellent</v>
      </c>
      <c r="AM163" s="7"/>
      <c r="AN163" s="7"/>
    </row>
    <row r="164">
      <c r="A164" s="7"/>
      <c r="B164" s="7" t="s">
        <v>363</v>
      </c>
      <c r="C164" s="8" t="s">
        <v>328</v>
      </c>
      <c r="D164" s="7" t="s">
        <v>364</v>
      </c>
      <c r="E164" s="8" t="b">
        <f t="shared" ref="E164:K164" si="495">IF(IFERROR(SEARCH(E$1, $D164),0) &gt;= 1, TRUE,FALSE)</f>
        <v>1</v>
      </c>
      <c r="F164" s="8" t="b">
        <f t="shared" si="495"/>
        <v>0</v>
      </c>
      <c r="G164" s="8" t="b">
        <f t="shared" si="495"/>
        <v>0</v>
      </c>
      <c r="H164" s="8" t="b">
        <f t="shared" si="495"/>
        <v>1</v>
      </c>
      <c r="I164" s="8" t="b">
        <f t="shared" si="495"/>
        <v>1</v>
      </c>
      <c r="J164" s="8" t="b">
        <f t="shared" si="495"/>
        <v>1</v>
      </c>
      <c r="K164" s="8" t="b">
        <f t="shared" si="495"/>
        <v>0</v>
      </c>
      <c r="L164" s="9" t="b">
        <v>1</v>
      </c>
      <c r="M164" s="9" t="b">
        <v>0</v>
      </c>
      <c r="N164" s="9" t="b">
        <v>0</v>
      </c>
      <c r="O164" s="9" t="b">
        <v>0</v>
      </c>
      <c r="P164" s="7" t="str">
        <f t="shared" si="5"/>
        <v>Maison Losseau</v>
      </c>
      <c r="Q164" s="10">
        <v>5.0</v>
      </c>
      <c r="R164" s="9" t="b">
        <v>0</v>
      </c>
      <c r="S164" s="9" t="b">
        <v>1</v>
      </c>
      <c r="T164" s="10">
        <v>5.0</v>
      </c>
      <c r="U164" s="11">
        <f t="shared" si="6"/>
        <v>0</v>
      </c>
      <c r="V164" s="11">
        <f t="shared" ref="V164:AB164" si="496">IF(OR(AW164 = $AO$4, AW164 = $AQ$4), 1, 0)</f>
        <v>1</v>
      </c>
      <c r="W164" s="11">
        <f t="shared" si="496"/>
        <v>1</v>
      </c>
      <c r="X164" s="11">
        <f t="shared" si="496"/>
        <v>1</v>
      </c>
      <c r="Y164" s="11">
        <f t="shared" si="496"/>
        <v>1</v>
      </c>
      <c r="Z164" s="11">
        <f t="shared" si="496"/>
        <v>1</v>
      </c>
      <c r="AA164" s="11">
        <f t="shared" si="496"/>
        <v>1</v>
      </c>
      <c r="AB164" s="11">
        <f t="shared" si="496"/>
        <v>1</v>
      </c>
      <c r="AC164" s="11">
        <f t="shared" si="8"/>
        <v>7</v>
      </c>
      <c r="AD164" s="11">
        <f t="shared" si="9"/>
        <v>1</v>
      </c>
      <c r="AE164" s="11">
        <f t="shared" ref="AE164:AH164" si="497">IF(OR(BD164 = $AO$6, BD164 = $AS$6, BD164 = $AT$6, BD164 = $AU$6), 1, 0)</f>
        <v>1</v>
      </c>
      <c r="AF164" s="11">
        <f t="shared" si="497"/>
        <v>1</v>
      </c>
      <c r="AG164" s="11">
        <f t="shared" si="497"/>
        <v>1</v>
      </c>
      <c r="AH164" s="11">
        <f t="shared" si="497"/>
        <v>1</v>
      </c>
      <c r="AI164" s="11">
        <f t="shared" si="11"/>
        <v>4</v>
      </c>
      <c r="AJ164" s="11">
        <f t="shared" si="12"/>
        <v>12</v>
      </c>
      <c r="AK164" s="12">
        <f t="shared" si="13"/>
        <v>5</v>
      </c>
      <c r="AL164" s="13" t="str">
        <f t="shared" si="14"/>
        <v>excellent</v>
      </c>
      <c r="AM164" s="7"/>
      <c r="AN164" s="7"/>
    </row>
    <row r="165">
      <c r="A165" s="7"/>
      <c r="B165" s="7" t="s">
        <v>365</v>
      </c>
      <c r="C165" s="8" t="s">
        <v>328</v>
      </c>
      <c r="D165" s="7" t="s">
        <v>151</v>
      </c>
      <c r="E165" s="8" t="b">
        <f t="shared" ref="E165:K165" si="498">IF(IFERROR(SEARCH(E$1, $D165),0) &gt;= 1, TRUE,FALSE)</f>
        <v>1</v>
      </c>
      <c r="F165" s="8" t="b">
        <f t="shared" si="498"/>
        <v>0</v>
      </c>
      <c r="G165" s="8" t="b">
        <f t="shared" si="498"/>
        <v>0</v>
      </c>
      <c r="H165" s="8" t="b">
        <f t="shared" si="498"/>
        <v>0</v>
      </c>
      <c r="I165" s="8" t="b">
        <f t="shared" si="498"/>
        <v>1</v>
      </c>
      <c r="J165" s="8" t="b">
        <f t="shared" si="498"/>
        <v>0</v>
      </c>
      <c r="K165" s="8" t="b">
        <f t="shared" si="498"/>
        <v>0</v>
      </c>
      <c r="L165" s="9" t="b">
        <v>1</v>
      </c>
      <c r="M165" s="9" t="b">
        <v>0</v>
      </c>
      <c r="N165" s="9" t="b">
        <v>0</v>
      </c>
      <c r="O165" s="9" t="b">
        <v>0</v>
      </c>
      <c r="P165" s="7" t="str">
        <f t="shared" si="5"/>
        <v>Mons Memorial Museum</v>
      </c>
      <c r="Q165" s="10">
        <v>9.0</v>
      </c>
      <c r="R165" s="9" t="b">
        <v>0</v>
      </c>
      <c r="S165" s="9" t="b">
        <v>1</v>
      </c>
      <c r="T165" s="10">
        <v>9.0</v>
      </c>
      <c r="U165" s="11">
        <f t="shared" si="6"/>
        <v>0</v>
      </c>
      <c r="V165" s="11">
        <f t="shared" ref="V165:AB165" si="499">IF(OR(AW165 = $AO$4, AW165 = $AQ$4), 1, 0)</f>
        <v>1</v>
      </c>
      <c r="W165" s="11">
        <f t="shared" si="499"/>
        <v>1</v>
      </c>
      <c r="X165" s="11">
        <f t="shared" si="499"/>
        <v>1</v>
      </c>
      <c r="Y165" s="11">
        <f t="shared" si="499"/>
        <v>1</v>
      </c>
      <c r="Z165" s="11">
        <f t="shared" si="499"/>
        <v>1</v>
      </c>
      <c r="AA165" s="11">
        <f t="shared" si="499"/>
        <v>1</v>
      </c>
      <c r="AB165" s="11">
        <f t="shared" si="499"/>
        <v>1</v>
      </c>
      <c r="AC165" s="11">
        <f t="shared" si="8"/>
        <v>7</v>
      </c>
      <c r="AD165" s="11">
        <f t="shared" si="9"/>
        <v>1</v>
      </c>
      <c r="AE165" s="11">
        <f t="shared" ref="AE165:AH165" si="500">IF(OR(BD165 = $AO$6, BD165 = $AS$6, BD165 = $AT$6, BD165 = $AU$6), 1, 0)</f>
        <v>1</v>
      </c>
      <c r="AF165" s="11">
        <f t="shared" si="500"/>
        <v>1</v>
      </c>
      <c r="AG165" s="11">
        <f t="shared" si="500"/>
        <v>1</v>
      </c>
      <c r="AH165" s="11">
        <f t="shared" si="500"/>
        <v>1</v>
      </c>
      <c r="AI165" s="11">
        <f t="shared" si="11"/>
        <v>4</v>
      </c>
      <c r="AJ165" s="11">
        <f t="shared" si="12"/>
        <v>12</v>
      </c>
      <c r="AK165" s="12">
        <f t="shared" si="13"/>
        <v>5</v>
      </c>
      <c r="AL165" s="13" t="str">
        <f t="shared" si="14"/>
        <v>excellent</v>
      </c>
      <c r="AM165" s="7"/>
      <c r="AN165" s="7"/>
    </row>
    <row r="166">
      <c r="A166" s="7"/>
      <c r="B166" s="7" t="s">
        <v>366</v>
      </c>
      <c r="C166" s="8" t="s">
        <v>328</v>
      </c>
      <c r="D166" s="7" t="s">
        <v>5</v>
      </c>
      <c r="E166" s="8" t="b">
        <f t="shared" ref="E166:K166" si="501">IF(IFERROR(SEARCH(E$1, $D166),0) &gt;= 1, TRUE,FALSE)</f>
        <v>0</v>
      </c>
      <c r="F166" s="8" t="b">
        <f t="shared" si="501"/>
        <v>1</v>
      </c>
      <c r="G166" s="8" t="b">
        <f t="shared" si="501"/>
        <v>0</v>
      </c>
      <c r="H166" s="8" t="b">
        <f t="shared" si="501"/>
        <v>0</v>
      </c>
      <c r="I166" s="8" t="b">
        <f t="shared" si="501"/>
        <v>0</v>
      </c>
      <c r="J166" s="8" t="b">
        <f t="shared" si="501"/>
        <v>0</v>
      </c>
      <c r="K166" s="8" t="b">
        <f t="shared" si="501"/>
        <v>0</v>
      </c>
      <c r="L166" s="9" t="b">
        <v>1</v>
      </c>
      <c r="M166" s="9" t="b">
        <v>1</v>
      </c>
      <c r="N166" s="9" t="b">
        <v>0</v>
      </c>
      <c r="O166" s="9" t="b">
        <v>1</v>
      </c>
      <c r="P166" s="7" t="str">
        <f t="shared" si="5"/>
        <v>MUMONS</v>
      </c>
      <c r="Q166" s="10">
        <v>5.0</v>
      </c>
      <c r="R166" s="9" t="b">
        <v>0</v>
      </c>
      <c r="S166" s="9" t="b">
        <v>1</v>
      </c>
      <c r="T166" s="10">
        <v>5.0</v>
      </c>
      <c r="U166" s="11">
        <f t="shared" si="6"/>
        <v>0</v>
      </c>
      <c r="V166" s="11">
        <f t="shared" ref="V166:AB166" si="502">IF(OR(AW166 = $AO$4, AW166 = $AQ$4), 1, 0)</f>
        <v>1</v>
      </c>
      <c r="W166" s="11">
        <f t="shared" si="502"/>
        <v>1</v>
      </c>
      <c r="X166" s="11">
        <f t="shared" si="502"/>
        <v>1</v>
      </c>
      <c r="Y166" s="11">
        <f t="shared" si="502"/>
        <v>1</v>
      </c>
      <c r="Z166" s="11">
        <f t="shared" si="502"/>
        <v>1</v>
      </c>
      <c r="AA166" s="11">
        <f t="shared" si="502"/>
        <v>1</v>
      </c>
      <c r="AB166" s="11">
        <f t="shared" si="502"/>
        <v>1</v>
      </c>
      <c r="AC166" s="11">
        <f t="shared" si="8"/>
        <v>7</v>
      </c>
      <c r="AD166" s="11">
        <f t="shared" si="9"/>
        <v>1</v>
      </c>
      <c r="AE166" s="11">
        <f t="shared" ref="AE166:AH166" si="503">IF(OR(BD166 = $AO$6, BD166 = $AS$6, BD166 = $AT$6, BD166 = $AU$6), 1, 0)</f>
        <v>1</v>
      </c>
      <c r="AF166" s="11">
        <f t="shared" si="503"/>
        <v>1</v>
      </c>
      <c r="AG166" s="11">
        <f t="shared" si="503"/>
        <v>1</v>
      </c>
      <c r="AH166" s="11">
        <f t="shared" si="503"/>
        <v>1</v>
      </c>
      <c r="AI166" s="11">
        <f t="shared" si="11"/>
        <v>4</v>
      </c>
      <c r="AJ166" s="11">
        <f t="shared" si="12"/>
        <v>12</v>
      </c>
      <c r="AK166" s="12">
        <f t="shared" si="13"/>
        <v>5</v>
      </c>
      <c r="AL166" s="13" t="str">
        <f t="shared" si="14"/>
        <v>excellent</v>
      </c>
      <c r="AM166" s="7"/>
      <c r="AN166" s="7"/>
    </row>
    <row r="167">
      <c r="A167" s="7"/>
      <c r="B167" s="7" t="s">
        <v>367</v>
      </c>
      <c r="C167" s="8" t="s">
        <v>328</v>
      </c>
      <c r="D167" s="7" t="s">
        <v>171</v>
      </c>
      <c r="E167" s="8" t="b">
        <f t="shared" ref="E167:K167" si="504">IF(IFERROR(SEARCH(E$1, $D167),0) &gt;= 1, TRUE,FALSE)</f>
        <v>1</v>
      </c>
      <c r="F167" s="8" t="b">
        <f t="shared" si="504"/>
        <v>1</v>
      </c>
      <c r="G167" s="8" t="b">
        <f t="shared" si="504"/>
        <v>0</v>
      </c>
      <c r="H167" s="8" t="b">
        <f t="shared" si="504"/>
        <v>0</v>
      </c>
      <c r="I167" s="8" t="b">
        <f t="shared" si="504"/>
        <v>1</v>
      </c>
      <c r="J167" s="8" t="b">
        <f t="shared" si="504"/>
        <v>1</v>
      </c>
      <c r="K167" s="8" t="b">
        <f t="shared" si="504"/>
        <v>0</v>
      </c>
      <c r="L167" s="9" t="b">
        <v>1</v>
      </c>
      <c r="M167" s="9" t="b">
        <v>0</v>
      </c>
      <c r="N167" s="9" t="b">
        <v>0</v>
      </c>
      <c r="O167" s="9" t="b">
        <v>0</v>
      </c>
      <c r="P167" s="7" t="str">
        <f t="shared" si="5"/>
        <v>Mundaneum</v>
      </c>
      <c r="Q167" s="10">
        <v>9.0</v>
      </c>
      <c r="R167" s="9" t="b">
        <v>0</v>
      </c>
      <c r="S167" s="9" t="b">
        <v>1</v>
      </c>
      <c r="T167" s="10">
        <v>9.0</v>
      </c>
      <c r="U167" s="11">
        <f t="shared" si="6"/>
        <v>0</v>
      </c>
      <c r="V167" s="11">
        <f t="shared" ref="V167:AB167" si="505">IF(OR(AW167 = $AO$4, AW167 = $AQ$4), 1, 0)</f>
        <v>1</v>
      </c>
      <c r="W167" s="11">
        <f t="shared" si="505"/>
        <v>1</v>
      </c>
      <c r="X167" s="11">
        <f t="shared" si="505"/>
        <v>1</v>
      </c>
      <c r="Y167" s="11">
        <f t="shared" si="505"/>
        <v>1</v>
      </c>
      <c r="Z167" s="11">
        <f t="shared" si="505"/>
        <v>1</v>
      </c>
      <c r="AA167" s="11">
        <f t="shared" si="505"/>
        <v>1</v>
      </c>
      <c r="AB167" s="11">
        <f t="shared" si="505"/>
        <v>1</v>
      </c>
      <c r="AC167" s="11">
        <f t="shared" si="8"/>
        <v>7</v>
      </c>
      <c r="AD167" s="11">
        <f t="shared" si="9"/>
        <v>1</v>
      </c>
      <c r="AE167" s="11">
        <f t="shared" ref="AE167:AH167" si="506">IF(OR(BD167 = $AO$6, BD167 = $AS$6, BD167 = $AT$6, BD167 = $AU$6), 1, 0)</f>
        <v>1</v>
      </c>
      <c r="AF167" s="11">
        <f t="shared" si="506"/>
        <v>1</v>
      </c>
      <c r="AG167" s="11">
        <f t="shared" si="506"/>
        <v>1</v>
      </c>
      <c r="AH167" s="11">
        <f t="shared" si="506"/>
        <v>1</v>
      </c>
      <c r="AI167" s="11">
        <f t="shared" si="11"/>
        <v>4</v>
      </c>
      <c r="AJ167" s="11">
        <f t="shared" si="12"/>
        <v>12</v>
      </c>
      <c r="AK167" s="12">
        <f t="shared" si="13"/>
        <v>5</v>
      </c>
      <c r="AL167" s="13" t="str">
        <f t="shared" si="14"/>
        <v>excellent</v>
      </c>
      <c r="AM167" s="7"/>
      <c r="AN167" s="7"/>
    </row>
    <row r="168">
      <c r="A168" s="7" t="s">
        <v>368</v>
      </c>
      <c r="B168" s="7" t="s">
        <v>369</v>
      </c>
      <c r="C168" s="8" t="s">
        <v>328</v>
      </c>
      <c r="D168" s="7" t="s">
        <v>4</v>
      </c>
      <c r="E168" s="8" t="b">
        <f t="shared" ref="E168:K168" si="507">IF(IFERROR(SEARCH(E$1, $D168),0) &gt;= 1, TRUE,FALSE)</f>
        <v>1</v>
      </c>
      <c r="F168" s="8" t="b">
        <f t="shared" si="507"/>
        <v>0</v>
      </c>
      <c r="G168" s="8" t="b">
        <f t="shared" si="507"/>
        <v>0</v>
      </c>
      <c r="H168" s="8" t="b">
        <f t="shared" si="507"/>
        <v>0</v>
      </c>
      <c r="I168" s="8" t="b">
        <f t="shared" si="507"/>
        <v>0</v>
      </c>
      <c r="J168" s="8" t="b">
        <f t="shared" si="507"/>
        <v>0</v>
      </c>
      <c r="K168" s="8" t="b">
        <f t="shared" si="507"/>
        <v>0</v>
      </c>
      <c r="L168" s="9" t="b">
        <v>1</v>
      </c>
      <c r="M168" s="9" t="b">
        <v>0</v>
      </c>
      <c r="N168" s="9" t="b">
        <v>0</v>
      </c>
      <c r="O168" s="9" t="b">
        <v>0</v>
      </c>
      <c r="P168" s="7" t="str">
        <f t="shared" si="5"/>
        <v>Archeologiemuseum</v>
      </c>
      <c r="Q168" s="10">
        <v>0.0</v>
      </c>
      <c r="R168" s="9" t="b">
        <v>1</v>
      </c>
      <c r="S168" s="9" t="b">
        <v>1</v>
      </c>
      <c r="T168" s="7"/>
      <c r="U168" s="11">
        <f t="shared" si="6"/>
        <v>0</v>
      </c>
      <c r="V168" s="11">
        <f t="shared" ref="V168:AB168" si="508">IF(OR(AW168 = $AO$4, AW168 = $AQ$4), 1, 0)</f>
        <v>1</v>
      </c>
      <c r="W168" s="11">
        <f t="shared" si="508"/>
        <v>1</v>
      </c>
      <c r="X168" s="11">
        <f t="shared" si="508"/>
        <v>1</v>
      </c>
      <c r="Y168" s="11">
        <f t="shared" si="508"/>
        <v>1</v>
      </c>
      <c r="Z168" s="11">
        <f t="shared" si="508"/>
        <v>1</v>
      </c>
      <c r="AA168" s="11">
        <f t="shared" si="508"/>
        <v>1</v>
      </c>
      <c r="AB168" s="11">
        <f t="shared" si="508"/>
        <v>1</v>
      </c>
      <c r="AC168" s="11">
        <f t="shared" si="8"/>
        <v>7</v>
      </c>
      <c r="AD168" s="11">
        <f t="shared" si="9"/>
        <v>1</v>
      </c>
      <c r="AE168" s="11">
        <f t="shared" ref="AE168:AH168" si="509">IF(OR(BD168 = $AO$6, BD168 = $AS$6, BD168 = $AT$6, BD168 = $AU$6), 1, 0)</f>
        <v>1</v>
      </c>
      <c r="AF168" s="11">
        <f t="shared" si="509"/>
        <v>1</v>
      </c>
      <c r="AG168" s="11">
        <f t="shared" si="509"/>
        <v>1</v>
      </c>
      <c r="AH168" s="11">
        <f t="shared" si="509"/>
        <v>1</v>
      </c>
      <c r="AI168" s="11">
        <f t="shared" si="11"/>
        <v>4</v>
      </c>
      <c r="AJ168" s="11">
        <f t="shared" si="12"/>
        <v>12</v>
      </c>
      <c r="AK168" s="12">
        <f t="shared" si="13"/>
        <v>5</v>
      </c>
      <c r="AL168" s="13" t="str">
        <f t="shared" si="14"/>
        <v>excellent</v>
      </c>
      <c r="AM168" s="7"/>
      <c r="AN168" s="7"/>
    </row>
    <row r="169">
      <c r="A169" s="7" t="s">
        <v>370</v>
      </c>
      <c r="B169" s="7" t="s">
        <v>371</v>
      </c>
      <c r="C169" s="8" t="s">
        <v>328</v>
      </c>
      <c r="D169" s="7" t="s">
        <v>4</v>
      </c>
      <c r="E169" s="8" t="b">
        <f t="shared" ref="E169:K169" si="510">IF(IFERROR(SEARCH(E$1, $D169),0) &gt;= 1, TRUE,FALSE)</f>
        <v>1</v>
      </c>
      <c r="F169" s="8" t="b">
        <f t="shared" si="510"/>
        <v>0</v>
      </c>
      <c r="G169" s="8" t="b">
        <f t="shared" si="510"/>
        <v>0</v>
      </c>
      <c r="H169" s="8" t="b">
        <f t="shared" si="510"/>
        <v>0</v>
      </c>
      <c r="I169" s="8" t="b">
        <f t="shared" si="510"/>
        <v>0</v>
      </c>
      <c r="J169" s="8" t="b">
        <f t="shared" si="510"/>
        <v>0</v>
      </c>
      <c r="K169" s="8" t="b">
        <f t="shared" si="510"/>
        <v>0</v>
      </c>
      <c r="L169" s="9" t="b">
        <v>1</v>
      </c>
      <c r="M169" s="9" t="b">
        <v>0</v>
      </c>
      <c r="N169" s="9" t="b">
        <v>0</v>
      </c>
      <c r="O169" s="9" t="b">
        <v>0</v>
      </c>
      <c r="P169" s="7" t="str">
        <f t="shared" si="5"/>
        <v>Folkloremuseum</v>
      </c>
      <c r="Q169" s="10">
        <v>4.0</v>
      </c>
      <c r="R169" s="9" t="b">
        <v>0</v>
      </c>
      <c r="S169" s="9" t="b">
        <v>1</v>
      </c>
      <c r="T169" s="10">
        <v>4.0</v>
      </c>
      <c r="U169" s="11">
        <f t="shared" si="6"/>
        <v>0</v>
      </c>
      <c r="V169" s="11">
        <f t="shared" ref="V169:AB169" si="511">IF(OR(AW169 = $AO$4, AW169 = $AQ$4), 1, 0)</f>
        <v>1</v>
      </c>
      <c r="W169" s="11">
        <f t="shared" si="511"/>
        <v>1</v>
      </c>
      <c r="X169" s="11">
        <f t="shared" si="511"/>
        <v>1</v>
      </c>
      <c r="Y169" s="11">
        <f t="shared" si="511"/>
        <v>1</v>
      </c>
      <c r="Z169" s="11">
        <f t="shared" si="511"/>
        <v>1</v>
      </c>
      <c r="AA169" s="11">
        <f t="shared" si="511"/>
        <v>1</v>
      </c>
      <c r="AB169" s="11">
        <f t="shared" si="511"/>
        <v>1</v>
      </c>
      <c r="AC169" s="11">
        <f t="shared" si="8"/>
        <v>7</v>
      </c>
      <c r="AD169" s="11">
        <f t="shared" si="9"/>
        <v>1</v>
      </c>
      <c r="AE169" s="11">
        <f t="shared" ref="AE169:AH169" si="512">IF(OR(BD169 = $AO$6, BD169 = $AS$6, BD169 = $AT$6, BD169 = $AU$6), 1, 0)</f>
        <v>1</v>
      </c>
      <c r="AF169" s="11">
        <f t="shared" si="512"/>
        <v>1</v>
      </c>
      <c r="AG169" s="11">
        <f t="shared" si="512"/>
        <v>1</v>
      </c>
      <c r="AH169" s="11">
        <f t="shared" si="512"/>
        <v>1</v>
      </c>
      <c r="AI169" s="11">
        <f t="shared" si="11"/>
        <v>4</v>
      </c>
      <c r="AJ169" s="11">
        <f t="shared" si="12"/>
        <v>12</v>
      </c>
      <c r="AK169" s="12">
        <f t="shared" si="13"/>
        <v>5</v>
      </c>
      <c r="AL169" s="13" t="str">
        <f t="shared" si="14"/>
        <v>excellent</v>
      </c>
      <c r="AM169" s="7"/>
      <c r="AN169" s="7"/>
    </row>
    <row r="170">
      <c r="A170" s="7" t="s">
        <v>372</v>
      </c>
      <c r="B170" s="7" t="s">
        <v>373</v>
      </c>
      <c r="C170" s="8" t="s">
        <v>328</v>
      </c>
      <c r="D170" s="7" t="s">
        <v>9</v>
      </c>
      <c r="E170" s="8" t="b">
        <f t="shared" ref="E170:K170" si="513">IF(IFERROR(SEARCH(E$1, $D170),0) &gt;= 1, TRUE,FALSE)</f>
        <v>0</v>
      </c>
      <c r="F170" s="8" t="b">
        <f t="shared" si="513"/>
        <v>0</v>
      </c>
      <c r="G170" s="8" t="b">
        <f t="shared" si="513"/>
        <v>0</v>
      </c>
      <c r="H170" s="8" t="b">
        <f t="shared" si="513"/>
        <v>0</v>
      </c>
      <c r="I170" s="8" t="b">
        <f t="shared" si="513"/>
        <v>0</v>
      </c>
      <c r="J170" s="8" t="b">
        <f t="shared" si="513"/>
        <v>1</v>
      </c>
      <c r="K170" s="8" t="b">
        <f t="shared" si="513"/>
        <v>0</v>
      </c>
      <c r="L170" s="9" t="b">
        <v>1</v>
      </c>
      <c r="M170" s="9" t="b">
        <v>1</v>
      </c>
      <c r="N170" s="9" t="b">
        <v>0</v>
      </c>
      <c r="O170" s="9" t="b">
        <v>0</v>
      </c>
      <c r="P170" s="7" t="str">
        <f t="shared" si="5"/>
        <v>Fotografiemuseum</v>
      </c>
      <c r="Q170" s="10">
        <v>4.0</v>
      </c>
      <c r="R170" s="9" t="b">
        <v>0</v>
      </c>
      <c r="S170" s="9" t="b">
        <v>1</v>
      </c>
      <c r="T170" s="10">
        <v>8.0</v>
      </c>
      <c r="U170" s="11">
        <f t="shared" si="6"/>
        <v>0</v>
      </c>
      <c r="V170" s="11">
        <f t="shared" ref="V170:AB170" si="514">IF(OR(AW170 = $AO$4, AW170 = $AQ$4), 1, 0)</f>
        <v>1</v>
      </c>
      <c r="W170" s="11">
        <f t="shared" si="514"/>
        <v>1</v>
      </c>
      <c r="X170" s="11">
        <f t="shared" si="514"/>
        <v>1</v>
      </c>
      <c r="Y170" s="11">
        <f t="shared" si="514"/>
        <v>1</v>
      </c>
      <c r="Z170" s="11">
        <f t="shared" si="514"/>
        <v>1</v>
      </c>
      <c r="AA170" s="11">
        <f t="shared" si="514"/>
        <v>1</v>
      </c>
      <c r="AB170" s="11">
        <f t="shared" si="514"/>
        <v>1</v>
      </c>
      <c r="AC170" s="11">
        <f t="shared" si="8"/>
        <v>7</v>
      </c>
      <c r="AD170" s="11">
        <f t="shared" si="9"/>
        <v>1</v>
      </c>
      <c r="AE170" s="11">
        <f t="shared" ref="AE170:AH170" si="515">IF(OR(BD170 = $AO$6, BD170 = $AS$6, BD170 = $AT$6, BD170 = $AU$6), 1, 0)</f>
        <v>1</v>
      </c>
      <c r="AF170" s="11">
        <f t="shared" si="515"/>
        <v>1</v>
      </c>
      <c r="AG170" s="11">
        <f t="shared" si="515"/>
        <v>1</v>
      </c>
      <c r="AH170" s="11">
        <f t="shared" si="515"/>
        <v>1</v>
      </c>
      <c r="AI170" s="11">
        <f t="shared" si="11"/>
        <v>4</v>
      </c>
      <c r="AJ170" s="11">
        <f t="shared" si="12"/>
        <v>12</v>
      </c>
      <c r="AK170" s="12">
        <f t="shared" si="13"/>
        <v>5</v>
      </c>
      <c r="AL170" s="13" t="str">
        <f t="shared" si="14"/>
        <v>excellent</v>
      </c>
      <c r="AM170" s="7"/>
      <c r="AN170" s="7"/>
    </row>
    <row r="171">
      <c r="A171" s="7" t="s">
        <v>374</v>
      </c>
      <c r="B171" s="7" t="s">
        <v>375</v>
      </c>
      <c r="C171" s="8" t="s">
        <v>328</v>
      </c>
      <c r="D171" s="7" t="s">
        <v>161</v>
      </c>
      <c r="E171" s="8" t="b">
        <f t="shared" ref="E171:K171" si="516">IF(IFERROR(SEARCH(E$1, $D171),0) &gt;= 1, TRUE,FALSE)</f>
        <v>1</v>
      </c>
      <c r="F171" s="8" t="b">
        <f t="shared" si="516"/>
        <v>1</v>
      </c>
      <c r="G171" s="8" t="b">
        <f t="shared" si="516"/>
        <v>0</v>
      </c>
      <c r="H171" s="8" t="b">
        <f t="shared" si="516"/>
        <v>0</v>
      </c>
      <c r="I171" s="8" t="b">
        <f t="shared" si="516"/>
        <v>0</v>
      </c>
      <c r="J171" s="8" t="b">
        <f t="shared" si="516"/>
        <v>0</v>
      </c>
      <c r="K171" s="8" t="b">
        <f t="shared" si="516"/>
        <v>1</v>
      </c>
      <c r="L171" s="9" t="b">
        <v>1</v>
      </c>
      <c r="M171" s="9" t="b">
        <v>1</v>
      </c>
      <c r="N171" s="9" t="b">
        <v>0</v>
      </c>
      <c r="O171" s="9" t="b">
        <v>0</v>
      </c>
      <c r="P171" s="7" t="str">
        <f t="shared" si="5"/>
        <v>Lintweverijmuseum van Komen</v>
      </c>
      <c r="Q171" s="10">
        <v>7.0</v>
      </c>
      <c r="R171" s="9" t="b">
        <v>0</v>
      </c>
      <c r="S171" s="9" t="b">
        <v>1</v>
      </c>
      <c r="T171" s="10">
        <v>7.0</v>
      </c>
      <c r="U171" s="11">
        <f t="shared" si="6"/>
        <v>0</v>
      </c>
      <c r="V171" s="11">
        <f t="shared" ref="V171:AB171" si="517">IF(OR(AW171 = $AO$4, AW171 = $AQ$4), 1, 0)</f>
        <v>1</v>
      </c>
      <c r="W171" s="11">
        <f t="shared" si="517"/>
        <v>1</v>
      </c>
      <c r="X171" s="11">
        <f t="shared" si="517"/>
        <v>1</v>
      </c>
      <c r="Y171" s="11">
        <f t="shared" si="517"/>
        <v>1</v>
      </c>
      <c r="Z171" s="11">
        <f t="shared" si="517"/>
        <v>1</v>
      </c>
      <c r="AA171" s="11">
        <f t="shared" si="517"/>
        <v>1</v>
      </c>
      <c r="AB171" s="11">
        <f t="shared" si="517"/>
        <v>1</v>
      </c>
      <c r="AC171" s="11">
        <f t="shared" si="8"/>
        <v>7</v>
      </c>
      <c r="AD171" s="11">
        <f t="shared" si="9"/>
        <v>1</v>
      </c>
      <c r="AE171" s="11">
        <f t="shared" ref="AE171:AH171" si="518">IF(OR(BD171 = $AO$6, BD171 = $AS$6, BD171 = $AT$6, BD171 = $AU$6), 1, 0)</f>
        <v>1</v>
      </c>
      <c r="AF171" s="11">
        <f t="shared" si="518"/>
        <v>1</v>
      </c>
      <c r="AG171" s="11">
        <f t="shared" si="518"/>
        <v>1</v>
      </c>
      <c r="AH171" s="11">
        <f t="shared" si="518"/>
        <v>1</v>
      </c>
      <c r="AI171" s="11">
        <f t="shared" si="11"/>
        <v>4</v>
      </c>
      <c r="AJ171" s="11">
        <f t="shared" si="12"/>
        <v>12</v>
      </c>
      <c r="AK171" s="12">
        <f t="shared" si="13"/>
        <v>5</v>
      </c>
      <c r="AL171" s="13" t="str">
        <f t="shared" si="14"/>
        <v>excellent</v>
      </c>
      <c r="AM171" s="7"/>
      <c r="AN171" s="7"/>
    </row>
    <row r="172">
      <c r="A172" s="7"/>
      <c r="B172" s="7" t="s">
        <v>376</v>
      </c>
      <c r="C172" s="8" t="s">
        <v>328</v>
      </c>
      <c r="D172" s="7" t="s">
        <v>102</v>
      </c>
      <c r="E172" s="8" t="b">
        <f t="shared" ref="E172:K172" si="519">IF(IFERROR(SEARCH(E$1, $D172),0) &gt;= 1, TRUE,FALSE)</f>
        <v>1</v>
      </c>
      <c r="F172" s="8" t="b">
        <f t="shared" si="519"/>
        <v>0</v>
      </c>
      <c r="G172" s="8" t="b">
        <f t="shared" si="519"/>
        <v>0</v>
      </c>
      <c r="H172" s="8" t="b">
        <f t="shared" si="519"/>
        <v>0</v>
      </c>
      <c r="I172" s="8" t="b">
        <f t="shared" si="519"/>
        <v>0</v>
      </c>
      <c r="J172" s="8" t="b">
        <f t="shared" si="519"/>
        <v>1</v>
      </c>
      <c r="K172" s="8" t="b">
        <f t="shared" si="519"/>
        <v>0</v>
      </c>
      <c r="L172" s="9" t="b">
        <v>1</v>
      </c>
      <c r="M172" s="9" t="b">
        <v>0</v>
      </c>
      <c r="N172" s="9" t="b">
        <v>0</v>
      </c>
      <c r="O172" s="9" t="b">
        <v>0</v>
      </c>
      <c r="P172" s="7" t="str">
        <f t="shared" si="5"/>
        <v>Musée des arts de la Marionnette</v>
      </c>
      <c r="Q172" s="10">
        <v>0.0</v>
      </c>
      <c r="R172" s="9" t="b">
        <v>0</v>
      </c>
      <c r="S172" s="9" t="b">
        <v>0</v>
      </c>
      <c r="T172" s="7"/>
      <c r="U172" s="11">
        <f t="shared" si="6"/>
        <v>0</v>
      </c>
      <c r="V172" s="11">
        <f t="shared" ref="V172:AB172" si="520">IF(OR(AW172 = $AO$4, AW172 = $AQ$4), 1, 0)</f>
        <v>1</v>
      </c>
      <c r="W172" s="11">
        <f t="shared" si="520"/>
        <v>1</v>
      </c>
      <c r="X172" s="11">
        <f t="shared" si="520"/>
        <v>1</v>
      </c>
      <c r="Y172" s="11">
        <f t="shared" si="520"/>
        <v>1</v>
      </c>
      <c r="Z172" s="11">
        <f t="shared" si="520"/>
        <v>1</v>
      </c>
      <c r="AA172" s="11">
        <f t="shared" si="520"/>
        <v>1</v>
      </c>
      <c r="AB172" s="11">
        <f t="shared" si="520"/>
        <v>1</v>
      </c>
      <c r="AC172" s="11">
        <f t="shared" si="8"/>
        <v>7</v>
      </c>
      <c r="AD172" s="11">
        <f t="shared" si="9"/>
        <v>1</v>
      </c>
      <c r="AE172" s="11">
        <f t="shared" ref="AE172:AH172" si="521">IF(OR(BD172 = $AO$6, BD172 = $AS$6, BD172 = $AT$6, BD172 = $AU$6), 1, 0)</f>
        <v>1</v>
      </c>
      <c r="AF172" s="11">
        <f t="shared" si="521"/>
        <v>1</v>
      </c>
      <c r="AG172" s="11">
        <f t="shared" si="521"/>
        <v>1</v>
      </c>
      <c r="AH172" s="11">
        <f t="shared" si="521"/>
        <v>1</v>
      </c>
      <c r="AI172" s="11">
        <f t="shared" si="11"/>
        <v>4</v>
      </c>
      <c r="AJ172" s="11">
        <f t="shared" si="12"/>
        <v>12</v>
      </c>
      <c r="AK172" s="12">
        <f t="shared" si="13"/>
        <v>5</v>
      </c>
      <c r="AL172" s="13" t="str">
        <f t="shared" si="14"/>
        <v>excellent</v>
      </c>
      <c r="AM172" s="7"/>
      <c r="AN172" s="7"/>
    </row>
    <row r="173">
      <c r="A173" s="7" t="s">
        <v>377</v>
      </c>
      <c r="B173" s="7" t="s">
        <v>378</v>
      </c>
      <c r="C173" s="8" t="s">
        <v>328</v>
      </c>
      <c r="D173" s="7" t="s">
        <v>9</v>
      </c>
      <c r="E173" s="8" t="b">
        <f t="shared" ref="E173:K173" si="522">IF(IFERROR(SEARCH(E$1, $D173),0) &gt;= 1, TRUE,FALSE)</f>
        <v>0</v>
      </c>
      <c r="F173" s="8" t="b">
        <f t="shared" si="522"/>
        <v>0</v>
      </c>
      <c r="G173" s="8" t="b">
        <f t="shared" si="522"/>
        <v>0</v>
      </c>
      <c r="H173" s="8" t="b">
        <f t="shared" si="522"/>
        <v>0</v>
      </c>
      <c r="I173" s="8" t="b">
        <f t="shared" si="522"/>
        <v>0</v>
      </c>
      <c r="J173" s="8" t="b">
        <f t="shared" si="522"/>
        <v>1</v>
      </c>
      <c r="K173" s="8" t="b">
        <f t="shared" si="522"/>
        <v>0</v>
      </c>
      <c r="L173" s="9" t="b">
        <v>1</v>
      </c>
      <c r="M173" s="9" t="b">
        <v>1</v>
      </c>
      <c r="N173" s="9" t="b">
        <v>0</v>
      </c>
      <c r="O173" s="9" t="b">
        <v>0</v>
      </c>
      <c r="P173" s="7" t="str">
        <f t="shared" si="5"/>
        <v>Museum voor Schone Kunsten van Doornik</v>
      </c>
      <c r="Q173" s="10">
        <v>4.0</v>
      </c>
      <c r="R173" s="9" t="b">
        <v>0</v>
      </c>
      <c r="S173" s="9" t="b">
        <v>1</v>
      </c>
      <c r="T173" s="10">
        <v>4.0</v>
      </c>
      <c r="U173" s="11">
        <f t="shared" si="6"/>
        <v>0</v>
      </c>
      <c r="V173" s="11">
        <f t="shared" ref="V173:AB173" si="523">IF(OR(AW173 = $AO$4, AW173 = $AQ$4), 1, 0)</f>
        <v>1</v>
      </c>
      <c r="W173" s="11">
        <f t="shared" si="523"/>
        <v>1</v>
      </c>
      <c r="X173" s="11">
        <f t="shared" si="523"/>
        <v>1</v>
      </c>
      <c r="Y173" s="11">
        <f t="shared" si="523"/>
        <v>1</v>
      </c>
      <c r="Z173" s="11">
        <f t="shared" si="523"/>
        <v>1</v>
      </c>
      <c r="AA173" s="11">
        <f t="shared" si="523"/>
        <v>1</v>
      </c>
      <c r="AB173" s="11">
        <f t="shared" si="523"/>
        <v>1</v>
      </c>
      <c r="AC173" s="11">
        <f t="shared" si="8"/>
        <v>7</v>
      </c>
      <c r="AD173" s="11">
        <f t="shared" si="9"/>
        <v>1</v>
      </c>
      <c r="AE173" s="11">
        <f t="shared" ref="AE173:AH173" si="524">IF(OR(BD173 = $AO$6, BD173 = $AS$6, BD173 = $AT$6, BD173 = $AU$6), 1, 0)</f>
        <v>1</v>
      </c>
      <c r="AF173" s="11">
        <f t="shared" si="524"/>
        <v>1</v>
      </c>
      <c r="AG173" s="11">
        <f t="shared" si="524"/>
        <v>1</v>
      </c>
      <c r="AH173" s="11">
        <f t="shared" si="524"/>
        <v>1</v>
      </c>
      <c r="AI173" s="11">
        <f t="shared" si="11"/>
        <v>4</v>
      </c>
      <c r="AJ173" s="11">
        <f t="shared" si="12"/>
        <v>12</v>
      </c>
      <c r="AK173" s="12">
        <f t="shared" si="13"/>
        <v>5</v>
      </c>
      <c r="AL173" s="13" t="str">
        <f t="shared" si="14"/>
        <v>excellent</v>
      </c>
      <c r="AM173" s="7"/>
      <c r="AN173" s="7"/>
    </row>
    <row r="174">
      <c r="A174" s="7" t="s">
        <v>379</v>
      </c>
      <c r="B174" s="7" t="s">
        <v>380</v>
      </c>
      <c r="C174" s="8" t="s">
        <v>328</v>
      </c>
      <c r="D174" s="7" t="s">
        <v>4</v>
      </c>
      <c r="E174" s="8" t="b">
        <f t="shared" ref="E174:K174" si="525">IF(IFERROR(SEARCH(E$1, $D174),0) &gt;= 1, TRUE,FALSE)</f>
        <v>1</v>
      </c>
      <c r="F174" s="8" t="b">
        <f t="shared" si="525"/>
        <v>0</v>
      </c>
      <c r="G174" s="8" t="b">
        <f t="shared" si="525"/>
        <v>0</v>
      </c>
      <c r="H174" s="8" t="b">
        <f t="shared" si="525"/>
        <v>0</v>
      </c>
      <c r="I174" s="8" t="b">
        <f t="shared" si="525"/>
        <v>0</v>
      </c>
      <c r="J174" s="8" t="b">
        <f t="shared" si="525"/>
        <v>0</v>
      </c>
      <c r="K174" s="8" t="b">
        <f t="shared" si="525"/>
        <v>0</v>
      </c>
      <c r="L174" s="9" t="b">
        <v>1</v>
      </c>
      <c r="M174" s="9" t="b">
        <v>0</v>
      </c>
      <c r="N174" s="9" t="b">
        <v>0</v>
      </c>
      <c r="O174" s="9" t="b">
        <v>0</v>
      </c>
      <c r="P174" s="7" t="str">
        <f t="shared" si="5"/>
        <v>Museum voor militaire geschiedenis</v>
      </c>
      <c r="Q174" s="10">
        <v>4.0</v>
      </c>
      <c r="R174" s="9" t="b">
        <v>0</v>
      </c>
      <c r="S174" s="9" t="b">
        <v>1</v>
      </c>
      <c r="T174" s="10">
        <v>4.0</v>
      </c>
      <c r="U174" s="11">
        <f t="shared" si="6"/>
        <v>0</v>
      </c>
      <c r="V174" s="11">
        <f t="shared" ref="V174:AB174" si="526">IF(OR(AW174 = $AO$4, AW174 = $AQ$4), 1, 0)</f>
        <v>1</v>
      </c>
      <c r="W174" s="11">
        <f t="shared" si="526"/>
        <v>1</v>
      </c>
      <c r="X174" s="11">
        <f t="shared" si="526"/>
        <v>1</v>
      </c>
      <c r="Y174" s="11">
        <f t="shared" si="526"/>
        <v>1</v>
      </c>
      <c r="Z174" s="11">
        <f t="shared" si="526"/>
        <v>1</v>
      </c>
      <c r="AA174" s="11">
        <f t="shared" si="526"/>
        <v>1</v>
      </c>
      <c r="AB174" s="11">
        <f t="shared" si="526"/>
        <v>1</v>
      </c>
      <c r="AC174" s="11">
        <f t="shared" si="8"/>
        <v>7</v>
      </c>
      <c r="AD174" s="11">
        <f t="shared" si="9"/>
        <v>1</v>
      </c>
      <c r="AE174" s="11">
        <f t="shared" ref="AE174:AH174" si="527">IF(OR(BD174 = $AO$6, BD174 = $AS$6, BD174 = $AT$6, BD174 = $AU$6), 1, 0)</f>
        <v>1</v>
      </c>
      <c r="AF174" s="11">
        <f t="shared" si="527"/>
        <v>1</v>
      </c>
      <c r="AG174" s="11">
        <f t="shared" si="527"/>
        <v>1</v>
      </c>
      <c r="AH174" s="11">
        <f t="shared" si="527"/>
        <v>1</v>
      </c>
      <c r="AI174" s="11">
        <f t="shared" si="11"/>
        <v>4</v>
      </c>
      <c r="AJ174" s="11">
        <f t="shared" si="12"/>
        <v>12</v>
      </c>
      <c r="AK174" s="12">
        <f t="shared" si="13"/>
        <v>5</v>
      </c>
      <c r="AL174" s="13" t="str">
        <f t="shared" si="14"/>
        <v>excellent</v>
      </c>
      <c r="AM174" s="7"/>
      <c r="AN174" s="7"/>
    </row>
    <row r="175">
      <c r="A175" s="7" t="s">
        <v>381</v>
      </c>
      <c r="B175" s="7" t="s">
        <v>382</v>
      </c>
      <c r="C175" s="8" t="s">
        <v>328</v>
      </c>
      <c r="D175" s="7" t="s">
        <v>5</v>
      </c>
      <c r="E175" s="8" t="b">
        <f t="shared" ref="E175:K175" si="528">IF(IFERROR(SEARCH(E$1, $D175),0) &gt;= 1, TRUE,FALSE)</f>
        <v>0</v>
      </c>
      <c r="F175" s="8" t="b">
        <f t="shared" si="528"/>
        <v>1</v>
      </c>
      <c r="G175" s="8" t="b">
        <f t="shared" si="528"/>
        <v>0</v>
      </c>
      <c r="H175" s="8" t="b">
        <f t="shared" si="528"/>
        <v>0</v>
      </c>
      <c r="I175" s="8" t="b">
        <f t="shared" si="528"/>
        <v>0</v>
      </c>
      <c r="J175" s="8" t="b">
        <f t="shared" si="528"/>
        <v>0</v>
      </c>
      <c r="K175" s="8" t="b">
        <f t="shared" si="528"/>
        <v>0</v>
      </c>
      <c r="L175" s="9" t="b">
        <v>1</v>
      </c>
      <c r="M175" s="9" t="b">
        <v>1</v>
      </c>
      <c r="N175" s="9" t="b">
        <v>0</v>
      </c>
      <c r="O175" s="9" t="b">
        <v>0</v>
      </c>
      <c r="P175" s="7" t="str">
        <f t="shared" si="5"/>
        <v>Natuurhistorisch Museum en Vivarium</v>
      </c>
      <c r="Q175" s="10">
        <v>4.0</v>
      </c>
      <c r="R175" s="9" t="b">
        <v>1</v>
      </c>
      <c r="S175" s="9" t="b">
        <v>1</v>
      </c>
      <c r="T175" s="10">
        <v>4.0</v>
      </c>
      <c r="U175" s="11">
        <f t="shared" si="6"/>
        <v>0</v>
      </c>
      <c r="V175" s="11">
        <f t="shared" ref="V175:AB175" si="529">IF(OR(AW175 = $AO$4, AW175 = $AQ$4), 1, 0)</f>
        <v>1</v>
      </c>
      <c r="W175" s="11">
        <f t="shared" si="529"/>
        <v>1</v>
      </c>
      <c r="X175" s="11">
        <f t="shared" si="529"/>
        <v>1</v>
      </c>
      <c r="Y175" s="11">
        <f t="shared" si="529"/>
        <v>1</v>
      </c>
      <c r="Z175" s="11">
        <f t="shared" si="529"/>
        <v>1</v>
      </c>
      <c r="AA175" s="11">
        <f t="shared" si="529"/>
        <v>1</v>
      </c>
      <c r="AB175" s="11">
        <f t="shared" si="529"/>
        <v>1</v>
      </c>
      <c r="AC175" s="11">
        <f t="shared" si="8"/>
        <v>7</v>
      </c>
      <c r="AD175" s="11">
        <f t="shared" si="9"/>
        <v>1</v>
      </c>
      <c r="AE175" s="11">
        <f t="shared" ref="AE175:AH175" si="530">IF(OR(BD175 = $AO$6, BD175 = $AS$6, BD175 = $AT$6, BD175 = $AU$6), 1, 0)</f>
        <v>1</v>
      </c>
      <c r="AF175" s="11">
        <f t="shared" si="530"/>
        <v>1</v>
      </c>
      <c r="AG175" s="11">
        <f t="shared" si="530"/>
        <v>1</v>
      </c>
      <c r="AH175" s="11">
        <f t="shared" si="530"/>
        <v>1</v>
      </c>
      <c r="AI175" s="11">
        <f t="shared" si="11"/>
        <v>4</v>
      </c>
      <c r="AJ175" s="11">
        <f t="shared" si="12"/>
        <v>12</v>
      </c>
      <c r="AK175" s="12">
        <f t="shared" si="13"/>
        <v>5</v>
      </c>
      <c r="AL175" s="13" t="str">
        <f t="shared" si="14"/>
        <v>excellent</v>
      </c>
      <c r="AM175" s="7"/>
      <c r="AN175" s="7"/>
    </row>
    <row r="176">
      <c r="A176" s="7" t="s">
        <v>383</v>
      </c>
      <c r="B176" s="7" t="s">
        <v>384</v>
      </c>
      <c r="C176" s="8" t="s">
        <v>328</v>
      </c>
      <c r="D176" s="7" t="s">
        <v>4</v>
      </c>
      <c r="E176" s="8" t="b">
        <f t="shared" ref="E176:K176" si="531">IF(IFERROR(SEARCH(E$1, $D176),0) &gt;= 1, TRUE,FALSE)</f>
        <v>1</v>
      </c>
      <c r="F176" s="8" t="b">
        <f t="shared" si="531"/>
        <v>0</v>
      </c>
      <c r="G176" s="8" t="b">
        <f t="shared" si="531"/>
        <v>0</v>
      </c>
      <c r="H176" s="8" t="b">
        <f t="shared" si="531"/>
        <v>0</v>
      </c>
      <c r="I176" s="8" t="b">
        <f t="shared" si="531"/>
        <v>0</v>
      </c>
      <c r="J176" s="8" t="b">
        <f t="shared" si="531"/>
        <v>0</v>
      </c>
      <c r="K176" s="8" t="b">
        <f t="shared" si="531"/>
        <v>0</v>
      </c>
      <c r="L176" s="9" t="b">
        <v>1</v>
      </c>
      <c r="M176" s="9" t="b">
        <v>0</v>
      </c>
      <c r="N176" s="9" t="b">
        <v>0</v>
      </c>
      <c r="O176" s="9" t="b">
        <v>0</v>
      </c>
      <c r="P176" s="7" t="str">
        <f t="shared" si="5"/>
        <v>Doudoumuseum</v>
      </c>
      <c r="Q176" s="10">
        <v>9.0</v>
      </c>
      <c r="R176" s="9" t="b">
        <v>0</v>
      </c>
      <c r="S176" s="9" t="b">
        <v>0</v>
      </c>
      <c r="T176" s="7"/>
      <c r="U176" s="11">
        <f t="shared" si="6"/>
        <v>0</v>
      </c>
      <c r="V176" s="11">
        <f t="shared" ref="V176:AB176" si="532">IF(OR(AW176 = $AO$4, AW176 = $AQ$4), 1, 0)</f>
        <v>1</v>
      </c>
      <c r="W176" s="11">
        <f t="shared" si="532"/>
        <v>1</v>
      </c>
      <c r="X176" s="11">
        <f t="shared" si="532"/>
        <v>1</v>
      </c>
      <c r="Y176" s="11">
        <f t="shared" si="532"/>
        <v>1</v>
      </c>
      <c r="Z176" s="11">
        <f t="shared" si="532"/>
        <v>1</v>
      </c>
      <c r="AA176" s="11">
        <f t="shared" si="532"/>
        <v>1</v>
      </c>
      <c r="AB176" s="11">
        <f t="shared" si="532"/>
        <v>1</v>
      </c>
      <c r="AC176" s="11">
        <f t="shared" si="8"/>
        <v>7</v>
      </c>
      <c r="AD176" s="11">
        <f t="shared" si="9"/>
        <v>1</v>
      </c>
      <c r="AE176" s="11">
        <f t="shared" ref="AE176:AH176" si="533">IF(OR(BD176 = $AO$6, BD176 = $AS$6, BD176 = $AT$6, BD176 = $AU$6), 1, 0)</f>
        <v>1</v>
      </c>
      <c r="AF176" s="11">
        <f t="shared" si="533"/>
        <v>1</v>
      </c>
      <c r="AG176" s="11">
        <f t="shared" si="533"/>
        <v>1</v>
      </c>
      <c r="AH176" s="11">
        <f t="shared" si="533"/>
        <v>1</v>
      </c>
      <c r="AI176" s="11">
        <f t="shared" si="11"/>
        <v>4</v>
      </c>
      <c r="AJ176" s="11">
        <f t="shared" si="12"/>
        <v>12</v>
      </c>
      <c r="AK176" s="12">
        <f t="shared" si="13"/>
        <v>5</v>
      </c>
      <c r="AL176" s="13" t="str">
        <f t="shared" si="14"/>
        <v>excellent</v>
      </c>
      <c r="AM176" s="7"/>
      <c r="AN176" s="7"/>
    </row>
    <row r="177">
      <c r="A177" s="7" t="s">
        <v>385</v>
      </c>
      <c r="B177" s="7" t="s">
        <v>386</v>
      </c>
      <c r="C177" s="8" t="s">
        <v>328</v>
      </c>
      <c r="D177" s="7" t="s">
        <v>4</v>
      </c>
      <c r="E177" s="8" t="b">
        <f t="shared" ref="E177:K177" si="534">IF(IFERROR(SEARCH(E$1, $D177),0) &gt;= 1, TRUE,FALSE)</f>
        <v>1</v>
      </c>
      <c r="F177" s="8" t="b">
        <f t="shared" si="534"/>
        <v>0</v>
      </c>
      <c r="G177" s="8" t="b">
        <f t="shared" si="534"/>
        <v>0</v>
      </c>
      <c r="H177" s="8" t="b">
        <f t="shared" si="534"/>
        <v>0</v>
      </c>
      <c r="I177" s="8" t="b">
        <f t="shared" si="534"/>
        <v>0</v>
      </c>
      <c r="J177" s="8" t="b">
        <f t="shared" si="534"/>
        <v>0</v>
      </c>
      <c r="K177" s="8" t="b">
        <f t="shared" si="534"/>
        <v>0</v>
      </c>
      <c r="L177" s="9" t="b">
        <v>1</v>
      </c>
      <c r="M177" s="9" t="b">
        <v>1</v>
      </c>
      <c r="N177" s="9" t="b">
        <v>1</v>
      </c>
      <c r="O177" s="9" t="b">
        <v>1</v>
      </c>
      <c r="P177" s="7" t="str">
        <f t="shared" si="5"/>
        <v>Internationaal Museum van het Carnaval en het Masker</v>
      </c>
      <c r="Q177" s="10">
        <v>8.0</v>
      </c>
      <c r="R177" s="9" t="b">
        <v>0</v>
      </c>
      <c r="S177" s="9" t="b">
        <v>1</v>
      </c>
      <c r="T177" s="10">
        <v>8.0</v>
      </c>
      <c r="U177" s="11">
        <f t="shared" si="6"/>
        <v>0</v>
      </c>
      <c r="V177" s="11">
        <f t="shared" ref="V177:AB177" si="535">IF(OR(AW177 = $AO$4, AW177 = $AQ$4), 1, 0)</f>
        <v>1</v>
      </c>
      <c r="W177" s="11">
        <f t="shared" si="535"/>
        <v>1</v>
      </c>
      <c r="X177" s="11">
        <f t="shared" si="535"/>
        <v>1</v>
      </c>
      <c r="Y177" s="11">
        <f t="shared" si="535"/>
        <v>1</v>
      </c>
      <c r="Z177" s="11">
        <f t="shared" si="535"/>
        <v>1</v>
      </c>
      <c r="AA177" s="11">
        <f t="shared" si="535"/>
        <v>1</v>
      </c>
      <c r="AB177" s="11">
        <f t="shared" si="535"/>
        <v>1</v>
      </c>
      <c r="AC177" s="11">
        <f t="shared" si="8"/>
        <v>7</v>
      </c>
      <c r="AD177" s="11">
        <f t="shared" si="9"/>
        <v>1</v>
      </c>
      <c r="AE177" s="11">
        <f t="shared" ref="AE177:AH177" si="536">IF(OR(BD177 = $AO$6, BD177 = $AS$6, BD177 = $AT$6, BD177 = $AU$6), 1, 0)</f>
        <v>1</v>
      </c>
      <c r="AF177" s="11">
        <f t="shared" si="536"/>
        <v>1</v>
      </c>
      <c r="AG177" s="11">
        <f t="shared" si="536"/>
        <v>1</v>
      </c>
      <c r="AH177" s="11">
        <f t="shared" si="536"/>
        <v>1</v>
      </c>
      <c r="AI177" s="11">
        <f t="shared" si="11"/>
        <v>4</v>
      </c>
      <c r="AJ177" s="11">
        <f t="shared" si="12"/>
        <v>12</v>
      </c>
      <c r="AK177" s="12">
        <f t="shared" si="13"/>
        <v>5</v>
      </c>
      <c r="AL177" s="13" t="str">
        <f t="shared" si="14"/>
        <v>excellent</v>
      </c>
      <c r="AM177" s="7"/>
      <c r="AN177" s="7"/>
    </row>
    <row r="178">
      <c r="A178" s="7" t="s">
        <v>387</v>
      </c>
      <c r="B178" s="7" t="s">
        <v>388</v>
      </c>
      <c r="C178" s="8" t="s">
        <v>328</v>
      </c>
      <c r="D178" s="7" t="s">
        <v>102</v>
      </c>
      <c r="E178" s="8" t="b">
        <f t="shared" ref="E178:K178" si="537">IF(IFERROR(SEARCH(E$1, $D178),0) &gt;= 1, TRUE,FALSE)</f>
        <v>1</v>
      </c>
      <c r="F178" s="8" t="b">
        <f t="shared" si="537"/>
        <v>0</v>
      </c>
      <c r="G178" s="8" t="b">
        <f t="shared" si="537"/>
        <v>0</v>
      </c>
      <c r="H178" s="8" t="b">
        <f t="shared" si="537"/>
        <v>0</v>
      </c>
      <c r="I178" s="8" t="b">
        <f t="shared" si="537"/>
        <v>0</v>
      </c>
      <c r="J178" s="8" t="b">
        <f t="shared" si="537"/>
        <v>1</v>
      </c>
      <c r="K178" s="8" t="b">
        <f t="shared" si="537"/>
        <v>0</v>
      </c>
      <c r="L178" s="9" t="b">
        <v>1</v>
      </c>
      <c r="M178" s="9" t="b">
        <v>1</v>
      </c>
      <c r="N178" s="9" t="b">
        <v>0</v>
      </c>
      <c r="O178" s="9" t="b">
        <v>1</v>
      </c>
      <c r="P178" s="7" t="str">
        <f t="shared" si="5"/>
        <v>Koninklijk Museum van Mariemont</v>
      </c>
      <c r="Q178" s="10">
        <v>9.0</v>
      </c>
      <c r="R178" s="9" t="b">
        <v>1</v>
      </c>
      <c r="S178" s="9" t="b">
        <v>1</v>
      </c>
      <c r="T178" s="10">
        <v>9.0</v>
      </c>
      <c r="U178" s="11">
        <f t="shared" si="6"/>
        <v>0</v>
      </c>
      <c r="V178" s="11">
        <f t="shared" ref="V178:AB178" si="538">IF(OR(AW178 = $AO$4, AW178 = $AQ$4), 1, 0)</f>
        <v>1</v>
      </c>
      <c r="W178" s="11">
        <f t="shared" si="538"/>
        <v>1</v>
      </c>
      <c r="X178" s="11">
        <f t="shared" si="538"/>
        <v>1</v>
      </c>
      <c r="Y178" s="11">
        <f t="shared" si="538"/>
        <v>1</v>
      </c>
      <c r="Z178" s="11">
        <f t="shared" si="538"/>
        <v>1</v>
      </c>
      <c r="AA178" s="11">
        <f t="shared" si="538"/>
        <v>1</v>
      </c>
      <c r="AB178" s="11">
        <f t="shared" si="538"/>
        <v>1</v>
      </c>
      <c r="AC178" s="11">
        <f t="shared" si="8"/>
        <v>7</v>
      </c>
      <c r="AD178" s="11">
        <f t="shared" si="9"/>
        <v>1</v>
      </c>
      <c r="AE178" s="11">
        <f t="shared" ref="AE178:AH178" si="539">IF(OR(BD178 = $AO$6, BD178 = $AS$6, BD178 = $AT$6, BD178 = $AU$6), 1, 0)</f>
        <v>1</v>
      </c>
      <c r="AF178" s="11">
        <f t="shared" si="539"/>
        <v>1</v>
      </c>
      <c r="AG178" s="11">
        <f t="shared" si="539"/>
        <v>1</v>
      </c>
      <c r="AH178" s="11">
        <f t="shared" si="539"/>
        <v>1</v>
      </c>
      <c r="AI178" s="11">
        <f t="shared" si="11"/>
        <v>4</v>
      </c>
      <c r="AJ178" s="11">
        <f t="shared" si="12"/>
        <v>12</v>
      </c>
      <c r="AK178" s="12">
        <f t="shared" si="13"/>
        <v>5</v>
      </c>
      <c r="AL178" s="13" t="str">
        <f t="shared" si="14"/>
        <v>excellent</v>
      </c>
      <c r="AM178" s="7"/>
      <c r="AN178" s="7"/>
    </row>
    <row r="179">
      <c r="A179" s="7"/>
      <c r="B179" s="7" t="s">
        <v>389</v>
      </c>
      <c r="C179" s="8" t="s">
        <v>328</v>
      </c>
      <c r="D179" s="7" t="s">
        <v>4</v>
      </c>
      <c r="E179" s="8" t="b">
        <f t="shared" ref="E179:K179" si="540">IF(IFERROR(SEARCH(E$1, $D179),0) &gt;= 1, TRUE,FALSE)</f>
        <v>1</v>
      </c>
      <c r="F179" s="8" t="b">
        <f t="shared" si="540"/>
        <v>0</v>
      </c>
      <c r="G179" s="8" t="b">
        <f t="shared" si="540"/>
        <v>0</v>
      </c>
      <c r="H179" s="8" t="b">
        <f t="shared" si="540"/>
        <v>0</v>
      </c>
      <c r="I179" s="8" t="b">
        <f t="shared" si="540"/>
        <v>0</v>
      </c>
      <c r="J179" s="8" t="b">
        <f t="shared" si="540"/>
        <v>0</v>
      </c>
      <c r="K179" s="8" t="b">
        <f t="shared" si="540"/>
        <v>0</v>
      </c>
      <c r="L179" s="9" t="b">
        <v>1</v>
      </c>
      <c r="M179" s="9" t="b">
        <v>1</v>
      </c>
      <c r="N179" s="9" t="b">
        <v>0</v>
      </c>
      <c r="O179" s="9" t="b">
        <v>1</v>
      </c>
      <c r="P179" s="7" t="str">
        <f t="shared" si="5"/>
        <v>Plugstreet 14-18 experience</v>
      </c>
      <c r="Q179" s="10">
        <v>5.0</v>
      </c>
      <c r="R179" s="9" t="b">
        <v>0</v>
      </c>
      <c r="S179" s="9" t="b">
        <v>0</v>
      </c>
      <c r="T179" s="10">
        <v>5.0</v>
      </c>
      <c r="U179" s="11">
        <f t="shared" si="6"/>
        <v>0</v>
      </c>
      <c r="V179" s="11">
        <f t="shared" ref="V179:AB179" si="541">IF(OR(AW179 = $AO$4, AW179 = $AQ$4), 1, 0)</f>
        <v>1</v>
      </c>
      <c r="W179" s="11">
        <f t="shared" si="541"/>
        <v>1</v>
      </c>
      <c r="X179" s="11">
        <f t="shared" si="541"/>
        <v>1</v>
      </c>
      <c r="Y179" s="11">
        <f t="shared" si="541"/>
        <v>1</v>
      </c>
      <c r="Z179" s="11">
        <f t="shared" si="541"/>
        <v>1</v>
      </c>
      <c r="AA179" s="11">
        <f t="shared" si="541"/>
        <v>1</v>
      </c>
      <c r="AB179" s="11">
        <f t="shared" si="541"/>
        <v>1</v>
      </c>
      <c r="AC179" s="11">
        <f t="shared" si="8"/>
        <v>7</v>
      </c>
      <c r="AD179" s="11">
        <f t="shared" si="9"/>
        <v>1</v>
      </c>
      <c r="AE179" s="11">
        <f t="shared" ref="AE179:AH179" si="542">IF(OR(BD179 = $AO$6, BD179 = $AS$6, BD179 = $AT$6, BD179 = $AU$6), 1, 0)</f>
        <v>1</v>
      </c>
      <c r="AF179" s="11">
        <f t="shared" si="542"/>
        <v>1</v>
      </c>
      <c r="AG179" s="11">
        <f t="shared" si="542"/>
        <v>1</v>
      </c>
      <c r="AH179" s="11">
        <f t="shared" si="542"/>
        <v>1</v>
      </c>
      <c r="AI179" s="11">
        <f t="shared" si="11"/>
        <v>4</v>
      </c>
      <c r="AJ179" s="11">
        <f t="shared" si="12"/>
        <v>12</v>
      </c>
      <c r="AK179" s="12">
        <f t="shared" si="13"/>
        <v>5</v>
      </c>
      <c r="AL179" s="13" t="str">
        <f t="shared" si="14"/>
        <v>excellent</v>
      </c>
      <c r="AM179" s="7"/>
      <c r="AN179" s="7"/>
    </row>
    <row r="180">
      <c r="A180" s="7"/>
      <c r="B180" s="7" t="s">
        <v>390</v>
      </c>
      <c r="C180" s="8" t="s">
        <v>328</v>
      </c>
      <c r="D180" s="7" t="s">
        <v>4</v>
      </c>
      <c r="E180" s="8" t="b">
        <f t="shared" ref="E180:K180" si="543">IF(IFERROR(SEARCH(E$1, $D180),0) &gt;= 1, TRUE,FALSE)</f>
        <v>1</v>
      </c>
      <c r="F180" s="8" t="b">
        <f t="shared" si="543"/>
        <v>0</v>
      </c>
      <c r="G180" s="8" t="b">
        <f t="shared" si="543"/>
        <v>0</v>
      </c>
      <c r="H180" s="8" t="b">
        <f t="shared" si="543"/>
        <v>0</v>
      </c>
      <c r="I180" s="8" t="b">
        <f t="shared" si="543"/>
        <v>0</v>
      </c>
      <c r="J180" s="8" t="b">
        <f t="shared" si="543"/>
        <v>0</v>
      </c>
      <c r="K180" s="8" t="b">
        <f t="shared" si="543"/>
        <v>0</v>
      </c>
      <c r="L180" s="9" t="b">
        <v>1</v>
      </c>
      <c r="M180" s="9" t="b">
        <v>0</v>
      </c>
      <c r="N180" s="9" t="b">
        <v>0</v>
      </c>
      <c r="O180" s="9" t="b">
        <v>0</v>
      </c>
      <c r="P180" s="7" t="str">
        <f t="shared" si="5"/>
        <v>Silex’s</v>
      </c>
      <c r="Q180" s="10">
        <v>6.0</v>
      </c>
      <c r="R180" s="9" t="b">
        <v>0</v>
      </c>
      <c r="S180" s="9" t="b">
        <v>0</v>
      </c>
      <c r="T180" s="7"/>
      <c r="U180" s="11">
        <f t="shared" si="6"/>
        <v>0</v>
      </c>
      <c r="V180" s="11">
        <f t="shared" ref="V180:AB180" si="544">IF(OR(AW180 = $AO$4, AW180 = $AQ$4), 1, 0)</f>
        <v>1</v>
      </c>
      <c r="W180" s="11">
        <f t="shared" si="544"/>
        <v>1</v>
      </c>
      <c r="X180" s="11">
        <f t="shared" si="544"/>
        <v>1</v>
      </c>
      <c r="Y180" s="11">
        <f t="shared" si="544"/>
        <v>1</v>
      </c>
      <c r="Z180" s="11">
        <f t="shared" si="544"/>
        <v>1</v>
      </c>
      <c r="AA180" s="11">
        <f t="shared" si="544"/>
        <v>1</v>
      </c>
      <c r="AB180" s="11">
        <f t="shared" si="544"/>
        <v>1</v>
      </c>
      <c r="AC180" s="11">
        <f t="shared" si="8"/>
        <v>7</v>
      </c>
      <c r="AD180" s="11">
        <f t="shared" si="9"/>
        <v>1</v>
      </c>
      <c r="AE180" s="11">
        <f t="shared" ref="AE180:AH180" si="545">IF(OR(BD180 = $AO$6, BD180 = $AS$6, BD180 = $AT$6, BD180 = $AU$6), 1, 0)</f>
        <v>1</v>
      </c>
      <c r="AF180" s="11">
        <f t="shared" si="545"/>
        <v>1</v>
      </c>
      <c r="AG180" s="11">
        <f t="shared" si="545"/>
        <v>1</v>
      </c>
      <c r="AH180" s="11">
        <f t="shared" si="545"/>
        <v>1</v>
      </c>
      <c r="AI180" s="11">
        <f t="shared" si="11"/>
        <v>4</v>
      </c>
      <c r="AJ180" s="11">
        <f t="shared" si="12"/>
        <v>12</v>
      </c>
      <c r="AK180" s="12">
        <f t="shared" si="13"/>
        <v>5</v>
      </c>
      <c r="AL180" s="13" t="str">
        <f t="shared" si="14"/>
        <v>excellent</v>
      </c>
      <c r="AM180" s="7"/>
      <c r="AN180" s="7"/>
    </row>
    <row r="181">
      <c r="A181" s="7" t="s">
        <v>391</v>
      </c>
      <c r="B181" s="7" t="s">
        <v>392</v>
      </c>
      <c r="C181" s="8" t="s">
        <v>328</v>
      </c>
      <c r="D181" s="7" t="s">
        <v>393</v>
      </c>
      <c r="E181" s="8" t="b">
        <f t="shared" ref="E181:K181" si="546">IF(IFERROR(SEARCH(E$1, $D181),0) &gt;= 1, TRUE,FALSE)</f>
        <v>0</v>
      </c>
      <c r="F181" s="8" t="b">
        <f t="shared" si="546"/>
        <v>0</v>
      </c>
      <c r="G181" s="8" t="b">
        <f t="shared" si="546"/>
        <v>1</v>
      </c>
      <c r="H181" s="8" t="b">
        <f t="shared" si="546"/>
        <v>0</v>
      </c>
      <c r="I181" s="8" t="b">
        <f t="shared" si="546"/>
        <v>0</v>
      </c>
      <c r="J181" s="8" t="b">
        <f t="shared" si="546"/>
        <v>1</v>
      </c>
      <c r="K181" s="8" t="b">
        <f t="shared" si="546"/>
        <v>1</v>
      </c>
      <c r="L181" s="9" t="b">
        <v>1</v>
      </c>
      <c r="M181" s="9" t="b">
        <v>0</v>
      </c>
      <c r="N181" s="9" t="b">
        <v>0</v>
      </c>
      <c r="O181" s="9" t="b">
        <v>0</v>
      </c>
      <c r="P181" s="7" t="str">
        <f t="shared" si="5"/>
        <v>TAMAT | Museum voor Wandtapijten en Textielkunsten van de Federatie Wallonië-Brussel</v>
      </c>
      <c r="Q181" s="10">
        <v>7.0</v>
      </c>
      <c r="R181" s="9" t="b">
        <v>0</v>
      </c>
      <c r="S181" s="9" t="b">
        <v>0</v>
      </c>
      <c r="T181" s="7"/>
      <c r="U181" s="11">
        <f t="shared" si="6"/>
        <v>0</v>
      </c>
      <c r="V181" s="11">
        <f t="shared" ref="V181:AB181" si="547">IF(OR(AW181 = $AO$4, AW181 = $AQ$4), 1, 0)</f>
        <v>1</v>
      </c>
      <c r="W181" s="11">
        <f t="shared" si="547"/>
        <v>1</v>
      </c>
      <c r="X181" s="11">
        <f t="shared" si="547"/>
        <v>1</v>
      </c>
      <c r="Y181" s="11">
        <f t="shared" si="547"/>
        <v>1</v>
      </c>
      <c r="Z181" s="11">
        <f t="shared" si="547"/>
        <v>1</v>
      </c>
      <c r="AA181" s="11">
        <f t="shared" si="547"/>
        <v>1</v>
      </c>
      <c r="AB181" s="11">
        <f t="shared" si="547"/>
        <v>1</v>
      </c>
      <c r="AC181" s="11">
        <f t="shared" si="8"/>
        <v>7</v>
      </c>
      <c r="AD181" s="11">
        <f t="shared" si="9"/>
        <v>1</v>
      </c>
      <c r="AE181" s="11">
        <f t="shared" ref="AE181:AH181" si="548">IF(OR(BD181 = $AO$6, BD181 = $AS$6, BD181 = $AT$6, BD181 = $AU$6), 1, 0)</f>
        <v>1</v>
      </c>
      <c r="AF181" s="11">
        <f t="shared" si="548"/>
        <v>1</v>
      </c>
      <c r="AG181" s="11">
        <f t="shared" si="548"/>
        <v>1</v>
      </c>
      <c r="AH181" s="11">
        <f t="shared" si="548"/>
        <v>1</v>
      </c>
      <c r="AI181" s="11">
        <f t="shared" si="11"/>
        <v>4</v>
      </c>
      <c r="AJ181" s="11">
        <f t="shared" si="12"/>
        <v>12</v>
      </c>
      <c r="AK181" s="12">
        <f t="shared" si="13"/>
        <v>5</v>
      </c>
      <c r="AL181" s="13" t="str">
        <f t="shared" si="14"/>
        <v>excellent</v>
      </c>
      <c r="AM181" s="7"/>
      <c r="AN181" s="7"/>
    </row>
    <row r="182">
      <c r="A182" s="7"/>
      <c r="B182" s="7" t="s">
        <v>394</v>
      </c>
      <c r="C182" s="8" t="s">
        <v>395</v>
      </c>
      <c r="D182" s="7" t="s">
        <v>4</v>
      </c>
      <c r="E182" s="8" t="b">
        <f t="shared" ref="E182:K182" si="549">IF(IFERROR(SEARCH(E$1, $D182),0) &gt;= 1, TRUE,FALSE)</f>
        <v>1</v>
      </c>
      <c r="F182" s="8" t="b">
        <f t="shared" si="549"/>
        <v>0</v>
      </c>
      <c r="G182" s="8" t="b">
        <f t="shared" si="549"/>
        <v>0</v>
      </c>
      <c r="H182" s="8" t="b">
        <f t="shared" si="549"/>
        <v>0</v>
      </c>
      <c r="I182" s="8" t="b">
        <f t="shared" si="549"/>
        <v>0</v>
      </c>
      <c r="J182" s="8" t="b">
        <f t="shared" si="549"/>
        <v>0</v>
      </c>
      <c r="K182" s="8" t="b">
        <f t="shared" si="549"/>
        <v>0</v>
      </c>
      <c r="L182" s="9" t="b">
        <v>0</v>
      </c>
      <c r="M182" s="9" t="b">
        <v>1</v>
      </c>
      <c r="N182" s="9" t="b">
        <v>0</v>
      </c>
      <c r="O182" s="9" t="b">
        <v>0</v>
      </c>
      <c r="P182" s="7" t="str">
        <f t="shared" si="5"/>
        <v>Bastogne Barracks</v>
      </c>
      <c r="Q182" s="10">
        <v>12.0</v>
      </c>
      <c r="R182" s="9" t="b">
        <v>0</v>
      </c>
      <c r="S182" s="9" t="b">
        <v>0</v>
      </c>
      <c r="T182" s="7"/>
      <c r="U182" s="11">
        <f t="shared" si="6"/>
        <v>0</v>
      </c>
      <c r="V182" s="11">
        <f t="shared" ref="V182:AB182" si="550">IF(OR(AW182 = $AO$4, AW182 = $AQ$4), 1, 0)</f>
        <v>1</v>
      </c>
      <c r="W182" s="11">
        <f t="shared" si="550"/>
        <v>1</v>
      </c>
      <c r="X182" s="11">
        <f t="shared" si="550"/>
        <v>1</v>
      </c>
      <c r="Y182" s="11">
        <f t="shared" si="550"/>
        <v>1</v>
      </c>
      <c r="Z182" s="11">
        <f t="shared" si="550"/>
        <v>1</v>
      </c>
      <c r="AA182" s="11">
        <f t="shared" si="550"/>
        <v>1</v>
      </c>
      <c r="AB182" s="11">
        <f t="shared" si="550"/>
        <v>1</v>
      </c>
      <c r="AC182" s="11">
        <f t="shared" si="8"/>
        <v>7</v>
      </c>
      <c r="AD182" s="11">
        <f t="shared" si="9"/>
        <v>1</v>
      </c>
      <c r="AE182" s="11">
        <f t="shared" ref="AE182:AH182" si="551">IF(OR(BD182 = $AO$6, BD182 = $AS$6, BD182 = $AT$6, BD182 = $AU$6), 1, 0)</f>
        <v>1</v>
      </c>
      <c r="AF182" s="11">
        <f t="shared" si="551"/>
        <v>1</v>
      </c>
      <c r="AG182" s="11">
        <f t="shared" si="551"/>
        <v>1</v>
      </c>
      <c r="AH182" s="11">
        <f t="shared" si="551"/>
        <v>1</v>
      </c>
      <c r="AI182" s="11">
        <f t="shared" si="11"/>
        <v>4</v>
      </c>
      <c r="AJ182" s="11">
        <f t="shared" si="12"/>
        <v>12</v>
      </c>
      <c r="AK182" s="12">
        <f t="shared" si="13"/>
        <v>5</v>
      </c>
      <c r="AL182" s="13" t="str">
        <f t="shared" si="14"/>
        <v>excellent</v>
      </c>
      <c r="AM182" s="7"/>
      <c r="AN182" s="7"/>
    </row>
    <row r="183">
      <c r="A183" s="7"/>
      <c r="B183" s="7" t="s">
        <v>396</v>
      </c>
      <c r="C183" s="8" t="s">
        <v>395</v>
      </c>
      <c r="D183" s="7" t="s">
        <v>206</v>
      </c>
      <c r="E183" s="8" t="b">
        <f t="shared" ref="E183:K183" si="552">IF(IFERROR(SEARCH(E$1, $D183),0) &gt;= 1, TRUE,FALSE)</f>
        <v>1</v>
      </c>
      <c r="F183" s="8" t="b">
        <f t="shared" si="552"/>
        <v>0</v>
      </c>
      <c r="G183" s="8" t="b">
        <f t="shared" si="552"/>
        <v>0</v>
      </c>
      <c r="H183" s="8" t="b">
        <f t="shared" si="552"/>
        <v>0</v>
      </c>
      <c r="I183" s="8" t="b">
        <f t="shared" si="552"/>
        <v>1</v>
      </c>
      <c r="J183" s="8" t="b">
        <f t="shared" si="552"/>
        <v>1</v>
      </c>
      <c r="K183" s="8" t="b">
        <f t="shared" si="552"/>
        <v>0</v>
      </c>
      <c r="L183" s="9" t="b">
        <v>1</v>
      </c>
      <c r="M183" s="9" t="b">
        <v>0</v>
      </c>
      <c r="N183" s="9" t="b">
        <v>0</v>
      </c>
      <c r="O183" s="9" t="b">
        <v>0</v>
      </c>
      <c r="P183" s="7" t="str">
        <f t="shared" si="5"/>
        <v>DHAM | Durbuy History &amp; Art Museum</v>
      </c>
      <c r="Q183" s="10">
        <v>6.0</v>
      </c>
      <c r="R183" s="9" t="b">
        <v>0</v>
      </c>
      <c r="S183" s="9" t="b">
        <v>1</v>
      </c>
      <c r="T183" s="10">
        <v>6.0</v>
      </c>
      <c r="U183" s="11">
        <f t="shared" si="6"/>
        <v>0</v>
      </c>
      <c r="V183" s="11">
        <f t="shared" ref="V183:AB183" si="553">IF(OR(AW183 = $AO$4, AW183 = $AQ$4), 1, 0)</f>
        <v>1</v>
      </c>
      <c r="W183" s="11">
        <f t="shared" si="553"/>
        <v>1</v>
      </c>
      <c r="X183" s="11">
        <f t="shared" si="553"/>
        <v>1</v>
      </c>
      <c r="Y183" s="11">
        <f t="shared" si="553"/>
        <v>1</v>
      </c>
      <c r="Z183" s="11">
        <f t="shared" si="553"/>
        <v>1</v>
      </c>
      <c r="AA183" s="11">
        <f t="shared" si="553"/>
        <v>1</v>
      </c>
      <c r="AB183" s="11">
        <f t="shared" si="553"/>
        <v>1</v>
      </c>
      <c r="AC183" s="11">
        <f t="shared" si="8"/>
        <v>7</v>
      </c>
      <c r="AD183" s="11">
        <f t="shared" si="9"/>
        <v>1</v>
      </c>
      <c r="AE183" s="11">
        <f t="shared" ref="AE183:AH183" si="554">IF(OR(BD183 = $AO$6, BD183 = $AS$6, BD183 = $AT$6, BD183 = $AU$6), 1, 0)</f>
        <v>1</v>
      </c>
      <c r="AF183" s="11">
        <f t="shared" si="554"/>
        <v>1</v>
      </c>
      <c r="AG183" s="11">
        <f t="shared" si="554"/>
        <v>1</v>
      </c>
      <c r="AH183" s="11">
        <f t="shared" si="554"/>
        <v>1</v>
      </c>
      <c r="AI183" s="11">
        <f t="shared" si="11"/>
        <v>4</v>
      </c>
      <c r="AJ183" s="11">
        <f t="shared" si="12"/>
        <v>12</v>
      </c>
      <c r="AK183" s="12">
        <f t="shared" si="13"/>
        <v>5</v>
      </c>
      <c r="AL183" s="13" t="str">
        <f t="shared" si="14"/>
        <v>excellent</v>
      </c>
      <c r="AM183" s="7"/>
      <c r="AN183" s="7"/>
    </row>
    <row r="184">
      <c r="A184" s="7"/>
      <c r="B184" s="7" t="s">
        <v>397</v>
      </c>
      <c r="C184" s="8" t="s">
        <v>395</v>
      </c>
      <c r="D184" s="7" t="s">
        <v>398</v>
      </c>
      <c r="E184" s="8" t="b">
        <f t="shared" ref="E184:K184" si="555">IF(IFERROR(SEARCH(E$1, $D184),0) &gt;= 1, TRUE,FALSE)</f>
        <v>1</v>
      </c>
      <c r="F184" s="8" t="b">
        <f t="shared" si="555"/>
        <v>0</v>
      </c>
      <c r="G184" s="8" t="b">
        <f t="shared" si="555"/>
        <v>1</v>
      </c>
      <c r="H184" s="8" t="b">
        <f t="shared" si="555"/>
        <v>0</v>
      </c>
      <c r="I184" s="8" t="b">
        <f t="shared" si="555"/>
        <v>1</v>
      </c>
      <c r="J184" s="8" t="b">
        <f t="shared" si="555"/>
        <v>1</v>
      </c>
      <c r="K184" s="8" t="b">
        <f t="shared" si="555"/>
        <v>1</v>
      </c>
      <c r="L184" s="9" t="b">
        <v>1</v>
      </c>
      <c r="M184" s="9" t="b">
        <v>0</v>
      </c>
      <c r="N184" s="9" t="b">
        <v>0</v>
      </c>
      <c r="O184" s="9" t="b">
        <v>0</v>
      </c>
      <c r="P184" s="7" t="str">
        <f t="shared" si="5"/>
        <v>FAM | Famenne &amp; Art Museum</v>
      </c>
      <c r="Q184" s="10">
        <v>5.0</v>
      </c>
      <c r="R184" s="9" t="b">
        <v>0</v>
      </c>
      <c r="S184" s="9" t="b">
        <v>1</v>
      </c>
      <c r="T184" s="10">
        <v>5.0</v>
      </c>
      <c r="U184" s="11">
        <f t="shared" si="6"/>
        <v>0</v>
      </c>
      <c r="V184" s="11">
        <f t="shared" ref="V184:AB184" si="556">IF(OR(AW184 = $AO$4, AW184 = $AQ$4), 1, 0)</f>
        <v>1</v>
      </c>
      <c r="W184" s="11">
        <f t="shared" si="556"/>
        <v>1</v>
      </c>
      <c r="X184" s="11">
        <f t="shared" si="556"/>
        <v>1</v>
      </c>
      <c r="Y184" s="11">
        <f t="shared" si="556"/>
        <v>1</v>
      </c>
      <c r="Z184" s="11">
        <f t="shared" si="556"/>
        <v>1</v>
      </c>
      <c r="AA184" s="11">
        <f t="shared" si="556"/>
        <v>1</v>
      </c>
      <c r="AB184" s="11">
        <f t="shared" si="556"/>
        <v>1</v>
      </c>
      <c r="AC184" s="11">
        <f t="shared" si="8"/>
        <v>7</v>
      </c>
      <c r="AD184" s="11">
        <f t="shared" si="9"/>
        <v>1</v>
      </c>
      <c r="AE184" s="11">
        <f t="shared" ref="AE184:AH184" si="557">IF(OR(BD184 = $AO$6, BD184 = $AS$6, BD184 = $AT$6, BD184 = $AU$6), 1, 0)</f>
        <v>1</v>
      </c>
      <c r="AF184" s="11">
        <f t="shared" si="557"/>
        <v>1</v>
      </c>
      <c r="AG184" s="11">
        <f t="shared" si="557"/>
        <v>1</v>
      </c>
      <c r="AH184" s="11">
        <f t="shared" si="557"/>
        <v>1</v>
      </c>
      <c r="AI184" s="11">
        <f t="shared" si="11"/>
        <v>4</v>
      </c>
      <c r="AJ184" s="11">
        <f t="shared" si="12"/>
        <v>12</v>
      </c>
      <c r="AK184" s="12">
        <f t="shared" si="13"/>
        <v>5</v>
      </c>
      <c r="AL184" s="13" t="str">
        <f t="shared" si="14"/>
        <v>excellent</v>
      </c>
      <c r="AM184" s="7"/>
      <c r="AN184" s="7"/>
    </row>
    <row r="185">
      <c r="A185" s="7" t="s">
        <v>399</v>
      </c>
      <c r="B185" s="7" t="s">
        <v>400</v>
      </c>
      <c r="C185" s="8" t="s">
        <v>395</v>
      </c>
      <c r="D185" s="7" t="s">
        <v>4</v>
      </c>
      <c r="E185" s="8" t="b">
        <f t="shared" ref="E185:K185" si="558">IF(IFERROR(SEARCH(E$1, $D185),0) &gt;= 1, TRUE,FALSE)</f>
        <v>1</v>
      </c>
      <c r="F185" s="8" t="b">
        <f t="shared" si="558"/>
        <v>0</v>
      </c>
      <c r="G185" s="8" t="b">
        <f t="shared" si="558"/>
        <v>0</v>
      </c>
      <c r="H185" s="8" t="b">
        <f t="shared" si="558"/>
        <v>0</v>
      </c>
      <c r="I185" s="8" t="b">
        <f t="shared" si="558"/>
        <v>0</v>
      </c>
      <c r="J185" s="8" t="b">
        <f t="shared" si="558"/>
        <v>0</v>
      </c>
      <c r="K185" s="8" t="b">
        <f t="shared" si="558"/>
        <v>0</v>
      </c>
      <c r="L185" s="9" t="b">
        <v>1</v>
      </c>
      <c r="M185" s="9" t="b">
        <v>0</v>
      </c>
      <c r="N185" s="9" t="b">
        <v>1</v>
      </c>
      <c r="O185" s="9" t="b">
        <v>1</v>
      </c>
      <c r="P185" s="7" t="str">
        <f t="shared" si="5"/>
        <v>Megalietenhuis</v>
      </c>
      <c r="Q185" s="10">
        <v>4.0</v>
      </c>
      <c r="R185" s="9" t="b">
        <v>0</v>
      </c>
      <c r="S185" s="9" t="b">
        <v>1</v>
      </c>
      <c r="T185" s="10">
        <v>4.0</v>
      </c>
      <c r="U185" s="11">
        <f t="shared" si="6"/>
        <v>0</v>
      </c>
      <c r="V185" s="11">
        <f t="shared" ref="V185:AB185" si="559">IF(OR(AW185 = $AO$4, AW185 = $AQ$4), 1, 0)</f>
        <v>1</v>
      </c>
      <c r="W185" s="11">
        <f t="shared" si="559"/>
        <v>1</v>
      </c>
      <c r="X185" s="11">
        <f t="shared" si="559"/>
        <v>1</v>
      </c>
      <c r="Y185" s="11">
        <f t="shared" si="559"/>
        <v>1</v>
      </c>
      <c r="Z185" s="11">
        <f t="shared" si="559"/>
        <v>1</v>
      </c>
      <c r="AA185" s="11">
        <f t="shared" si="559"/>
        <v>1</v>
      </c>
      <c r="AB185" s="11">
        <f t="shared" si="559"/>
        <v>1</v>
      </c>
      <c r="AC185" s="11">
        <f t="shared" si="8"/>
        <v>7</v>
      </c>
      <c r="AD185" s="11">
        <f t="shared" si="9"/>
        <v>1</v>
      </c>
      <c r="AE185" s="11">
        <f t="shared" ref="AE185:AH185" si="560">IF(OR(BD185 = $AO$6, BD185 = $AS$6, BD185 = $AT$6, BD185 = $AU$6), 1, 0)</f>
        <v>1</v>
      </c>
      <c r="AF185" s="11">
        <f t="shared" si="560"/>
        <v>1</v>
      </c>
      <c r="AG185" s="11">
        <f t="shared" si="560"/>
        <v>1</v>
      </c>
      <c r="AH185" s="11">
        <f t="shared" si="560"/>
        <v>1</v>
      </c>
      <c r="AI185" s="11">
        <f t="shared" si="11"/>
        <v>4</v>
      </c>
      <c r="AJ185" s="11">
        <f t="shared" si="12"/>
        <v>12</v>
      </c>
      <c r="AK185" s="12">
        <f t="shared" si="13"/>
        <v>5</v>
      </c>
      <c r="AL185" s="13" t="str">
        <f t="shared" si="14"/>
        <v>excellent</v>
      </c>
      <c r="AM185" s="7"/>
      <c r="AN185" s="7"/>
    </row>
    <row r="186">
      <c r="A186" s="7"/>
      <c r="B186" s="7" t="s">
        <v>401</v>
      </c>
      <c r="C186" s="8" t="s">
        <v>395</v>
      </c>
      <c r="D186" s="7" t="s">
        <v>9</v>
      </c>
      <c r="E186" s="8" t="b">
        <f t="shared" ref="E186:K186" si="561">IF(IFERROR(SEARCH(E$1, $D186),0) &gt;= 1, TRUE,FALSE)</f>
        <v>0</v>
      </c>
      <c r="F186" s="8" t="b">
        <f t="shared" si="561"/>
        <v>0</v>
      </c>
      <c r="G186" s="8" t="b">
        <f t="shared" si="561"/>
        <v>0</v>
      </c>
      <c r="H186" s="8" t="b">
        <f t="shared" si="561"/>
        <v>0</v>
      </c>
      <c r="I186" s="8" t="b">
        <f t="shared" si="561"/>
        <v>0</v>
      </c>
      <c r="J186" s="8" t="b">
        <f t="shared" si="561"/>
        <v>1</v>
      </c>
      <c r="K186" s="8" t="b">
        <f t="shared" si="561"/>
        <v>0</v>
      </c>
      <c r="L186" s="9" t="b">
        <v>1</v>
      </c>
      <c r="M186" s="9" t="b">
        <v>0</v>
      </c>
      <c r="N186" s="9" t="b">
        <v>0</v>
      </c>
      <c r="O186" s="9" t="b">
        <v>1</v>
      </c>
      <c r="P186" s="7" t="str">
        <f t="shared" si="5"/>
        <v>Mudia</v>
      </c>
      <c r="Q186" s="10">
        <v>15.5</v>
      </c>
      <c r="R186" s="9" t="b">
        <v>0</v>
      </c>
      <c r="S186" s="9" t="b">
        <v>0</v>
      </c>
      <c r="T186" s="7"/>
      <c r="U186" s="11">
        <f t="shared" si="6"/>
        <v>0</v>
      </c>
      <c r="V186" s="11">
        <f t="shared" ref="V186:AB186" si="562">IF(OR(AW186 = $AO$4, AW186 = $AQ$4), 1, 0)</f>
        <v>1</v>
      </c>
      <c r="W186" s="11">
        <f t="shared" si="562"/>
        <v>1</v>
      </c>
      <c r="X186" s="11">
        <f t="shared" si="562"/>
        <v>1</v>
      </c>
      <c r="Y186" s="11">
        <f t="shared" si="562"/>
        <v>1</v>
      </c>
      <c r="Z186" s="11">
        <f t="shared" si="562"/>
        <v>1</v>
      </c>
      <c r="AA186" s="11">
        <f t="shared" si="562"/>
        <v>1</v>
      </c>
      <c r="AB186" s="11">
        <f t="shared" si="562"/>
        <v>1</v>
      </c>
      <c r="AC186" s="11">
        <f t="shared" si="8"/>
        <v>7</v>
      </c>
      <c r="AD186" s="11">
        <f t="shared" si="9"/>
        <v>0</v>
      </c>
      <c r="AE186" s="11">
        <f t="shared" ref="AE186:AH186" si="563">IF(OR(BD186 = $AO$6, BD186 = $AS$6, BD186 = $AT$6, BD186 = $AU$6), 1, 0)</f>
        <v>1</v>
      </c>
      <c r="AF186" s="11">
        <f t="shared" si="563"/>
        <v>1</v>
      </c>
      <c r="AG186" s="11">
        <f t="shared" si="563"/>
        <v>1</v>
      </c>
      <c r="AH186" s="11">
        <f t="shared" si="563"/>
        <v>1</v>
      </c>
      <c r="AI186" s="11">
        <f t="shared" si="11"/>
        <v>4</v>
      </c>
      <c r="AJ186" s="11">
        <f t="shared" si="12"/>
        <v>11</v>
      </c>
      <c r="AK186" s="12">
        <f t="shared" si="13"/>
        <v>4.583333333</v>
      </c>
      <c r="AL186" s="13" t="str">
        <f t="shared" si="14"/>
        <v>excellent</v>
      </c>
      <c r="AM186" s="7"/>
      <c r="AN186" s="7"/>
    </row>
    <row r="187">
      <c r="A187" s="7" t="s">
        <v>402</v>
      </c>
      <c r="B187" s="7" t="s">
        <v>403</v>
      </c>
      <c r="C187" s="8" t="s">
        <v>395</v>
      </c>
      <c r="D187" s="7" t="s">
        <v>4</v>
      </c>
      <c r="E187" s="8" t="b">
        <f t="shared" ref="E187:K187" si="564">IF(IFERROR(SEARCH(E$1, $D187),0) &gt;= 1, TRUE,FALSE)</f>
        <v>1</v>
      </c>
      <c r="F187" s="8" t="b">
        <f t="shared" si="564"/>
        <v>0</v>
      </c>
      <c r="G187" s="8" t="b">
        <f t="shared" si="564"/>
        <v>0</v>
      </c>
      <c r="H187" s="8" t="b">
        <f t="shared" si="564"/>
        <v>0</v>
      </c>
      <c r="I187" s="8" t="b">
        <f t="shared" si="564"/>
        <v>0</v>
      </c>
      <c r="J187" s="8" t="b">
        <f t="shared" si="564"/>
        <v>0</v>
      </c>
      <c r="K187" s="8" t="b">
        <f t="shared" si="564"/>
        <v>0</v>
      </c>
      <c r="L187" s="9" t="b">
        <v>1</v>
      </c>
      <c r="M187" s="9" t="b">
        <v>0</v>
      </c>
      <c r="N187" s="9" t="b">
        <v>0</v>
      </c>
      <c r="O187" s="9" t="b">
        <v>0</v>
      </c>
      <c r="P187" s="7" t="str">
        <f t="shared" si="5"/>
        <v>Archeologisch Museum van Aarlen</v>
      </c>
      <c r="Q187" s="10">
        <v>6.0</v>
      </c>
      <c r="R187" s="9" t="b">
        <v>0</v>
      </c>
      <c r="S187" s="9" t="b">
        <v>1</v>
      </c>
      <c r="T187" s="10">
        <v>6.0</v>
      </c>
      <c r="U187" s="11">
        <f t="shared" si="6"/>
        <v>0</v>
      </c>
      <c r="V187" s="11">
        <f t="shared" ref="V187:AB187" si="565">IF(OR(AW187 = $AO$4, AW187 = $AQ$4), 1, 0)</f>
        <v>1</v>
      </c>
      <c r="W187" s="11">
        <f t="shared" si="565"/>
        <v>1</v>
      </c>
      <c r="X187" s="11">
        <f t="shared" si="565"/>
        <v>1</v>
      </c>
      <c r="Y187" s="11">
        <f t="shared" si="565"/>
        <v>1</v>
      </c>
      <c r="Z187" s="11">
        <f t="shared" si="565"/>
        <v>1</v>
      </c>
      <c r="AA187" s="11">
        <f t="shared" si="565"/>
        <v>1</v>
      </c>
      <c r="AB187" s="11">
        <f t="shared" si="565"/>
        <v>1</v>
      </c>
      <c r="AC187" s="11">
        <f t="shared" si="8"/>
        <v>7</v>
      </c>
      <c r="AD187" s="11">
        <f t="shared" si="9"/>
        <v>1</v>
      </c>
      <c r="AE187" s="11">
        <f t="shared" ref="AE187:AH187" si="566">IF(OR(BD187 = $AO$6, BD187 = $AS$6, BD187 = $AT$6, BD187 = $AU$6), 1, 0)</f>
        <v>1</v>
      </c>
      <c r="AF187" s="11">
        <f t="shared" si="566"/>
        <v>1</v>
      </c>
      <c r="AG187" s="11">
        <f t="shared" si="566"/>
        <v>1</v>
      </c>
      <c r="AH187" s="11">
        <f t="shared" si="566"/>
        <v>1</v>
      </c>
      <c r="AI187" s="11">
        <f t="shared" si="11"/>
        <v>4</v>
      </c>
      <c r="AJ187" s="11">
        <f t="shared" si="12"/>
        <v>12</v>
      </c>
      <c r="AK187" s="12">
        <f t="shared" si="13"/>
        <v>5</v>
      </c>
      <c r="AL187" s="13" t="str">
        <f t="shared" si="14"/>
        <v>excellent</v>
      </c>
      <c r="AM187" s="7"/>
      <c r="AN187" s="7"/>
    </row>
    <row r="188">
      <c r="A188" s="7" t="s">
        <v>404</v>
      </c>
      <c r="B188" s="7" t="s">
        <v>405</v>
      </c>
      <c r="C188" s="8" t="s">
        <v>395</v>
      </c>
      <c r="D188" s="7" t="s">
        <v>206</v>
      </c>
      <c r="E188" s="8" t="b">
        <f t="shared" ref="E188:K188" si="567">IF(IFERROR(SEARCH(E$1, $D188),0) &gt;= 1, TRUE,FALSE)</f>
        <v>1</v>
      </c>
      <c r="F188" s="8" t="b">
        <f t="shared" si="567"/>
        <v>0</v>
      </c>
      <c r="G188" s="8" t="b">
        <f t="shared" si="567"/>
        <v>0</v>
      </c>
      <c r="H188" s="8" t="b">
        <f t="shared" si="567"/>
        <v>0</v>
      </c>
      <c r="I188" s="8" t="b">
        <f t="shared" si="567"/>
        <v>1</v>
      </c>
      <c r="J188" s="8" t="b">
        <f t="shared" si="567"/>
        <v>1</v>
      </c>
      <c r="K188" s="8" t="b">
        <f t="shared" si="567"/>
        <v>0</v>
      </c>
      <c r="L188" s="9" t="b">
        <v>1</v>
      </c>
      <c r="M188" s="9" t="b">
        <v>0</v>
      </c>
      <c r="N188" s="9" t="b">
        <v>0</v>
      </c>
      <c r="O188" s="9" t="b">
        <v>0</v>
      </c>
      <c r="P188" s="7" t="str">
        <f t="shared" si="5"/>
        <v>Gaspar Museum</v>
      </c>
      <c r="Q188" s="10">
        <v>6.0</v>
      </c>
      <c r="R188" s="9" t="b">
        <v>0</v>
      </c>
      <c r="S188" s="9" t="b">
        <v>1</v>
      </c>
      <c r="T188" s="10">
        <v>6.0</v>
      </c>
      <c r="U188" s="11">
        <f t="shared" si="6"/>
        <v>0</v>
      </c>
      <c r="V188" s="11">
        <f t="shared" ref="V188:AB188" si="568">IF(OR(AW188 = $AO$4, AW188 = $AQ$4), 1, 0)</f>
        <v>1</v>
      </c>
      <c r="W188" s="11">
        <f t="shared" si="568"/>
        <v>1</v>
      </c>
      <c r="X188" s="11">
        <f t="shared" si="568"/>
        <v>1</v>
      </c>
      <c r="Y188" s="11">
        <f t="shared" si="568"/>
        <v>1</v>
      </c>
      <c r="Z188" s="11">
        <f t="shared" si="568"/>
        <v>1</v>
      </c>
      <c r="AA188" s="11">
        <f t="shared" si="568"/>
        <v>1</v>
      </c>
      <c r="AB188" s="11">
        <f t="shared" si="568"/>
        <v>1</v>
      </c>
      <c r="AC188" s="11">
        <f t="shared" si="8"/>
        <v>7</v>
      </c>
      <c r="AD188" s="11">
        <f t="shared" si="9"/>
        <v>1</v>
      </c>
      <c r="AE188" s="11">
        <f t="shared" ref="AE188:AH188" si="569">IF(OR(BD188 = $AO$6, BD188 = $AS$6, BD188 = $AT$6, BD188 = $AU$6), 1, 0)</f>
        <v>1</v>
      </c>
      <c r="AF188" s="11">
        <f t="shared" si="569"/>
        <v>1</v>
      </c>
      <c r="AG188" s="11">
        <f t="shared" si="569"/>
        <v>1</v>
      </c>
      <c r="AH188" s="11">
        <f t="shared" si="569"/>
        <v>1</v>
      </c>
      <c r="AI188" s="11">
        <f t="shared" si="11"/>
        <v>4</v>
      </c>
      <c r="AJ188" s="11">
        <f t="shared" si="12"/>
        <v>12</v>
      </c>
      <c r="AK188" s="12">
        <f t="shared" si="13"/>
        <v>5</v>
      </c>
      <c r="AL188" s="13" t="str">
        <f t="shared" si="14"/>
        <v>excellent</v>
      </c>
      <c r="AM188" s="7"/>
      <c r="AN188" s="7"/>
    </row>
    <row r="189">
      <c r="A189" s="7" t="s">
        <v>406</v>
      </c>
      <c r="B189" s="7" t="s">
        <v>407</v>
      </c>
      <c r="C189" s="8" t="s">
        <v>395</v>
      </c>
      <c r="D189" s="7" t="s">
        <v>203</v>
      </c>
      <c r="E189" s="8" t="b">
        <f t="shared" ref="E189:K189" si="570">IF(IFERROR(SEARCH(E$1, $D189),0) &gt;= 1, TRUE,FALSE)</f>
        <v>1</v>
      </c>
      <c r="F189" s="8" t="b">
        <f t="shared" si="570"/>
        <v>1</v>
      </c>
      <c r="G189" s="8" t="b">
        <f t="shared" si="570"/>
        <v>0</v>
      </c>
      <c r="H189" s="8" t="b">
        <f t="shared" si="570"/>
        <v>1</v>
      </c>
      <c r="I189" s="8" t="b">
        <f t="shared" si="570"/>
        <v>1</v>
      </c>
      <c r="J189" s="8" t="b">
        <f t="shared" si="570"/>
        <v>1</v>
      </c>
      <c r="K189" s="8" t="b">
        <f t="shared" si="570"/>
        <v>0</v>
      </c>
      <c r="L189" s="9" t="b">
        <v>1</v>
      </c>
      <c r="M189" s="9" t="b">
        <v>1</v>
      </c>
      <c r="N189" s="9" t="b">
        <v>0</v>
      </c>
      <c r="O189" s="9" t="b">
        <v>1</v>
      </c>
      <c r="P189" s="7" t="str">
        <f t="shared" si="5"/>
        <v>Het Gaume Museum</v>
      </c>
      <c r="Q189" s="10">
        <v>0.0</v>
      </c>
      <c r="R189" s="9" t="b">
        <v>0</v>
      </c>
      <c r="S189" s="9" t="b">
        <v>1</v>
      </c>
      <c r="T189" s="10">
        <v>0.0</v>
      </c>
      <c r="U189" s="11">
        <f t="shared" si="6"/>
        <v>0</v>
      </c>
      <c r="V189" s="11">
        <f t="shared" ref="V189:AB189" si="571">IF(OR(AW189 = $AO$4, AW189 = $AQ$4), 1, 0)</f>
        <v>1</v>
      </c>
      <c r="W189" s="11">
        <f t="shared" si="571"/>
        <v>1</v>
      </c>
      <c r="X189" s="11">
        <f t="shared" si="571"/>
        <v>1</v>
      </c>
      <c r="Y189" s="11">
        <f t="shared" si="571"/>
        <v>1</v>
      </c>
      <c r="Z189" s="11">
        <f t="shared" si="571"/>
        <v>1</v>
      </c>
      <c r="AA189" s="11">
        <f t="shared" si="571"/>
        <v>1</v>
      </c>
      <c r="AB189" s="11">
        <f t="shared" si="571"/>
        <v>1</v>
      </c>
      <c r="AC189" s="11">
        <f t="shared" si="8"/>
        <v>7</v>
      </c>
      <c r="AD189" s="11">
        <f t="shared" si="9"/>
        <v>1</v>
      </c>
      <c r="AE189" s="11">
        <f t="shared" ref="AE189:AH189" si="572">IF(OR(BD189 = $AO$6, BD189 = $AS$6, BD189 = $AT$6, BD189 = $AU$6), 1, 0)</f>
        <v>1</v>
      </c>
      <c r="AF189" s="11">
        <f t="shared" si="572"/>
        <v>1</v>
      </c>
      <c r="AG189" s="11">
        <f t="shared" si="572"/>
        <v>1</v>
      </c>
      <c r="AH189" s="11">
        <f t="shared" si="572"/>
        <v>1</v>
      </c>
      <c r="AI189" s="11">
        <f t="shared" si="11"/>
        <v>4</v>
      </c>
      <c r="AJ189" s="11">
        <f t="shared" si="12"/>
        <v>12</v>
      </c>
      <c r="AK189" s="12">
        <f t="shared" si="13"/>
        <v>5</v>
      </c>
      <c r="AL189" s="13" t="str">
        <f t="shared" si="14"/>
        <v>excellent</v>
      </c>
      <c r="AM189" s="7"/>
      <c r="AN189" s="7"/>
    </row>
    <row r="190">
      <c r="A190" s="7" t="s">
        <v>408</v>
      </c>
      <c r="B190" s="7" t="s">
        <v>409</v>
      </c>
      <c r="C190" s="8" t="s">
        <v>395</v>
      </c>
      <c r="D190" s="7" t="s">
        <v>410</v>
      </c>
      <c r="E190" s="8" t="b">
        <f t="shared" ref="E190:K190" si="573">IF(IFERROR(SEARCH(E$1, $D190),0) &gt;= 1, TRUE,FALSE)</f>
        <v>1</v>
      </c>
      <c r="F190" s="8" t="b">
        <f t="shared" si="573"/>
        <v>0</v>
      </c>
      <c r="G190" s="8" t="b">
        <f t="shared" si="573"/>
        <v>0</v>
      </c>
      <c r="H190" s="8" t="b">
        <f t="shared" si="573"/>
        <v>1</v>
      </c>
      <c r="I190" s="8" t="b">
        <f t="shared" si="573"/>
        <v>0</v>
      </c>
      <c r="J190" s="8" t="b">
        <f t="shared" si="573"/>
        <v>1</v>
      </c>
      <c r="K190" s="8" t="b">
        <f t="shared" si="573"/>
        <v>0</v>
      </c>
      <c r="L190" s="9" t="b">
        <v>1</v>
      </c>
      <c r="M190" s="9" t="b">
        <v>0</v>
      </c>
      <c r="N190" s="9" t="b">
        <v>1</v>
      </c>
      <c r="O190" s="9" t="b">
        <v>1</v>
      </c>
      <c r="P190" s="7" t="str">
        <f t="shared" si="5"/>
        <v>Museum van de Grote Ardennen</v>
      </c>
      <c r="Q190" s="10">
        <v>9.0</v>
      </c>
      <c r="R190" s="9" t="b">
        <v>0</v>
      </c>
      <c r="S190" s="9" t="b">
        <v>1</v>
      </c>
      <c r="T190" s="10">
        <v>9.0</v>
      </c>
      <c r="U190" s="11">
        <f t="shared" si="6"/>
        <v>0</v>
      </c>
      <c r="V190" s="11">
        <f t="shared" ref="V190:AB190" si="574">IF(OR(AW190 = $AO$4, AW190 = $AQ$4), 1, 0)</f>
        <v>1</v>
      </c>
      <c r="W190" s="11">
        <f t="shared" si="574"/>
        <v>1</v>
      </c>
      <c r="X190" s="11">
        <f t="shared" si="574"/>
        <v>1</v>
      </c>
      <c r="Y190" s="11">
        <f t="shared" si="574"/>
        <v>1</v>
      </c>
      <c r="Z190" s="11">
        <f t="shared" si="574"/>
        <v>1</v>
      </c>
      <c r="AA190" s="11">
        <f t="shared" si="574"/>
        <v>1</v>
      </c>
      <c r="AB190" s="11">
        <f t="shared" si="574"/>
        <v>1</v>
      </c>
      <c r="AC190" s="11">
        <f t="shared" si="8"/>
        <v>7</v>
      </c>
      <c r="AD190" s="11">
        <f t="shared" si="9"/>
        <v>1</v>
      </c>
      <c r="AE190" s="11">
        <f t="shared" ref="AE190:AH190" si="575">IF(OR(BD190 = $AO$6, BD190 = $AS$6, BD190 = $AT$6, BD190 = $AU$6), 1, 0)</f>
        <v>1</v>
      </c>
      <c r="AF190" s="11">
        <f t="shared" si="575"/>
        <v>1</v>
      </c>
      <c r="AG190" s="11">
        <f t="shared" si="575"/>
        <v>1</v>
      </c>
      <c r="AH190" s="11">
        <f t="shared" si="575"/>
        <v>1</v>
      </c>
      <c r="AI190" s="11">
        <f t="shared" si="11"/>
        <v>4</v>
      </c>
      <c r="AJ190" s="11">
        <f t="shared" si="12"/>
        <v>12</v>
      </c>
      <c r="AK190" s="12">
        <f t="shared" si="13"/>
        <v>5</v>
      </c>
      <c r="AL190" s="13" t="str">
        <f t="shared" si="14"/>
        <v>excellent</v>
      </c>
      <c r="AM190" s="7"/>
      <c r="AN190" s="7"/>
    </row>
    <row r="191">
      <c r="A191" s="7" t="s">
        <v>411</v>
      </c>
      <c r="B191" s="7" t="s">
        <v>412</v>
      </c>
      <c r="C191" s="8" t="s">
        <v>413</v>
      </c>
      <c r="D191" s="7" t="s">
        <v>258</v>
      </c>
      <c r="E191" s="8" t="b">
        <f t="shared" ref="E191:K191" si="576">IF(IFERROR(SEARCH(E$1, $D191),0) &gt;= 1, TRUE,FALSE)</f>
        <v>1</v>
      </c>
      <c r="F191" s="8" t="b">
        <f t="shared" si="576"/>
        <v>0</v>
      </c>
      <c r="G191" s="8" t="b">
        <f t="shared" si="576"/>
        <v>0</v>
      </c>
      <c r="H191" s="8" t="b">
        <f t="shared" si="576"/>
        <v>1</v>
      </c>
      <c r="I191" s="8" t="b">
        <f t="shared" si="576"/>
        <v>1</v>
      </c>
      <c r="J191" s="8" t="b">
        <f t="shared" si="576"/>
        <v>1</v>
      </c>
      <c r="K191" s="8" t="b">
        <f t="shared" si="576"/>
        <v>1</v>
      </c>
      <c r="L191" s="9" t="b">
        <v>0</v>
      </c>
      <c r="M191" s="9" t="b">
        <v>0</v>
      </c>
      <c r="N191" s="9" t="b">
        <v>0</v>
      </c>
      <c r="O191" s="9" t="b">
        <v>0</v>
      </c>
      <c r="P191" s="7" t="str">
        <f t="shared" si="5"/>
        <v>AMVB | Archief en Museum voor het Vlaams leven te Brussel</v>
      </c>
      <c r="Q191" s="10">
        <v>6.0</v>
      </c>
      <c r="R191" s="9" t="b">
        <v>0</v>
      </c>
      <c r="S191" s="9" t="b">
        <v>1</v>
      </c>
      <c r="T191" s="10">
        <v>0.0</v>
      </c>
      <c r="U191" s="11">
        <f t="shared" si="6"/>
        <v>0</v>
      </c>
      <c r="V191" s="11">
        <f t="shared" ref="V191:AB191" si="577">IF(OR(AW191 = $AO$4, AW191 = $AQ$4), 1, 0)</f>
        <v>1</v>
      </c>
      <c r="W191" s="11">
        <f t="shared" si="577"/>
        <v>1</v>
      </c>
      <c r="X191" s="11">
        <f t="shared" si="577"/>
        <v>1</v>
      </c>
      <c r="Y191" s="11">
        <f t="shared" si="577"/>
        <v>1</v>
      </c>
      <c r="Z191" s="11">
        <f t="shared" si="577"/>
        <v>1</v>
      </c>
      <c r="AA191" s="11">
        <f t="shared" si="577"/>
        <v>1</v>
      </c>
      <c r="AB191" s="11">
        <f t="shared" si="577"/>
        <v>1</v>
      </c>
      <c r="AC191" s="11">
        <f t="shared" si="8"/>
        <v>7</v>
      </c>
      <c r="AD191" s="11">
        <f t="shared" si="9"/>
        <v>1</v>
      </c>
      <c r="AE191" s="11">
        <f t="shared" ref="AE191:AH191" si="578">IF(OR(BD191 = $AO$6, BD191 = $AS$6, BD191 = $AT$6, BD191 = $AU$6), 1, 0)</f>
        <v>1</v>
      </c>
      <c r="AF191" s="11">
        <f t="shared" si="578"/>
        <v>1</v>
      </c>
      <c r="AG191" s="11">
        <f t="shared" si="578"/>
        <v>1</v>
      </c>
      <c r="AH191" s="11">
        <f t="shared" si="578"/>
        <v>1</v>
      </c>
      <c r="AI191" s="11">
        <f t="shared" si="11"/>
        <v>4</v>
      </c>
      <c r="AJ191" s="11">
        <f t="shared" si="12"/>
        <v>12</v>
      </c>
      <c r="AK191" s="12">
        <f t="shared" si="13"/>
        <v>5</v>
      </c>
      <c r="AL191" s="13" t="str">
        <f t="shared" si="14"/>
        <v>excellent</v>
      </c>
      <c r="AM191" s="7"/>
      <c r="AN191" s="7"/>
    </row>
    <row r="192">
      <c r="A192" s="7"/>
      <c r="B192" s="7" t="s">
        <v>414</v>
      </c>
      <c r="C192" s="8" t="s">
        <v>413</v>
      </c>
      <c r="D192" s="7" t="s">
        <v>9</v>
      </c>
      <c r="E192" s="8" t="b">
        <f t="shared" ref="E192:K192" si="579">IF(IFERROR(SEARCH(E$1, $D192),0) &gt;= 1, TRUE,FALSE)</f>
        <v>0</v>
      </c>
      <c r="F192" s="8" t="b">
        <f t="shared" si="579"/>
        <v>0</v>
      </c>
      <c r="G192" s="8" t="b">
        <f t="shared" si="579"/>
        <v>0</v>
      </c>
      <c r="H192" s="8" t="b">
        <f t="shared" si="579"/>
        <v>0</v>
      </c>
      <c r="I192" s="8" t="b">
        <f t="shared" si="579"/>
        <v>0</v>
      </c>
      <c r="J192" s="8" t="b">
        <f t="shared" si="579"/>
        <v>1</v>
      </c>
      <c r="K192" s="8" t="b">
        <f t="shared" si="579"/>
        <v>0</v>
      </c>
      <c r="L192" s="9" t="b">
        <v>1</v>
      </c>
      <c r="M192" s="9" t="b">
        <v>1</v>
      </c>
      <c r="N192" s="9" t="b">
        <v>0</v>
      </c>
      <c r="O192" s="9" t="b">
        <v>0</v>
      </c>
      <c r="P192" s="7" t="str">
        <f t="shared" si="5"/>
        <v>ARGOS | centre for audiovisual arts</v>
      </c>
      <c r="Q192" s="10">
        <v>10.0</v>
      </c>
      <c r="R192" s="9" t="b">
        <v>0</v>
      </c>
      <c r="S192" s="9" t="b">
        <v>1</v>
      </c>
      <c r="T192" s="10">
        <v>10.0</v>
      </c>
      <c r="U192" s="11">
        <f t="shared" si="6"/>
        <v>0</v>
      </c>
      <c r="V192" s="11">
        <f t="shared" ref="V192:AB192" si="580">IF(OR(AW192 = $AO$4, AW192 = $AQ$4), 1, 0)</f>
        <v>1</v>
      </c>
      <c r="W192" s="11">
        <f t="shared" si="580"/>
        <v>1</v>
      </c>
      <c r="X192" s="11">
        <f t="shared" si="580"/>
        <v>1</v>
      </c>
      <c r="Y192" s="11">
        <f t="shared" si="580"/>
        <v>1</v>
      </c>
      <c r="Z192" s="11">
        <f t="shared" si="580"/>
        <v>1</v>
      </c>
      <c r="AA192" s="11">
        <f t="shared" si="580"/>
        <v>1</v>
      </c>
      <c r="AB192" s="11">
        <f t="shared" si="580"/>
        <v>1</v>
      </c>
      <c r="AC192" s="11">
        <f t="shared" si="8"/>
        <v>7</v>
      </c>
      <c r="AD192" s="11">
        <f t="shared" si="9"/>
        <v>1</v>
      </c>
      <c r="AE192" s="11">
        <f t="shared" ref="AE192:AH192" si="581">IF(OR(BD192 = $AO$6, BD192 = $AS$6, BD192 = $AT$6, BD192 = $AU$6), 1, 0)</f>
        <v>1</v>
      </c>
      <c r="AF192" s="11">
        <f t="shared" si="581"/>
        <v>1</v>
      </c>
      <c r="AG192" s="11">
        <f t="shared" si="581"/>
        <v>1</v>
      </c>
      <c r="AH192" s="11">
        <f t="shared" si="581"/>
        <v>1</v>
      </c>
      <c r="AI192" s="11">
        <f t="shared" si="11"/>
        <v>4</v>
      </c>
      <c r="AJ192" s="11">
        <f t="shared" si="12"/>
        <v>12</v>
      </c>
      <c r="AK192" s="12">
        <f t="shared" si="13"/>
        <v>5</v>
      </c>
      <c r="AL192" s="13" t="str">
        <f t="shared" si="14"/>
        <v>excellent</v>
      </c>
      <c r="AM192" s="7"/>
      <c r="AN192" s="7"/>
    </row>
    <row r="193">
      <c r="A193" s="7"/>
      <c r="B193" s="7" t="s">
        <v>415</v>
      </c>
      <c r="C193" s="8" t="s">
        <v>413</v>
      </c>
      <c r="D193" s="7" t="s">
        <v>188</v>
      </c>
      <c r="E193" s="8" t="b">
        <f t="shared" ref="E193:K193" si="582">IF(IFERROR(SEARCH(E$1, $D193),0) &gt;= 1, TRUE,FALSE)</f>
        <v>0</v>
      </c>
      <c r="F193" s="8" t="b">
        <f t="shared" si="582"/>
        <v>0</v>
      </c>
      <c r="G193" s="8" t="b">
        <f t="shared" si="582"/>
        <v>0</v>
      </c>
      <c r="H193" s="8" t="b">
        <f t="shared" si="582"/>
        <v>0</v>
      </c>
      <c r="I193" s="8" t="b">
        <f t="shared" si="582"/>
        <v>0</v>
      </c>
      <c r="J193" s="8" t="b">
        <f t="shared" si="582"/>
        <v>1</v>
      </c>
      <c r="K193" s="8" t="b">
        <f t="shared" si="582"/>
        <v>1</v>
      </c>
      <c r="L193" s="9" t="b">
        <v>0</v>
      </c>
      <c r="M193" s="9" t="b">
        <v>0</v>
      </c>
      <c r="N193" s="9" t="b">
        <v>0</v>
      </c>
      <c r="O193" s="9" t="b">
        <v>0</v>
      </c>
      <c r="P193" s="7" t="str">
        <f t="shared" si="5"/>
        <v>Art et marges musée museum</v>
      </c>
      <c r="Q193" s="10">
        <v>6.0</v>
      </c>
      <c r="R193" s="9" t="b">
        <v>0</v>
      </c>
      <c r="S193" s="9" t="b">
        <v>1</v>
      </c>
      <c r="T193" s="10">
        <v>6.0</v>
      </c>
      <c r="U193" s="11">
        <f t="shared" si="6"/>
        <v>0</v>
      </c>
      <c r="V193" s="11">
        <f t="shared" ref="V193:AB193" si="583">IF(OR(AW193 = $AO$4, AW193 = $AQ$4), 1, 0)</f>
        <v>1</v>
      </c>
      <c r="W193" s="11">
        <f t="shared" si="583"/>
        <v>1</v>
      </c>
      <c r="X193" s="11">
        <f t="shared" si="583"/>
        <v>1</v>
      </c>
      <c r="Y193" s="11">
        <f t="shared" si="583"/>
        <v>1</v>
      </c>
      <c r="Z193" s="11">
        <f t="shared" si="583"/>
        <v>1</v>
      </c>
      <c r="AA193" s="11">
        <f t="shared" si="583"/>
        <v>1</v>
      </c>
      <c r="AB193" s="11">
        <f t="shared" si="583"/>
        <v>1</v>
      </c>
      <c r="AC193" s="11">
        <f t="shared" si="8"/>
        <v>7</v>
      </c>
      <c r="AD193" s="11">
        <f t="shared" si="9"/>
        <v>1</v>
      </c>
      <c r="AE193" s="11">
        <f t="shared" ref="AE193:AH193" si="584">IF(OR(BD193 = $AO$6, BD193 = $AS$6, BD193 = $AT$6, BD193 = $AU$6), 1, 0)</f>
        <v>1</v>
      </c>
      <c r="AF193" s="11">
        <f t="shared" si="584"/>
        <v>1</v>
      </c>
      <c r="AG193" s="11">
        <f t="shared" si="584"/>
        <v>1</v>
      </c>
      <c r="AH193" s="11">
        <f t="shared" si="584"/>
        <v>1</v>
      </c>
      <c r="AI193" s="11">
        <f t="shared" si="11"/>
        <v>4</v>
      </c>
      <c r="AJ193" s="11">
        <f t="shared" si="12"/>
        <v>12</v>
      </c>
      <c r="AK193" s="12">
        <f t="shared" si="13"/>
        <v>5</v>
      </c>
      <c r="AL193" s="13" t="str">
        <f t="shared" si="14"/>
        <v>excellent</v>
      </c>
      <c r="AM193" s="7"/>
      <c r="AN193" s="7"/>
    </row>
    <row r="194">
      <c r="A194" s="7" t="s">
        <v>416</v>
      </c>
      <c r="B194" s="7"/>
      <c r="C194" s="8" t="s">
        <v>413</v>
      </c>
      <c r="D194" s="7" t="s">
        <v>5</v>
      </c>
      <c r="E194" s="8" t="b">
        <f t="shared" ref="E194:K194" si="585">IF(IFERROR(SEARCH(E$1, $D194),0) &gt;= 1, TRUE,FALSE)</f>
        <v>0</v>
      </c>
      <c r="F194" s="8" t="b">
        <f t="shared" si="585"/>
        <v>1</v>
      </c>
      <c r="G194" s="8" t="b">
        <f t="shared" si="585"/>
        <v>0</v>
      </c>
      <c r="H194" s="8" t="b">
        <f t="shared" si="585"/>
        <v>0</v>
      </c>
      <c r="I194" s="8" t="b">
        <f t="shared" si="585"/>
        <v>0</v>
      </c>
      <c r="J194" s="8" t="b">
        <f t="shared" si="585"/>
        <v>0</v>
      </c>
      <c r="K194" s="8" t="b">
        <f t="shared" si="585"/>
        <v>0</v>
      </c>
      <c r="L194" s="9" t="b">
        <v>1</v>
      </c>
      <c r="M194" s="9" t="b">
        <v>1</v>
      </c>
      <c r="N194" s="9" t="b">
        <v>1</v>
      </c>
      <c r="O194" s="9" t="b">
        <v>1</v>
      </c>
      <c r="P194" s="7" t="str">
        <f t="shared" si="5"/>
        <v>Autoworld Brussels</v>
      </c>
      <c r="Q194" s="10">
        <v>15.0</v>
      </c>
      <c r="R194" s="9" t="b">
        <v>0</v>
      </c>
      <c r="S194" s="9" t="b">
        <v>1</v>
      </c>
      <c r="T194" s="10">
        <v>16.0</v>
      </c>
      <c r="U194" s="11">
        <f t="shared" si="6"/>
        <v>0</v>
      </c>
      <c r="V194" s="11">
        <f t="shared" ref="V194:AB194" si="586">IF(OR(AW194 = $AO$4, AW194 = $AQ$4), 1, 0)</f>
        <v>1</v>
      </c>
      <c r="W194" s="11">
        <f t="shared" si="586"/>
        <v>1</v>
      </c>
      <c r="X194" s="11">
        <f t="shared" si="586"/>
        <v>1</v>
      </c>
      <c r="Y194" s="11">
        <f t="shared" si="586"/>
        <v>1</v>
      </c>
      <c r="Z194" s="11">
        <f t="shared" si="586"/>
        <v>1</v>
      </c>
      <c r="AA194" s="11">
        <f t="shared" si="586"/>
        <v>1</v>
      </c>
      <c r="AB194" s="11">
        <f t="shared" si="586"/>
        <v>1</v>
      </c>
      <c r="AC194" s="11">
        <f t="shared" si="8"/>
        <v>7</v>
      </c>
      <c r="AD194" s="11">
        <f t="shared" si="9"/>
        <v>1</v>
      </c>
      <c r="AE194" s="11">
        <f t="shared" ref="AE194:AH194" si="587">IF(OR(BD194 = $AO$6, BD194 = $AS$6, BD194 = $AT$6, BD194 = $AU$6), 1, 0)</f>
        <v>1</v>
      </c>
      <c r="AF194" s="11">
        <f t="shared" si="587"/>
        <v>1</v>
      </c>
      <c r="AG194" s="11">
        <f t="shared" si="587"/>
        <v>1</v>
      </c>
      <c r="AH194" s="11">
        <f t="shared" si="587"/>
        <v>1</v>
      </c>
      <c r="AI194" s="11">
        <f t="shared" si="11"/>
        <v>4</v>
      </c>
      <c r="AJ194" s="11">
        <f t="shared" si="12"/>
        <v>12</v>
      </c>
      <c r="AK194" s="12">
        <f t="shared" si="13"/>
        <v>5</v>
      </c>
      <c r="AL194" s="13" t="str">
        <f t="shared" si="14"/>
        <v>excellent</v>
      </c>
      <c r="AM194" s="7"/>
      <c r="AN194" s="7"/>
    </row>
    <row r="195">
      <c r="A195" s="7"/>
      <c r="B195" s="7" t="s">
        <v>417</v>
      </c>
      <c r="C195" s="8" t="s">
        <v>413</v>
      </c>
      <c r="D195" s="7" t="s">
        <v>9</v>
      </c>
      <c r="E195" s="8" t="b">
        <f t="shared" ref="E195:K195" si="588">IF(IFERROR(SEARCH(E$1, $D195),0) &gt;= 1, TRUE,FALSE)</f>
        <v>0</v>
      </c>
      <c r="F195" s="8" t="b">
        <f t="shared" si="588"/>
        <v>0</v>
      </c>
      <c r="G195" s="8" t="b">
        <f t="shared" si="588"/>
        <v>0</v>
      </c>
      <c r="H195" s="8" t="b">
        <f t="shared" si="588"/>
        <v>0</v>
      </c>
      <c r="I195" s="8" t="b">
        <f t="shared" si="588"/>
        <v>0</v>
      </c>
      <c r="J195" s="8" t="b">
        <f t="shared" si="588"/>
        <v>1</v>
      </c>
      <c r="K195" s="8" t="b">
        <f t="shared" si="588"/>
        <v>0</v>
      </c>
      <c r="L195" s="9" t="b">
        <v>0</v>
      </c>
      <c r="M195" s="9" t="b">
        <v>1</v>
      </c>
      <c r="N195" s="9" t="b">
        <v>0</v>
      </c>
      <c r="O195" s="9" t="b">
        <v>1</v>
      </c>
      <c r="P195" s="7" t="str">
        <f t="shared" si="5"/>
        <v>Botanique</v>
      </c>
      <c r="Q195" s="10">
        <v>0.0</v>
      </c>
      <c r="R195" s="9" t="b">
        <v>0</v>
      </c>
      <c r="S195" s="9" t="b">
        <v>0</v>
      </c>
      <c r="T195" s="7"/>
      <c r="U195" s="11">
        <f t="shared" si="6"/>
        <v>0</v>
      </c>
      <c r="V195" s="11">
        <f t="shared" ref="V195:AB195" si="589">IF(OR(AW195 = $AO$4, AW195 = $AQ$4), 1, 0)</f>
        <v>1</v>
      </c>
      <c r="W195" s="11">
        <f t="shared" si="589"/>
        <v>1</v>
      </c>
      <c r="X195" s="11">
        <f t="shared" si="589"/>
        <v>1</v>
      </c>
      <c r="Y195" s="11">
        <f t="shared" si="589"/>
        <v>1</v>
      </c>
      <c r="Z195" s="11">
        <f t="shared" si="589"/>
        <v>1</v>
      </c>
      <c r="AA195" s="11">
        <f t="shared" si="589"/>
        <v>1</v>
      </c>
      <c r="AB195" s="11">
        <f t="shared" si="589"/>
        <v>1</v>
      </c>
      <c r="AC195" s="11">
        <f t="shared" si="8"/>
        <v>7</v>
      </c>
      <c r="AD195" s="11">
        <f t="shared" si="9"/>
        <v>1</v>
      </c>
      <c r="AE195" s="11">
        <f t="shared" ref="AE195:AH195" si="590">IF(OR(BD195 = $AO$6, BD195 = $AS$6, BD195 = $AT$6, BD195 = $AU$6), 1, 0)</f>
        <v>1</v>
      </c>
      <c r="AF195" s="11">
        <f t="shared" si="590"/>
        <v>1</v>
      </c>
      <c r="AG195" s="11">
        <f t="shared" si="590"/>
        <v>1</v>
      </c>
      <c r="AH195" s="11">
        <f t="shared" si="590"/>
        <v>1</v>
      </c>
      <c r="AI195" s="11">
        <f t="shared" si="11"/>
        <v>4</v>
      </c>
      <c r="AJ195" s="11">
        <f t="shared" si="12"/>
        <v>12</v>
      </c>
      <c r="AK195" s="12">
        <f t="shared" si="13"/>
        <v>5</v>
      </c>
      <c r="AL195" s="13" t="str">
        <f t="shared" si="14"/>
        <v>excellent</v>
      </c>
      <c r="AM195" s="7"/>
      <c r="AN195" s="7"/>
    </row>
    <row r="196">
      <c r="A196" s="7" t="s">
        <v>418</v>
      </c>
      <c r="B196" s="7" t="s">
        <v>419</v>
      </c>
      <c r="C196" s="8" t="s">
        <v>413</v>
      </c>
      <c r="D196" s="7" t="s">
        <v>420</v>
      </c>
      <c r="E196" s="8" t="b">
        <f t="shared" ref="E196:K196" si="591">IF(IFERROR(SEARCH(E$1, $D196),0) &gt;= 1, TRUE,FALSE)</f>
        <v>1</v>
      </c>
      <c r="F196" s="8" t="b">
        <f t="shared" si="591"/>
        <v>1</v>
      </c>
      <c r="G196" s="8" t="b">
        <f t="shared" si="591"/>
        <v>1</v>
      </c>
      <c r="H196" s="8" t="b">
        <f t="shared" si="591"/>
        <v>0</v>
      </c>
      <c r="I196" s="8" t="b">
        <f t="shared" si="591"/>
        <v>1</v>
      </c>
      <c r="J196" s="8" t="b">
        <f t="shared" si="591"/>
        <v>1</v>
      </c>
      <c r="K196" s="8" t="b">
        <f t="shared" si="591"/>
        <v>1</v>
      </c>
      <c r="L196" s="9" t="b">
        <v>1</v>
      </c>
      <c r="M196" s="9" t="b">
        <v>1</v>
      </c>
      <c r="N196" s="9" t="b">
        <v>0</v>
      </c>
      <c r="O196" s="9" t="b">
        <v>1</v>
      </c>
      <c r="P196" s="7" t="str">
        <f t="shared" si="5"/>
        <v>Paleis voor Schone Kunsten</v>
      </c>
      <c r="Q196" s="10">
        <v>8.0</v>
      </c>
      <c r="R196" s="9" t="b">
        <v>0</v>
      </c>
      <c r="S196" s="9" t="b">
        <v>1</v>
      </c>
      <c r="T196" s="10">
        <v>6.0</v>
      </c>
      <c r="U196" s="11">
        <f t="shared" si="6"/>
        <v>0</v>
      </c>
      <c r="V196" s="11">
        <f t="shared" ref="V196:AB196" si="592">IF(OR(AW196 = $AO$4, AW196 = $AQ$4), 1, 0)</f>
        <v>1</v>
      </c>
      <c r="W196" s="11">
        <f t="shared" si="592"/>
        <v>1</v>
      </c>
      <c r="X196" s="11">
        <f t="shared" si="592"/>
        <v>1</v>
      </c>
      <c r="Y196" s="11">
        <f t="shared" si="592"/>
        <v>1</v>
      </c>
      <c r="Z196" s="11">
        <f t="shared" si="592"/>
        <v>1</v>
      </c>
      <c r="AA196" s="11">
        <f t="shared" si="592"/>
        <v>1</v>
      </c>
      <c r="AB196" s="11">
        <f t="shared" si="592"/>
        <v>1</v>
      </c>
      <c r="AC196" s="11">
        <f t="shared" si="8"/>
        <v>7</v>
      </c>
      <c r="AD196" s="11">
        <f t="shared" si="9"/>
        <v>1</v>
      </c>
      <c r="AE196" s="11">
        <f t="shared" ref="AE196:AH196" si="593">IF(OR(BD196 = $AO$6, BD196 = $AS$6, BD196 = $AT$6, BD196 = $AU$6), 1, 0)</f>
        <v>1</v>
      </c>
      <c r="AF196" s="11">
        <f t="shared" si="593"/>
        <v>1</v>
      </c>
      <c r="AG196" s="11">
        <f t="shared" si="593"/>
        <v>1</v>
      </c>
      <c r="AH196" s="11">
        <f t="shared" si="593"/>
        <v>1</v>
      </c>
      <c r="AI196" s="11">
        <f t="shared" si="11"/>
        <v>4</v>
      </c>
      <c r="AJ196" s="11">
        <f t="shared" si="12"/>
        <v>12</v>
      </c>
      <c r="AK196" s="12">
        <f t="shared" si="13"/>
        <v>5</v>
      </c>
      <c r="AL196" s="13" t="str">
        <f t="shared" si="14"/>
        <v>excellent</v>
      </c>
      <c r="AM196" s="7"/>
      <c r="AN196" s="7"/>
    </row>
    <row r="197">
      <c r="A197" s="7"/>
      <c r="B197" s="7" t="s">
        <v>421</v>
      </c>
      <c r="C197" s="8" t="s">
        <v>413</v>
      </c>
      <c r="D197" s="7" t="s">
        <v>9</v>
      </c>
      <c r="E197" s="8" t="b">
        <f t="shared" ref="E197:K197" si="594">IF(IFERROR(SEARCH(E$1, $D197),0) &gt;= 1, TRUE,FALSE)</f>
        <v>0</v>
      </c>
      <c r="F197" s="8" t="b">
        <f t="shared" si="594"/>
        <v>0</v>
      </c>
      <c r="G197" s="8" t="b">
        <f t="shared" si="594"/>
        <v>0</v>
      </c>
      <c r="H197" s="8" t="b">
        <f t="shared" si="594"/>
        <v>0</v>
      </c>
      <c r="I197" s="8" t="b">
        <f t="shared" si="594"/>
        <v>0</v>
      </c>
      <c r="J197" s="8" t="b">
        <f t="shared" si="594"/>
        <v>1</v>
      </c>
      <c r="K197" s="8" t="b">
        <f t="shared" si="594"/>
        <v>0</v>
      </c>
      <c r="L197" s="9" t="b">
        <v>1</v>
      </c>
      <c r="M197" s="9" t="b">
        <v>0</v>
      </c>
      <c r="N197" s="9" t="b">
        <v>0</v>
      </c>
      <c r="O197" s="9" t="b">
        <v>0</v>
      </c>
      <c r="P197" s="7" t="str">
        <f t="shared" si="5"/>
        <v>CENTRALE for contemporary art</v>
      </c>
      <c r="Q197" s="10">
        <v>10.0</v>
      </c>
      <c r="R197" s="9" t="b">
        <v>0</v>
      </c>
      <c r="S197" s="9" t="b">
        <v>1</v>
      </c>
      <c r="T197" s="10">
        <v>10.0</v>
      </c>
      <c r="U197" s="11">
        <f t="shared" si="6"/>
        <v>0</v>
      </c>
      <c r="V197" s="11">
        <f t="shared" ref="V197:AB197" si="595">IF(OR(AW197 = $AO$4, AW197 = $AQ$4), 1, 0)</f>
        <v>1</v>
      </c>
      <c r="W197" s="11">
        <f t="shared" si="595"/>
        <v>1</v>
      </c>
      <c r="X197" s="11">
        <f t="shared" si="595"/>
        <v>1</v>
      </c>
      <c r="Y197" s="11">
        <f t="shared" si="595"/>
        <v>1</v>
      </c>
      <c r="Z197" s="11">
        <f t="shared" si="595"/>
        <v>1</v>
      </c>
      <c r="AA197" s="11">
        <f t="shared" si="595"/>
        <v>1</v>
      </c>
      <c r="AB197" s="11">
        <f t="shared" si="595"/>
        <v>1</v>
      </c>
      <c r="AC197" s="11">
        <f t="shared" si="8"/>
        <v>7</v>
      </c>
      <c r="AD197" s="11">
        <f t="shared" si="9"/>
        <v>1</v>
      </c>
      <c r="AE197" s="11">
        <f t="shared" ref="AE197:AH197" si="596">IF(OR(BD197 = $AO$6, BD197 = $AS$6, BD197 = $AT$6, BD197 = $AU$6), 1, 0)</f>
        <v>1</v>
      </c>
      <c r="AF197" s="11">
        <f t="shared" si="596"/>
        <v>1</v>
      </c>
      <c r="AG197" s="11">
        <f t="shared" si="596"/>
        <v>1</v>
      </c>
      <c r="AH197" s="11">
        <f t="shared" si="596"/>
        <v>1</v>
      </c>
      <c r="AI197" s="11">
        <f t="shared" si="11"/>
        <v>4</v>
      </c>
      <c r="AJ197" s="11">
        <f t="shared" si="12"/>
        <v>12</v>
      </c>
      <c r="AK197" s="12">
        <f t="shared" si="13"/>
        <v>5</v>
      </c>
      <c r="AL197" s="13" t="str">
        <f t="shared" si="14"/>
        <v>excellent</v>
      </c>
      <c r="AM197" s="7"/>
      <c r="AN197" s="7"/>
    </row>
    <row r="198">
      <c r="A198" s="7" t="s">
        <v>422</v>
      </c>
      <c r="B198" s="7"/>
      <c r="C198" s="8" t="s">
        <v>413</v>
      </c>
      <c r="D198" s="7" t="s">
        <v>8</v>
      </c>
      <c r="E198" s="8" t="b">
        <f t="shared" ref="E198:K198" si="597">IF(IFERROR(SEARCH(E$1, $D198),0) &gt;= 1, TRUE,FALSE)</f>
        <v>0</v>
      </c>
      <c r="F198" s="8" t="b">
        <f t="shared" si="597"/>
        <v>0</v>
      </c>
      <c r="G198" s="8" t="b">
        <f t="shared" si="597"/>
        <v>0</v>
      </c>
      <c r="H198" s="8" t="b">
        <f t="shared" si="597"/>
        <v>0</v>
      </c>
      <c r="I198" s="8" t="b">
        <f t="shared" si="597"/>
        <v>1</v>
      </c>
      <c r="J198" s="8" t="b">
        <f t="shared" si="597"/>
        <v>0</v>
      </c>
      <c r="K198" s="8" t="b">
        <f t="shared" si="597"/>
        <v>0</v>
      </c>
      <c r="L198" s="9" t="b">
        <v>1</v>
      </c>
      <c r="M198" s="9" t="b">
        <v>0</v>
      </c>
      <c r="N198" s="9" t="b">
        <v>0</v>
      </c>
      <c r="O198" s="9" t="b">
        <v>0</v>
      </c>
      <c r="P198" s="7" t="str">
        <f t="shared" si="5"/>
        <v>CIVA</v>
      </c>
      <c r="Q198" s="10">
        <v>10.0</v>
      </c>
      <c r="R198" s="9" t="b">
        <v>0</v>
      </c>
      <c r="S198" s="9" t="b">
        <v>0</v>
      </c>
      <c r="T198" s="7"/>
      <c r="U198" s="11">
        <f t="shared" si="6"/>
        <v>0</v>
      </c>
      <c r="V198" s="11">
        <f t="shared" ref="V198:AB198" si="598">IF(OR(AW198 = $AO$4, AW198 = $AQ$4), 1, 0)</f>
        <v>1</v>
      </c>
      <c r="W198" s="11">
        <f t="shared" si="598"/>
        <v>1</v>
      </c>
      <c r="X198" s="11">
        <f t="shared" si="598"/>
        <v>1</v>
      </c>
      <c r="Y198" s="11">
        <f t="shared" si="598"/>
        <v>1</v>
      </c>
      <c r="Z198" s="11">
        <f t="shared" si="598"/>
        <v>1</v>
      </c>
      <c r="AA198" s="11">
        <f t="shared" si="598"/>
        <v>1</v>
      </c>
      <c r="AB198" s="11">
        <f t="shared" si="598"/>
        <v>1</v>
      </c>
      <c r="AC198" s="11">
        <f t="shared" si="8"/>
        <v>7</v>
      </c>
      <c r="AD198" s="11">
        <f t="shared" si="9"/>
        <v>1</v>
      </c>
      <c r="AE198" s="11">
        <f t="shared" ref="AE198:AH198" si="599">IF(OR(BD198 = $AO$6, BD198 = $AS$6, BD198 = $AT$6, BD198 = $AU$6), 1, 0)</f>
        <v>1</v>
      </c>
      <c r="AF198" s="11">
        <f t="shared" si="599"/>
        <v>1</v>
      </c>
      <c r="AG198" s="11">
        <f t="shared" si="599"/>
        <v>1</v>
      </c>
      <c r="AH198" s="11">
        <f t="shared" si="599"/>
        <v>1</v>
      </c>
      <c r="AI198" s="11">
        <f t="shared" si="11"/>
        <v>4</v>
      </c>
      <c r="AJ198" s="11">
        <f t="shared" si="12"/>
        <v>12</v>
      </c>
      <c r="AK198" s="12">
        <f t="shared" si="13"/>
        <v>5</v>
      </c>
      <c r="AL198" s="13" t="str">
        <f t="shared" si="14"/>
        <v>excellent</v>
      </c>
      <c r="AM198" s="7"/>
      <c r="AN198" s="7"/>
    </row>
    <row r="199">
      <c r="A199" s="7" t="s">
        <v>423</v>
      </c>
      <c r="B199" s="7"/>
      <c r="C199" s="8" t="s">
        <v>413</v>
      </c>
      <c r="D199" s="7" t="s">
        <v>10</v>
      </c>
      <c r="E199" s="8" t="b">
        <f t="shared" ref="E199:K199" si="600">IF(IFERROR(SEARCH(E$1, $D199),0) &gt;= 1, TRUE,FALSE)</f>
        <v>0</v>
      </c>
      <c r="F199" s="8" t="b">
        <f t="shared" si="600"/>
        <v>0</v>
      </c>
      <c r="G199" s="8" t="b">
        <f t="shared" si="600"/>
        <v>0</v>
      </c>
      <c r="H199" s="8" t="b">
        <f t="shared" si="600"/>
        <v>0</v>
      </c>
      <c r="I199" s="8" t="b">
        <f t="shared" si="600"/>
        <v>0</v>
      </c>
      <c r="J199" s="8" t="b">
        <f t="shared" si="600"/>
        <v>0</v>
      </c>
      <c r="K199" s="8" t="b">
        <f t="shared" si="600"/>
        <v>1</v>
      </c>
      <c r="L199" s="9" t="b">
        <v>1</v>
      </c>
      <c r="M199" s="9" t="b">
        <v>0</v>
      </c>
      <c r="N199" s="9" t="b">
        <v>1</v>
      </c>
      <c r="O199" s="9" t="b">
        <v>1</v>
      </c>
      <c r="P199" s="7" t="str">
        <f t="shared" si="5"/>
        <v>Design Museum Brussels</v>
      </c>
      <c r="Q199" s="10">
        <v>10.0</v>
      </c>
      <c r="R199" s="9" t="b">
        <v>0</v>
      </c>
      <c r="S199" s="9" t="b">
        <v>1</v>
      </c>
      <c r="T199" s="10">
        <v>8.0</v>
      </c>
      <c r="U199" s="11">
        <f t="shared" si="6"/>
        <v>0</v>
      </c>
      <c r="V199" s="11">
        <f t="shared" ref="V199:AB199" si="601">IF(OR(AW199 = $AO$4, AW199 = $AQ$4), 1, 0)</f>
        <v>1</v>
      </c>
      <c r="W199" s="11">
        <f t="shared" si="601"/>
        <v>1</v>
      </c>
      <c r="X199" s="11">
        <f t="shared" si="601"/>
        <v>1</v>
      </c>
      <c r="Y199" s="11">
        <f t="shared" si="601"/>
        <v>1</v>
      </c>
      <c r="Z199" s="11">
        <f t="shared" si="601"/>
        <v>1</v>
      </c>
      <c r="AA199" s="11">
        <f t="shared" si="601"/>
        <v>1</v>
      </c>
      <c r="AB199" s="11">
        <f t="shared" si="601"/>
        <v>1</v>
      </c>
      <c r="AC199" s="11">
        <f t="shared" si="8"/>
        <v>7</v>
      </c>
      <c r="AD199" s="11">
        <f t="shared" si="9"/>
        <v>1</v>
      </c>
      <c r="AE199" s="11">
        <f t="shared" ref="AE199:AH199" si="602">IF(OR(BD199 = $AO$6, BD199 = $AS$6, BD199 = $AT$6, BD199 = $AU$6), 1, 0)</f>
        <v>1</v>
      </c>
      <c r="AF199" s="11">
        <f t="shared" si="602"/>
        <v>1</v>
      </c>
      <c r="AG199" s="11">
        <f t="shared" si="602"/>
        <v>1</v>
      </c>
      <c r="AH199" s="11">
        <f t="shared" si="602"/>
        <v>1</v>
      </c>
      <c r="AI199" s="11">
        <f t="shared" si="11"/>
        <v>4</v>
      </c>
      <c r="AJ199" s="11">
        <f t="shared" si="12"/>
        <v>12</v>
      </c>
      <c r="AK199" s="12">
        <f t="shared" si="13"/>
        <v>5</v>
      </c>
      <c r="AL199" s="13" t="str">
        <f t="shared" si="14"/>
        <v>excellent</v>
      </c>
      <c r="AM199" s="7"/>
      <c r="AN199" s="7"/>
    </row>
    <row r="200">
      <c r="A200" s="7"/>
      <c r="B200" s="7" t="s">
        <v>424</v>
      </c>
      <c r="C200" s="8" t="s">
        <v>413</v>
      </c>
      <c r="D200" s="7" t="s">
        <v>9</v>
      </c>
      <c r="E200" s="8" t="b">
        <f t="shared" ref="E200:K200" si="603">IF(IFERROR(SEARCH(E$1, $D200),0) &gt;= 1, TRUE,FALSE)</f>
        <v>0</v>
      </c>
      <c r="F200" s="8" t="b">
        <f t="shared" si="603"/>
        <v>0</v>
      </c>
      <c r="G200" s="8" t="b">
        <f t="shared" si="603"/>
        <v>0</v>
      </c>
      <c r="H200" s="8" t="b">
        <f t="shared" si="603"/>
        <v>0</v>
      </c>
      <c r="I200" s="8" t="b">
        <f t="shared" si="603"/>
        <v>0</v>
      </c>
      <c r="J200" s="8" t="b">
        <f t="shared" si="603"/>
        <v>1</v>
      </c>
      <c r="K200" s="8" t="b">
        <f t="shared" si="603"/>
        <v>0</v>
      </c>
      <c r="L200" s="9" t="b">
        <v>1</v>
      </c>
      <c r="M200" s="9" t="b">
        <v>0</v>
      </c>
      <c r="N200" s="9" t="b">
        <v>0</v>
      </c>
      <c r="O200" s="9" t="b">
        <v>0</v>
      </c>
      <c r="P200" s="7" t="str">
        <f t="shared" si="5"/>
        <v>Fondation A Stichting</v>
      </c>
      <c r="Q200" s="10">
        <v>7.0</v>
      </c>
      <c r="R200" s="9" t="b">
        <v>0</v>
      </c>
      <c r="S200" s="9" t="b">
        <v>0</v>
      </c>
      <c r="T200" s="7"/>
      <c r="U200" s="11">
        <f t="shared" si="6"/>
        <v>0</v>
      </c>
      <c r="V200" s="11">
        <f t="shared" ref="V200:AB200" si="604">IF(OR(AW200 = $AO$4, AW200 = $AQ$4), 1, 0)</f>
        <v>1</v>
      </c>
      <c r="W200" s="11">
        <f t="shared" si="604"/>
        <v>1</v>
      </c>
      <c r="X200" s="11">
        <f t="shared" si="604"/>
        <v>1</v>
      </c>
      <c r="Y200" s="11">
        <f t="shared" si="604"/>
        <v>1</v>
      </c>
      <c r="Z200" s="11">
        <f t="shared" si="604"/>
        <v>1</v>
      </c>
      <c r="AA200" s="11">
        <f t="shared" si="604"/>
        <v>1</v>
      </c>
      <c r="AB200" s="11">
        <f t="shared" si="604"/>
        <v>1</v>
      </c>
      <c r="AC200" s="11">
        <f t="shared" si="8"/>
        <v>7</v>
      </c>
      <c r="AD200" s="11">
        <f t="shared" si="9"/>
        <v>1</v>
      </c>
      <c r="AE200" s="11">
        <f t="shared" ref="AE200:AH200" si="605">IF(OR(BD200 = $AO$6, BD200 = $AS$6, BD200 = $AT$6, BD200 = $AU$6), 1, 0)</f>
        <v>1</v>
      </c>
      <c r="AF200" s="11">
        <f t="shared" si="605"/>
        <v>1</v>
      </c>
      <c r="AG200" s="11">
        <f t="shared" si="605"/>
        <v>1</v>
      </c>
      <c r="AH200" s="11">
        <f t="shared" si="605"/>
        <v>1</v>
      </c>
      <c r="AI200" s="11">
        <f t="shared" si="11"/>
        <v>4</v>
      </c>
      <c r="AJ200" s="11">
        <f t="shared" si="12"/>
        <v>12</v>
      </c>
      <c r="AK200" s="12">
        <f t="shared" si="13"/>
        <v>5</v>
      </c>
      <c r="AL200" s="13" t="str">
        <f t="shared" si="14"/>
        <v>excellent</v>
      </c>
      <c r="AM200" s="7"/>
      <c r="AN200" s="7"/>
    </row>
    <row r="201">
      <c r="A201" s="7" t="s">
        <v>425</v>
      </c>
      <c r="B201" s="7" t="s">
        <v>426</v>
      </c>
      <c r="C201" s="8" t="s">
        <v>413</v>
      </c>
      <c r="D201" s="7" t="s">
        <v>9</v>
      </c>
      <c r="E201" s="8" t="b">
        <f t="shared" ref="E201:K201" si="606">IF(IFERROR(SEARCH(E$1, $D201),0) &gt;= 1, TRUE,FALSE)</f>
        <v>0</v>
      </c>
      <c r="F201" s="8" t="b">
        <f t="shared" si="606"/>
        <v>0</v>
      </c>
      <c r="G201" s="8" t="b">
        <f t="shared" si="606"/>
        <v>0</v>
      </c>
      <c r="H201" s="8" t="b">
        <f t="shared" si="606"/>
        <v>0</v>
      </c>
      <c r="I201" s="8" t="b">
        <f t="shared" si="606"/>
        <v>0</v>
      </c>
      <c r="J201" s="8" t="b">
        <f t="shared" si="606"/>
        <v>1</v>
      </c>
      <c r="K201" s="8" t="b">
        <f t="shared" si="606"/>
        <v>0</v>
      </c>
      <c r="L201" s="9" t="b">
        <v>1</v>
      </c>
      <c r="M201" s="9" t="b">
        <v>1</v>
      </c>
      <c r="N201" s="9" t="b">
        <v>0</v>
      </c>
      <c r="O201" s="9" t="b">
        <v>0</v>
      </c>
      <c r="P201" s="7" t="str">
        <f t="shared" si="5"/>
        <v>Villa Empain - Stichting Boghossian</v>
      </c>
      <c r="Q201" s="10">
        <v>12.0</v>
      </c>
      <c r="R201" s="9" t="b">
        <v>0</v>
      </c>
      <c r="S201" s="9" t="b">
        <v>1</v>
      </c>
      <c r="T201" s="10">
        <v>12.0</v>
      </c>
      <c r="U201" s="11">
        <f t="shared" si="6"/>
        <v>0</v>
      </c>
      <c r="V201" s="11">
        <f t="shared" ref="V201:AB201" si="607">IF(OR(AW201 = $AO$4, AW201 = $AQ$4), 1, 0)</f>
        <v>1</v>
      </c>
      <c r="W201" s="11">
        <f t="shared" si="607"/>
        <v>1</v>
      </c>
      <c r="X201" s="11">
        <f t="shared" si="607"/>
        <v>1</v>
      </c>
      <c r="Y201" s="11">
        <f t="shared" si="607"/>
        <v>1</v>
      </c>
      <c r="Z201" s="11">
        <f t="shared" si="607"/>
        <v>1</v>
      </c>
      <c r="AA201" s="11">
        <f t="shared" si="607"/>
        <v>1</v>
      </c>
      <c r="AB201" s="11">
        <f t="shared" si="607"/>
        <v>1</v>
      </c>
      <c r="AC201" s="11">
        <f t="shared" si="8"/>
        <v>7</v>
      </c>
      <c r="AD201" s="11">
        <f t="shared" si="9"/>
        <v>1</v>
      </c>
      <c r="AE201" s="11">
        <f t="shared" ref="AE201:AH201" si="608">IF(OR(BD201 = $AO$6, BD201 = $AS$6, BD201 = $AT$6, BD201 = $AU$6), 1, 0)</f>
        <v>1</v>
      </c>
      <c r="AF201" s="11">
        <f t="shared" si="608"/>
        <v>1</v>
      </c>
      <c r="AG201" s="11">
        <f t="shared" si="608"/>
        <v>1</v>
      </c>
      <c r="AH201" s="11">
        <f t="shared" si="608"/>
        <v>1</v>
      </c>
      <c r="AI201" s="11">
        <f t="shared" si="11"/>
        <v>4</v>
      </c>
      <c r="AJ201" s="11">
        <f t="shared" si="12"/>
        <v>12</v>
      </c>
      <c r="AK201" s="12">
        <f t="shared" si="13"/>
        <v>5</v>
      </c>
      <c r="AL201" s="13" t="str">
        <f t="shared" si="14"/>
        <v>excellent</v>
      </c>
      <c r="AM201" s="7"/>
      <c r="AN201" s="7"/>
    </row>
    <row r="202">
      <c r="A202" s="7" t="s">
        <v>427</v>
      </c>
      <c r="B202" s="7" t="s">
        <v>428</v>
      </c>
      <c r="C202" s="8" t="s">
        <v>413</v>
      </c>
      <c r="D202" s="7" t="s">
        <v>4</v>
      </c>
      <c r="E202" s="8" t="b">
        <f t="shared" ref="E202:K202" si="609">IF(IFERROR(SEARCH(E$1, $D202),0) &gt;= 1, TRUE,FALSE)</f>
        <v>1</v>
      </c>
      <c r="F202" s="8" t="b">
        <f t="shared" si="609"/>
        <v>0</v>
      </c>
      <c r="G202" s="8" t="b">
        <f t="shared" si="609"/>
        <v>0</v>
      </c>
      <c r="H202" s="8" t="b">
        <f t="shared" si="609"/>
        <v>0</v>
      </c>
      <c r="I202" s="8" t="b">
        <f t="shared" si="609"/>
        <v>0</v>
      </c>
      <c r="J202" s="8" t="b">
        <f t="shared" si="609"/>
        <v>0</v>
      </c>
      <c r="K202" s="8" t="b">
        <f t="shared" si="609"/>
        <v>0</v>
      </c>
      <c r="L202" s="9" t="b">
        <v>1</v>
      </c>
      <c r="M202" s="9" t="b">
        <v>0</v>
      </c>
      <c r="N202" s="9" t="b">
        <v>0</v>
      </c>
      <c r="O202" s="9" t="b">
        <v>0</v>
      </c>
      <c r="P202" s="7" t="str">
        <f t="shared" si="5"/>
        <v>Brel Stichting</v>
      </c>
      <c r="Q202" s="10">
        <v>14.0</v>
      </c>
      <c r="R202" s="9" t="b">
        <v>0</v>
      </c>
      <c r="S202" s="9" t="b">
        <v>0</v>
      </c>
      <c r="T202" s="7"/>
      <c r="U202" s="11">
        <f t="shared" si="6"/>
        <v>0</v>
      </c>
      <c r="V202" s="11">
        <f t="shared" ref="V202:AB202" si="610">IF(OR(AW202 = $AO$4, AW202 = $AQ$4), 1, 0)</f>
        <v>1</v>
      </c>
      <c r="W202" s="11">
        <f t="shared" si="610"/>
        <v>1</v>
      </c>
      <c r="X202" s="11">
        <f t="shared" si="610"/>
        <v>1</v>
      </c>
      <c r="Y202" s="11">
        <f t="shared" si="610"/>
        <v>1</v>
      </c>
      <c r="Z202" s="11">
        <f t="shared" si="610"/>
        <v>1</v>
      </c>
      <c r="AA202" s="11">
        <f t="shared" si="610"/>
        <v>1</v>
      </c>
      <c r="AB202" s="11">
        <f t="shared" si="610"/>
        <v>1</v>
      </c>
      <c r="AC202" s="11">
        <f t="shared" si="8"/>
        <v>7</v>
      </c>
      <c r="AD202" s="11">
        <f t="shared" si="9"/>
        <v>1</v>
      </c>
      <c r="AE202" s="11">
        <f t="shared" ref="AE202:AH202" si="611">IF(OR(BD202 = $AO$6, BD202 = $AS$6, BD202 = $AT$6, BD202 = $AU$6), 1, 0)</f>
        <v>1</v>
      </c>
      <c r="AF202" s="11">
        <f t="shared" si="611"/>
        <v>1</v>
      </c>
      <c r="AG202" s="11">
        <f t="shared" si="611"/>
        <v>1</v>
      </c>
      <c r="AH202" s="11">
        <f t="shared" si="611"/>
        <v>1</v>
      </c>
      <c r="AI202" s="11">
        <f t="shared" si="11"/>
        <v>4</v>
      </c>
      <c r="AJ202" s="11">
        <f t="shared" si="12"/>
        <v>12</v>
      </c>
      <c r="AK202" s="12">
        <f t="shared" si="13"/>
        <v>5</v>
      </c>
      <c r="AL202" s="13" t="str">
        <f t="shared" si="14"/>
        <v>excellent</v>
      </c>
      <c r="AM202" s="7"/>
      <c r="AN202" s="7"/>
    </row>
    <row r="203">
      <c r="A203" s="7"/>
      <c r="B203" s="7" t="s">
        <v>429</v>
      </c>
      <c r="C203" s="8" t="s">
        <v>413</v>
      </c>
      <c r="D203" s="7" t="s">
        <v>10</v>
      </c>
      <c r="E203" s="8" t="b">
        <f t="shared" ref="E203:K203" si="612">IF(IFERROR(SEARCH(E$1, $D203),0) &gt;= 1, TRUE,FALSE)</f>
        <v>0</v>
      </c>
      <c r="F203" s="8" t="b">
        <f t="shared" si="612"/>
        <v>0</v>
      </c>
      <c r="G203" s="8" t="b">
        <f t="shared" si="612"/>
        <v>0</v>
      </c>
      <c r="H203" s="8" t="b">
        <f t="shared" si="612"/>
        <v>0</v>
      </c>
      <c r="I203" s="8" t="b">
        <f t="shared" si="612"/>
        <v>0</v>
      </c>
      <c r="J203" s="8" t="b">
        <f t="shared" si="612"/>
        <v>0</v>
      </c>
      <c r="K203" s="8" t="b">
        <f t="shared" si="612"/>
        <v>1</v>
      </c>
      <c r="L203" s="9" t="b">
        <v>1</v>
      </c>
      <c r="M203" s="9" t="b">
        <v>0</v>
      </c>
      <c r="N203" s="9" t="b">
        <v>0</v>
      </c>
      <c r="O203" s="9" t="b">
        <v>0</v>
      </c>
      <c r="P203" s="7" t="str">
        <f t="shared" si="5"/>
        <v>Fondation CAB</v>
      </c>
      <c r="Q203" s="10">
        <v>6.0</v>
      </c>
      <c r="R203" s="9" t="b">
        <v>0</v>
      </c>
      <c r="S203" s="9" t="b">
        <v>0</v>
      </c>
      <c r="T203" s="7"/>
      <c r="U203" s="11">
        <f t="shared" si="6"/>
        <v>0</v>
      </c>
      <c r="V203" s="11">
        <f t="shared" ref="V203:AB203" si="613">IF(OR(AW203 = $AO$4, AW203 = $AQ$4), 1, 0)</f>
        <v>1</v>
      </c>
      <c r="W203" s="11">
        <f t="shared" si="613"/>
        <v>1</v>
      </c>
      <c r="X203" s="11">
        <f t="shared" si="613"/>
        <v>1</v>
      </c>
      <c r="Y203" s="11">
        <f t="shared" si="613"/>
        <v>1</v>
      </c>
      <c r="Z203" s="11">
        <f t="shared" si="613"/>
        <v>1</v>
      </c>
      <c r="AA203" s="11">
        <f t="shared" si="613"/>
        <v>1</v>
      </c>
      <c r="AB203" s="11">
        <f t="shared" si="613"/>
        <v>1</v>
      </c>
      <c r="AC203" s="11">
        <f t="shared" si="8"/>
        <v>7</v>
      </c>
      <c r="AD203" s="11">
        <f t="shared" si="9"/>
        <v>1</v>
      </c>
      <c r="AE203" s="11">
        <f t="shared" ref="AE203:AH203" si="614">IF(OR(BD203 = $AO$6, BD203 = $AS$6, BD203 = $AT$6, BD203 = $AU$6), 1, 0)</f>
        <v>1</v>
      </c>
      <c r="AF203" s="11">
        <f t="shared" si="614"/>
        <v>1</v>
      </c>
      <c r="AG203" s="11">
        <f t="shared" si="614"/>
        <v>1</v>
      </c>
      <c r="AH203" s="11">
        <f t="shared" si="614"/>
        <v>1</v>
      </c>
      <c r="AI203" s="11">
        <f t="shared" si="11"/>
        <v>4</v>
      </c>
      <c r="AJ203" s="11">
        <f t="shared" si="12"/>
        <v>12</v>
      </c>
      <c r="AK203" s="12">
        <f t="shared" si="13"/>
        <v>5</v>
      </c>
      <c r="AL203" s="13" t="str">
        <f t="shared" si="14"/>
        <v>excellent</v>
      </c>
      <c r="AM203" s="7"/>
      <c r="AN203" s="7"/>
    </row>
    <row r="204">
      <c r="A204" s="7" t="s">
        <v>430</v>
      </c>
      <c r="B204" s="7"/>
      <c r="C204" s="8" t="s">
        <v>413</v>
      </c>
      <c r="D204" s="7" t="s">
        <v>431</v>
      </c>
      <c r="E204" s="8" t="b">
        <f t="shared" ref="E204:K204" si="615">IF(IFERROR(SEARCH(E$1, $D204),0) &gt;= 1, TRUE,FALSE)</f>
        <v>1</v>
      </c>
      <c r="F204" s="8" t="b">
        <f t="shared" si="615"/>
        <v>0</v>
      </c>
      <c r="G204" s="8" t="b">
        <f t="shared" si="615"/>
        <v>1</v>
      </c>
      <c r="H204" s="8" t="b">
        <f t="shared" si="615"/>
        <v>0</v>
      </c>
      <c r="I204" s="8" t="b">
        <f t="shared" si="615"/>
        <v>0</v>
      </c>
      <c r="J204" s="8" t="b">
        <f t="shared" si="615"/>
        <v>1</v>
      </c>
      <c r="K204" s="8" t="b">
        <f t="shared" si="615"/>
        <v>0</v>
      </c>
      <c r="L204" s="9" t="b">
        <v>1</v>
      </c>
      <c r="M204" s="9" t="b">
        <v>0</v>
      </c>
      <c r="N204" s="9" t="b">
        <v>0</v>
      </c>
      <c r="O204" s="9" t="b">
        <v>0</v>
      </c>
      <c r="P204" s="7" t="str">
        <f t="shared" si="5"/>
        <v>GardeRobe MannekenPis</v>
      </c>
      <c r="Q204" s="10">
        <v>5.0</v>
      </c>
      <c r="R204" s="9" t="b">
        <v>0</v>
      </c>
      <c r="S204" s="9" t="b">
        <v>1</v>
      </c>
      <c r="T204" s="10">
        <v>0.0</v>
      </c>
      <c r="U204" s="11">
        <f t="shared" si="6"/>
        <v>0</v>
      </c>
      <c r="V204" s="11">
        <f t="shared" ref="V204:AB204" si="616">IF(OR(AW204 = $AO$4, AW204 = $AQ$4), 1, 0)</f>
        <v>1</v>
      </c>
      <c r="W204" s="11">
        <f t="shared" si="616"/>
        <v>1</v>
      </c>
      <c r="X204" s="11">
        <f t="shared" si="616"/>
        <v>1</v>
      </c>
      <c r="Y204" s="11">
        <f t="shared" si="616"/>
        <v>1</v>
      </c>
      <c r="Z204" s="11">
        <f t="shared" si="616"/>
        <v>1</v>
      </c>
      <c r="AA204" s="11">
        <f t="shared" si="616"/>
        <v>1</v>
      </c>
      <c r="AB204" s="11">
        <f t="shared" si="616"/>
        <v>1</v>
      </c>
      <c r="AC204" s="11">
        <f t="shared" si="8"/>
        <v>7</v>
      </c>
      <c r="AD204" s="11">
        <f t="shared" si="9"/>
        <v>1</v>
      </c>
      <c r="AE204" s="11">
        <f t="shared" ref="AE204:AH204" si="617">IF(OR(BD204 = $AO$6, BD204 = $AS$6, BD204 = $AT$6, BD204 = $AU$6), 1, 0)</f>
        <v>1</v>
      </c>
      <c r="AF204" s="11">
        <f t="shared" si="617"/>
        <v>1</v>
      </c>
      <c r="AG204" s="11">
        <f t="shared" si="617"/>
        <v>1</v>
      </c>
      <c r="AH204" s="11">
        <f t="shared" si="617"/>
        <v>1</v>
      </c>
      <c r="AI204" s="11">
        <f t="shared" si="11"/>
        <v>4</v>
      </c>
      <c r="AJ204" s="11">
        <f t="shared" si="12"/>
        <v>12</v>
      </c>
      <c r="AK204" s="12">
        <f t="shared" si="13"/>
        <v>5</v>
      </c>
      <c r="AL204" s="13" t="str">
        <f t="shared" si="14"/>
        <v>excellent</v>
      </c>
      <c r="AM204" s="7"/>
      <c r="AN204" s="7"/>
    </row>
    <row r="205">
      <c r="A205" s="7" t="s">
        <v>432</v>
      </c>
      <c r="B205" s="7"/>
      <c r="C205" s="8" t="s">
        <v>413</v>
      </c>
      <c r="D205" s="7" t="s">
        <v>433</v>
      </c>
      <c r="E205" s="8" t="b">
        <f t="shared" ref="E205:K205" si="618">IF(IFERROR(SEARCH(E$1, $D205),0) &gt;= 1, TRUE,FALSE)</f>
        <v>0</v>
      </c>
      <c r="F205" s="8" t="b">
        <f t="shared" si="618"/>
        <v>1</v>
      </c>
      <c r="G205" s="8" t="b">
        <f t="shared" si="618"/>
        <v>0</v>
      </c>
      <c r="H205" s="8" t="b">
        <f t="shared" si="618"/>
        <v>0</v>
      </c>
      <c r="I205" s="8" t="b">
        <f t="shared" si="618"/>
        <v>0</v>
      </c>
      <c r="J205" s="8" t="b">
        <f t="shared" si="618"/>
        <v>1</v>
      </c>
      <c r="K205" s="8" t="b">
        <f t="shared" si="618"/>
        <v>1</v>
      </c>
      <c r="L205" s="9" t="b">
        <v>0</v>
      </c>
      <c r="M205" s="9" t="b">
        <v>1</v>
      </c>
      <c r="N205" s="9" t="b">
        <v>0</v>
      </c>
      <c r="O205" s="9" t="b">
        <v>0</v>
      </c>
      <c r="P205" s="7" t="str">
        <f t="shared" si="5"/>
        <v>iMAL</v>
      </c>
      <c r="Q205" s="14">
        <v>10.0</v>
      </c>
      <c r="R205" s="9" t="b">
        <v>0</v>
      </c>
      <c r="S205" s="9" t="b">
        <v>1</v>
      </c>
      <c r="T205" s="10">
        <v>0.0</v>
      </c>
      <c r="U205" s="11">
        <f t="shared" si="6"/>
        <v>0</v>
      </c>
      <c r="V205" s="11">
        <f t="shared" ref="V205:AB205" si="619">IF(OR(AW205 = $AO$4, AW205 = $AQ$4), 1, 0)</f>
        <v>1</v>
      </c>
      <c r="W205" s="11">
        <f t="shared" si="619"/>
        <v>1</v>
      </c>
      <c r="X205" s="11">
        <f t="shared" si="619"/>
        <v>1</v>
      </c>
      <c r="Y205" s="11">
        <f t="shared" si="619"/>
        <v>1</v>
      </c>
      <c r="Z205" s="11">
        <f t="shared" si="619"/>
        <v>1</v>
      </c>
      <c r="AA205" s="11">
        <f t="shared" si="619"/>
        <v>1</v>
      </c>
      <c r="AB205" s="11">
        <f t="shared" si="619"/>
        <v>1</v>
      </c>
      <c r="AC205" s="11">
        <f t="shared" si="8"/>
        <v>7</v>
      </c>
      <c r="AD205" s="11">
        <f t="shared" si="9"/>
        <v>1</v>
      </c>
      <c r="AE205" s="11">
        <f t="shared" ref="AE205:AH205" si="620">IF(OR(BD205 = $AO$6, BD205 = $AS$6, BD205 = $AT$6, BD205 = $AU$6), 1, 0)</f>
        <v>1</v>
      </c>
      <c r="AF205" s="11">
        <f t="shared" si="620"/>
        <v>1</v>
      </c>
      <c r="AG205" s="11">
        <f t="shared" si="620"/>
        <v>1</v>
      </c>
      <c r="AH205" s="11">
        <f t="shared" si="620"/>
        <v>1</v>
      </c>
      <c r="AI205" s="11">
        <f t="shared" si="11"/>
        <v>4</v>
      </c>
      <c r="AJ205" s="11">
        <f t="shared" si="12"/>
        <v>12</v>
      </c>
      <c r="AK205" s="12">
        <f t="shared" si="13"/>
        <v>5</v>
      </c>
      <c r="AL205" s="13" t="str">
        <f t="shared" si="14"/>
        <v>excellent</v>
      </c>
      <c r="AM205" s="7"/>
      <c r="AN205" s="7"/>
    </row>
    <row r="206">
      <c r="A206" s="7"/>
      <c r="B206" s="7" t="s">
        <v>434</v>
      </c>
      <c r="C206" s="8" t="s">
        <v>413</v>
      </c>
      <c r="D206" s="7" t="s">
        <v>127</v>
      </c>
      <c r="E206" s="8" t="b">
        <f t="shared" ref="E206:K206" si="621">IF(IFERROR(SEARCH(E$1, $D206),0) &gt;= 1, TRUE,FALSE)</f>
        <v>0</v>
      </c>
      <c r="F206" s="8" t="b">
        <f t="shared" si="621"/>
        <v>0</v>
      </c>
      <c r="G206" s="8" t="b">
        <f t="shared" si="621"/>
        <v>0</v>
      </c>
      <c r="H206" s="8" t="b">
        <f t="shared" si="621"/>
        <v>0</v>
      </c>
      <c r="I206" s="8" t="b">
        <f t="shared" si="621"/>
        <v>1</v>
      </c>
      <c r="J206" s="8" t="b">
        <f t="shared" si="621"/>
        <v>1</v>
      </c>
      <c r="K206" s="8" t="b">
        <f t="shared" si="621"/>
        <v>0</v>
      </c>
      <c r="L206" s="9" t="b">
        <v>1</v>
      </c>
      <c r="M206" s="9" t="b">
        <v>1</v>
      </c>
      <c r="N206" s="9" t="b">
        <v>0</v>
      </c>
      <c r="O206" s="9" t="b">
        <v>1</v>
      </c>
      <c r="P206" s="7" t="str">
        <f t="shared" si="5"/>
        <v>KANAL | Centre Pompidou</v>
      </c>
      <c r="Q206" s="14">
        <v>0.0</v>
      </c>
      <c r="R206" s="9" t="b">
        <v>1</v>
      </c>
      <c r="S206" s="9" t="b">
        <v>0</v>
      </c>
      <c r="T206" s="7"/>
      <c r="U206" s="11">
        <f t="shared" si="6"/>
        <v>0</v>
      </c>
      <c r="V206" s="11">
        <f t="shared" ref="V206:AB206" si="622">IF(OR(AW206 = $AO$4, AW206 = $AQ$4), 1, 0)</f>
        <v>1</v>
      </c>
      <c r="W206" s="11">
        <f t="shared" si="622"/>
        <v>1</v>
      </c>
      <c r="X206" s="11">
        <f t="shared" si="622"/>
        <v>1</v>
      </c>
      <c r="Y206" s="11">
        <f t="shared" si="622"/>
        <v>1</v>
      </c>
      <c r="Z206" s="11">
        <f t="shared" si="622"/>
        <v>1</v>
      </c>
      <c r="AA206" s="11">
        <f t="shared" si="622"/>
        <v>1</v>
      </c>
      <c r="AB206" s="11">
        <f t="shared" si="622"/>
        <v>1</v>
      </c>
      <c r="AC206" s="11">
        <f t="shared" si="8"/>
        <v>7</v>
      </c>
      <c r="AD206" s="11">
        <f t="shared" si="9"/>
        <v>1</v>
      </c>
      <c r="AE206" s="11">
        <f t="shared" ref="AE206:AH206" si="623">IF(OR(BD206 = $AO$6, BD206 = $AS$6, BD206 = $AT$6, BD206 = $AU$6), 1, 0)</f>
        <v>1</v>
      </c>
      <c r="AF206" s="11">
        <f t="shared" si="623"/>
        <v>1</v>
      </c>
      <c r="AG206" s="11">
        <f t="shared" si="623"/>
        <v>1</v>
      </c>
      <c r="AH206" s="11">
        <f t="shared" si="623"/>
        <v>1</v>
      </c>
      <c r="AI206" s="11">
        <f t="shared" si="11"/>
        <v>4</v>
      </c>
      <c r="AJ206" s="11">
        <f t="shared" si="12"/>
        <v>12</v>
      </c>
      <c r="AK206" s="12">
        <f t="shared" si="13"/>
        <v>5</v>
      </c>
      <c r="AL206" s="13" t="str">
        <f t="shared" si="14"/>
        <v>excellent</v>
      </c>
      <c r="AM206" s="7"/>
      <c r="AN206" s="7"/>
    </row>
    <row r="207">
      <c r="A207" s="7" t="s">
        <v>435</v>
      </c>
      <c r="B207" s="7"/>
      <c r="C207" s="8" t="s">
        <v>413</v>
      </c>
      <c r="D207" s="7" t="s">
        <v>410</v>
      </c>
      <c r="E207" s="8" t="b">
        <f t="shared" ref="E207:K207" si="624">IF(IFERROR(SEARCH(E$1, $D207),0) &gt;= 1, TRUE,FALSE)</f>
        <v>1</v>
      </c>
      <c r="F207" s="8" t="b">
        <f t="shared" si="624"/>
        <v>0</v>
      </c>
      <c r="G207" s="8" t="b">
        <f t="shared" si="624"/>
        <v>0</v>
      </c>
      <c r="H207" s="8" t="b">
        <f t="shared" si="624"/>
        <v>1</v>
      </c>
      <c r="I207" s="8" t="b">
        <f t="shared" si="624"/>
        <v>0</v>
      </c>
      <c r="J207" s="8" t="b">
        <f t="shared" si="624"/>
        <v>1</v>
      </c>
      <c r="K207" s="8" t="b">
        <f t="shared" si="624"/>
        <v>0</v>
      </c>
      <c r="L207" s="9" t="b">
        <v>1</v>
      </c>
      <c r="M207" s="9" t="b">
        <v>1</v>
      </c>
      <c r="N207" s="9" t="b">
        <v>0</v>
      </c>
      <c r="O207" s="9" t="b">
        <v>1</v>
      </c>
      <c r="P207" s="7" t="str">
        <f t="shared" si="5"/>
        <v>KBR museum</v>
      </c>
      <c r="Q207" s="10">
        <v>11.0</v>
      </c>
      <c r="R207" s="9" t="b">
        <v>0</v>
      </c>
      <c r="S207" s="9" t="b">
        <v>0</v>
      </c>
      <c r="T207" s="7"/>
      <c r="U207" s="11">
        <f t="shared" si="6"/>
        <v>0</v>
      </c>
      <c r="V207" s="11">
        <f t="shared" ref="V207:AB207" si="625">IF(OR(AW207 = $AO$4, AW207 = $AQ$4), 1, 0)</f>
        <v>1</v>
      </c>
      <c r="W207" s="11">
        <f t="shared" si="625"/>
        <v>1</v>
      </c>
      <c r="X207" s="11">
        <f t="shared" si="625"/>
        <v>1</v>
      </c>
      <c r="Y207" s="11">
        <f t="shared" si="625"/>
        <v>1</v>
      </c>
      <c r="Z207" s="11">
        <f t="shared" si="625"/>
        <v>1</v>
      </c>
      <c r="AA207" s="11">
        <f t="shared" si="625"/>
        <v>1</v>
      </c>
      <c r="AB207" s="11">
        <f t="shared" si="625"/>
        <v>1</v>
      </c>
      <c r="AC207" s="11">
        <f t="shared" si="8"/>
        <v>7</v>
      </c>
      <c r="AD207" s="11">
        <f t="shared" si="9"/>
        <v>1</v>
      </c>
      <c r="AE207" s="11">
        <f t="shared" ref="AE207:AH207" si="626">IF(OR(BD207 = $AO$6, BD207 = $AS$6, BD207 = $AT$6, BD207 = $AU$6), 1, 0)</f>
        <v>1</v>
      </c>
      <c r="AF207" s="11">
        <f t="shared" si="626"/>
        <v>1</v>
      </c>
      <c r="AG207" s="11">
        <f t="shared" si="626"/>
        <v>1</v>
      </c>
      <c r="AH207" s="11">
        <f t="shared" si="626"/>
        <v>1</v>
      </c>
      <c r="AI207" s="11">
        <f t="shared" si="11"/>
        <v>4</v>
      </c>
      <c r="AJ207" s="11">
        <f t="shared" si="12"/>
        <v>12</v>
      </c>
      <c r="AK207" s="12">
        <f t="shared" si="13"/>
        <v>5</v>
      </c>
      <c r="AL207" s="13" t="str">
        <f t="shared" si="14"/>
        <v>excellent</v>
      </c>
      <c r="AM207" s="7"/>
      <c r="AN207" s="7"/>
    </row>
    <row r="208">
      <c r="A208" s="7" t="s">
        <v>436</v>
      </c>
      <c r="B208" s="7" t="s">
        <v>437</v>
      </c>
      <c r="C208" s="8" t="s">
        <v>413</v>
      </c>
      <c r="D208" s="7" t="s">
        <v>438</v>
      </c>
      <c r="E208" s="8" t="b">
        <f t="shared" ref="E208:K208" si="627">IF(IFERROR(SEARCH(E$1, $D208),0) &gt;= 1, TRUE,FALSE)</f>
        <v>1</v>
      </c>
      <c r="F208" s="8" t="b">
        <f t="shared" si="627"/>
        <v>0</v>
      </c>
      <c r="G208" s="8" t="b">
        <f t="shared" si="627"/>
        <v>0</v>
      </c>
      <c r="H208" s="8" t="b">
        <f t="shared" si="627"/>
        <v>0</v>
      </c>
      <c r="I208" s="8" t="b">
        <f t="shared" si="627"/>
        <v>1</v>
      </c>
      <c r="J208" s="8" t="b">
        <f t="shared" si="627"/>
        <v>0</v>
      </c>
      <c r="K208" s="8" t="b">
        <f t="shared" si="627"/>
        <v>1</v>
      </c>
      <c r="L208" s="9" t="b">
        <v>1</v>
      </c>
      <c r="M208" s="9" t="b">
        <v>0</v>
      </c>
      <c r="N208" s="9" t="b">
        <v>0</v>
      </c>
      <c r="O208" s="9" t="b">
        <v>0</v>
      </c>
      <c r="P208" s="7" t="str">
        <f t="shared" si="5"/>
        <v>LAB·AN x Hotel van Eetvelde</v>
      </c>
      <c r="Q208" s="10">
        <v>12.0</v>
      </c>
      <c r="R208" s="9" t="b">
        <v>0</v>
      </c>
      <c r="S208" s="9" t="b">
        <v>0</v>
      </c>
      <c r="T208" s="7"/>
      <c r="U208" s="11">
        <f t="shared" si="6"/>
        <v>0</v>
      </c>
      <c r="V208" s="11">
        <f t="shared" ref="V208:AB208" si="628">IF(OR(AW208 = $AO$4, AW208 = $AQ$4), 1, 0)</f>
        <v>1</v>
      </c>
      <c r="W208" s="11">
        <f t="shared" si="628"/>
        <v>1</v>
      </c>
      <c r="X208" s="11">
        <f t="shared" si="628"/>
        <v>1</v>
      </c>
      <c r="Y208" s="11">
        <f t="shared" si="628"/>
        <v>1</v>
      </c>
      <c r="Z208" s="11">
        <f t="shared" si="628"/>
        <v>1</v>
      </c>
      <c r="AA208" s="11">
        <f t="shared" si="628"/>
        <v>1</v>
      </c>
      <c r="AB208" s="11">
        <f t="shared" si="628"/>
        <v>1</v>
      </c>
      <c r="AC208" s="11">
        <f t="shared" si="8"/>
        <v>7</v>
      </c>
      <c r="AD208" s="11">
        <f t="shared" si="9"/>
        <v>1</v>
      </c>
      <c r="AE208" s="11">
        <f t="shared" ref="AE208:AH208" si="629">IF(OR(BD208 = $AO$6, BD208 = $AS$6, BD208 = $AT$6, BD208 = $AU$6), 1, 0)</f>
        <v>1</v>
      </c>
      <c r="AF208" s="11">
        <f t="shared" si="629"/>
        <v>1</v>
      </c>
      <c r="AG208" s="11">
        <f t="shared" si="629"/>
        <v>1</v>
      </c>
      <c r="AH208" s="11">
        <f t="shared" si="629"/>
        <v>1</v>
      </c>
      <c r="AI208" s="11">
        <f t="shared" si="11"/>
        <v>4</v>
      </c>
      <c r="AJ208" s="11">
        <f t="shared" si="12"/>
        <v>12</v>
      </c>
      <c r="AK208" s="12">
        <f t="shared" si="13"/>
        <v>5</v>
      </c>
      <c r="AL208" s="13" t="str">
        <f t="shared" si="14"/>
        <v>excellent</v>
      </c>
      <c r="AM208" s="7"/>
      <c r="AN208" s="7"/>
    </row>
    <row r="209">
      <c r="A209" s="7" t="s">
        <v>439</v>
      </c>
      <c r="B209" s="7" t="s">
        <v>440</v>
      </c>
      <c r="C209" s="8" t="s">
        <v>413</v>
      </c>
      <c r="D209" s="7" t="s">
        <v>4</v>
      </c>
      <c r="E209" s="8" t="b">
        <f t="shared" ref="E209:K209" si="630">IF(IFERROR(SEARCH(E$1, $D209),0) &gt;= 1, TRUE,FALSE)</f>
        <v>1</v>
      </c>
      <c r="F209" s="8" t="b">
        <f t="shared" si="630"/>
        <v>0</v>
      </c>
      <c r="G209" s="8" t="b">
        <f t="shared" si="630"/>
        <v>0</v>
      </c>
      <c r="H209" s="8" t="b">
        <f t="shared" si="630"/>
        <v>0</v>
      </c>
      <c r="I209" s="8" t="b">
        <f t="shared" si="630"/>
        <v>0</v>
      </c>
      <c r="J209" s="8" t="b">
        <f t="shared" si="630"/>
        <v>0</v>
      </c>
      <c r="K209" s="8" t="b">
        <f t="shared" si="630"/>
        <v>0</v>
      </c>
      <c r="L209" s="9" t="b">
        <v>0</v>
      </c>
      <c r="M209" s="9" t="b">
        <v>1</v>
      </c>
      <c r="N209" s="9" t="b">
        <v>0</v>
      </c>
      <c r="O209" s="9" t="b">
        <v>0</v>
      </c>
      <c r="P209" s="7" t="str">
        <f t="shared" si="5"/>
        <v>Brussels Museum voor Arbeid en Industrie</v>
      </c>
      <c r="Q209" s="10">
        <v>8.0</v>
      </c>
      <c r="R209" s="9" t="b">
        <v>0</v>
      </c>
      <c r="S209" s="9" t="b">
        <v>1</v>
      </c>
      <c r="T209" s="10">
        <v>8.0</v>
      </c>
      <c r="U209" s="11">
        <f t="shared" si="6"/>
        <v>0</v>
      </c>
      <c r="V209" s="11">
        <f t="shared" ref="V209:AB209" si="631">IF(OR(AW209 = $AO$4, AW209 = $AQ$4), 1, 0)</f>
        <v>1</v>
      </c>
      <c r="W209" s="11">
        <f t="shared" si="631"/>
        <v>1</v>
      </c>
      <c r="X209" s="11">
        <f t="shared" si="631"/>
        <v>1</v>
      </c>
      <c r="Y209" s="11">
        <f t="shared" si="631"/>
        <v>1</v>
      </c>
      <c r="Z209" s="11">
        <f t="shared" si="631"/>
        <v>1</v>
      </c>
      <c r="AA209" s="11">
        <f t="shared" si="631"/>
        <v>1</v>
      </c>
      <c r="AB209" s="11">
        <f t="shared" si="631"/>
        <v>1</v>
      </c>
      <c r="AC209" s="11">
        <f t="shared" si="8"/>
        <v>7</v>
      </c>
      <c r="AD209" s="11">
        <f t="shared" si="9"/>
        <v>1</v>
      </c>
      <c r="AE209" s="11">
        <f t="shared" ref="AE209:AH209" si="632">IF(OR(BD209 = $AO$6, BD209 = $AS$6, BD209 = $AT$6, BD209 = $AU$6), 1, 0)</f>
        <v>1</v>
      </c>
      <c r="AF209" s="11">
        <f t="shared" si="632"/>
        <v>1</v>
      </c>
      <c r="AG209" s="11">
        <f t="shared" si="632"/>
        <v>1</v>
      </c>
      <c r="AH209" s="11">
        <f t="shared" si="632"/>
        <v>1</v>
      </c>
      <c r="AI209" s="11">
        <f t="shared" si="11"/>
        <v>4</v>
      </c>
      <c r="AJ209" s="11">
        <f t="shared" si="12"/>
        <v>12</v>
      </c>
      <c r="AK209" s="12">
        <f t="shared" si="13"/>
        <v>5</v>
      </c>
      <c r="AL209" s="13" t="str">
        <f t="shared" si="14"/>
        <v>excellent</v>
      </c>
      <c r="AM209" s="7"/>
      <c r="AN209" s="7"/>
    </row>
    <row r="210">
      <c r="A210" s="7" t="s">
        <v>441</v>
      </c>
      <c r="B210" s="7" t="s">
        <v>442</v>
      </c>
      <c r="C210" s="8" t="s">
        <v>413</v>
      </c>
      <c r="D210" s="7" t="s">
        <v>8</v>
      </c>
      <c r="E210" s="8" t="b">
        <f t="shared" ref="E210:K210" si="633">IF(IFERROR(SEARCH(E$1, $D210),0) &gt;= 1, TRUE,FALSE)</f>
        <v>0</v>
      </c>
      <c r="F210" s="8" t="b">
        <f t="shared" si="633"/>
        <v>0</v>
      </c>
      <c r="G210" s="8" t="b">
        <f t="shared" si="633"/>
        <v>0</v>
      </c>
      <c r="H210" s="8" t="b">
        <f t="shared" si="633"/>
        <v>0</v>
      </c>
      <c r="I210" s="8" t="b">
        <f t="shared" si="633"/>
        <v>1</v>
      </c>
      <c r="J210" s="8" t="b">
        <f t="shared" si="633"/>
        <v>0</v>
      </c>
      <c r="K210" s="8" t="b">
        <f t="shared" si="633"/>
        <v>0</v>
      </c>
      <c r="L210" s="9" t="b">
        <v>1</v>
      </c>
      <c r="M210" s="9" t="b">
        <v>0</v>
      </c>
      <c r="N210" s="9" t="b">
        <v>0</v>
      </c>
      <c r="O210" s="9" t="b">
        <v>0</v>
      </c>
      <c r="P210" s="7" t="str">
        <f t="shared" si="5"/>
        <v>Het Autrique Huis</v>
      </c>
      <c r="Q210" s="10">
        <v>9.0</v>
      </c>
      <c r="R210" s="9" t="b">
        <v>0</v>
      </c>
      <c r="S210" s="9" t="b">
        <v>0</v>
      </c>
      <c r="T210" s="7"/>
      <c r="U210" s="11">
        <f t="shared" si="6"/>
        <v>0</v>
      </c>
      <c r="V210" s="11">
        <f t="shared" ref="V210:AB210" si="634">IF(OR(AW210 = $AO$4, AW210 = $AQ$4), 1, 0)</f>
        <v>1</v>
      </c>
      <c r="W210" s="11">
        <f t="shared" si="634"/>
        <v>1</v>
      </c>
      <c r="X210" s="11">
        <f t="shared" si="634"/>
        <v>1</v>
      </c>
      <c r="Y210" s="11">
        <f t="shared" si="634"/>
        <v>1</v>
      </c>
      <c r="Z210" s="11">
        <f t="shared" si="634"/>
        <v>1</v>
      </c>
      <c r="AA210" s="11">
        <f t="shared" si="634"/>
        <v>1</v>
      </c>
      <c r="AB210" s="11">
        <f t="shared" si="634"/>
        <v>1</v>
      </c>
      <c r="AC210" s="11">
        <f t="shared" si="8"/>
        <v>7</v>
      </c>
      <c r="AD210" s="11">
        <f t="shared" si="9"/>
        <v>1</v>
      </c>
      <c r="AE210" s="11">
        <f t="shared" ref="AE210:AH210" si="635">IF(OR(BD210 = $AO$6, BD210 = $AS$6, BD210 = $AT$6, BD210 = $AU$6), 1, 0)</f>
        <v>1</v>
      </c>
      <c r="AF210" s="11">
        <f t="shared" si="635"/>
        <v>1</v>
      </c>
      <c r="AG210" s="11">
        <f t="shared" si="635"/>
        <v>1</v>
      </c>
      <c r="AH210" s="11">
        <f t="shared" si="635"/>
        <v>1</v>
      </c>
      <c r="AI210" s="11">
        <f t="shared" si="11"/>
        <v>4</v>
      </c>
      <c r="AJ210" s="11">
        <f t="shared" si="12"/>
        <v>12</v>
      </c>
      <c r="AK210" s="12">
        <f t="shared" si="13"/>
        <v>5</v>
      </c>
      <c r="AL210" s="13" t="str">
        <f t="shared" si="14"/>
        <v>excellent</v>
      </c>
      <c r="AM210" s="7"/>
      <c r="AN210" s="7"/>
    </row>
    <row r="211">
      <c r="A211" s="7" t="s">
        <v>443</v>
      </c>
      <c r="B211" s="7" t="s">
        <v>444</v>
      </c>
      <c r="C211" s="8" t="s">
        <v>413</v>
      </c>
      <c r="D211" s="7" t="s">
        <v>206</v>
      </c>
      <c r="E211" s="8" t="b">
        <f t="shared" ref="E211:K211" si="636">IF(IFERROR(SEARCH(E$1, $D211),0) &gt;= 1, TRUE,FALSE)</f>
        <v>1</v>
      </c>
      <c r="F211" s="8" t="b">
        <f t="shared" si="636"/>
        <v>0</v>
      </c>
      <c r="G211" s="8" t="b">
        <f t="shared" si="636"/>
        <v>0</v>
      </c>
      <c r="H211" s="8" t="b">
        <f t="shared" si="636"/>
        <v>0</v>
      </c>
      <c r="I211" s="8" t="b">
        <f t="shared" si="636"/>
        <v>1</v>
      </c>
      <c r="J211" s="8" t="b">
        <f t="shared" si="636"/>
        <v>1</v>
      </c>
      <c r="K211" s="8" t="b">
        <f t="shared" si="636"/>
        <v>0</v>
      </c>
      <c r="L211" s="9" t="b">
        <v>0</v>
      </c>
      <c r="M211" s="9" t="b">
        <v>0</v>
      </c>
      <c r="N211" s="9" t="b">
        <v>0</v>
      </c>
      <c r="O211" s="9" t="b">
        <v>0</v>
      </c>
      <c r="P211" s="7" t="str">
        <f t="shared" si="5"/>
        <v>Het Stadhuis van Brussel</v>
      </c>
      <c r="Q211" s="10">
        <v>15.0</v>
      </c>
      <c r="R211" s="9" t="b">
        <v>0</v>
      </c>
      <c r="S211" s="9" t="b">
        <v>0</v>
      </c>
      <c r="T211" s="7"/>
      <c r="U211" s="11">
        <f t="shared" si="6"/>
        <v>0</v>
      </c>
      <c r="V211" s="11">
        <f t="shared" ref="V211:AB211" si="637">IF(OR(AW211 = $AO$4, AW211 = $AQ$4), 1, 0)</f>
        <v>1</v>
      </c>
      <c r="W211" s="11">
        <f t="shared" si="637"/>
        <v>1</v>
      </c>
      <c r="X211" s="11">
        <f t="shared" si="637"/>
        <v>1</v>
      </c>
      <c r="Y211" s="11">
        <f t="shared" si="637"/>
        <v>1</v>
      </c>
      <c r="Z211" s="11">
        <f t="shared" si="637"/>
        <v>1</v>
      </c>
      <c r="AA211" s="11">
        <f t="shared" si="637"/>
        <v>1</v>
      </c>
      <c r="AB211" s="11">
        <f t="shared" si="637"/>
        <v>1</v>
      </c>
      <c r="AC211" s="11">
        <f t="shared" si="8"/>
        <v>7</v>
      </c>
      <c r="AD211" s="11">
        <f t="shared" si="9"/>
        <v>1</v>
      </c>
      <c r="AE211" s="11">
        <f t="shared" ref="AE211:AH211" si="638">IF(OR(BD211 = $AO$6, BD211 = $AS$6, BD211 = $AT$6, BD211 = $AU$6), 1, 0)</f>
        <v>1</v>
      </c>
      <c r="AF211" s="11">
        <f t="shared" si="638"/>
        <v>1</v>
      </c>
      <c r="AG211" s="11">
        <f t="shared" si="638"/>
        <v>1</v>
      </c>
      <c r="AH211" s="11">
        <f t="shared" si="638"/>
        <v>1</v>
      </c>
      <c r="AI211" s="11">
        <f t="shared" si="11"/>
        <v>4</v>
      </c>
      <c r="AJ211" s="11">
        <f t="shared" si="12"/>
        <v>12</v>
      </c>
      <c r="AK211" s="12">
        <f t="shared" si="13"/>
        <v>5</v>
      </c>
      <c r="AL211" s="13" t="str">
        <f t="shared" si="14"/>
        <v>excellent</v>
      </c>
      <c r="AM211" s="7"/>
      <c r="AN211" s="7"/>
    </row>
    <row r="212">
      <c r="A212" s="7" t="s">
        <v>445</v>
      </c>
      <c r="B212" s="7" t="s">
        <v>446</v>
      </c>
      <c r="C212" s="8" t="s">
        <v>413</v>
      </c>
      <c r="D212" s="7" t="s">
        <v>364</v>
      </c>
      <c r="E212" s="8" t="b">
        <f t="shared" ref="E212:K212" si="639">IF(IFERROR(SEARCH(E$1, $D212),0) &gt;= 1, TRUE,FALSE)</f>
        <v>1</v>
      </c>
      <c r="F212" s="8" t="b">
        <f t="shared" si="639"/>
        <v>0</v>
      </c>
      <c r="G212" s="8" t="b">
        <f t="shared" si="639"/>
        <v>0</v>
      </c>
      <c r="H212" s="8" t="b">
        <f t="shared" si="639"/>
        <v>1</v>
      </c>
      <c r="I212" s="8" t="b">
        <f t="shared" si="639"/>
        <v>1</v>
      </c>
      <c r="J212" s="8" t="b">
        <f t="shared" si="639"/>
        <v>1</v>
      </c>
      <c r="K212" s="8" t="b">
        <f t="shared" si="639"/>
        <v>0</v>
      </c>
      <c r="L212" s="9" t="b">
        <v>1</v>
      </c>
      <c r="M212" s="9" t="b">
        <v>0</v>
      </c>
      <c r="N212" s="9" t="b">
        <v>0</v>
      </c>
      <c r="O212" s="9" t="b">
        <v>0</v>
      </c>
      <c r="P212" s="7" t="str">
        <f t="shared" si="5"/>
        <v>Erasmushuis &amp; Begijnhof</v>
      </c>
      <c r="Q212" s="10">
        <v>5.0</v>
      </c>
      <c r="R212" s="9" t="b">
        <v>0</v>
      </c>
      <c r="S212" s="9" t="b">
        <v>0</v>
      </c>
      <c r="T212" s="7"/>
      <c r="U212" s="11">
        <f t="shared" si="6"/>
        <v>0</v>
      </c>
      <c r="V212" s="11">
        <f t="shared" ref="V212:AB212" si="640">IF(OR(AW212 = $AO$4, AW212 = $AQ$4), 1, 0)</f>
        <v>1</v>
      </c>
      <c r="W212" s="11">
        <f t="shared" si="640"/>
        <v>1</v>
      </c>
      <c r="X212" s="11">
        <f t="shared" si="640"/>
        <v>1</v>
      </c>
      <c r="Y212" s="11">
        <f t="shared" si="640"/>
        <v>1</v>
      </c>
      <c r="Z212" s="11">
        <f t="shared" si="640"/>
        <v>1</v>
      </c>
      <c r="AA212" s="11">
        <f t="shared" si="640"/>
        <v>1</v>
      </c>
      <c r="AB212" s="11">
        <f t="shared" si="640"/>
        <v>1</v>
      </c>
      <c r="AC212" s="11">
        <f t="shared" si="8"/>
        <v>7</v>
      </c>
      <c r="AD212" s="11">
        <f t="shared" si="9"/>
        <v>1</v>
      </c>
      <c r="AE212" s="11">
        <f t="shared" ref="AE212:AH212" si="641">IF(OR(BD212 = $AO$6, BD212 = $AS$6, BD212 = $AT$6, BD212 = $AU$6), 1, 0)</f>
        <v>1</v>
      </c>
      <c r="AF212" s="11">
        <f t="shared" si="641"/>
        <v>1</v>
      </c>
      <c r="AG212" s="11">
        <f t="shared" si="641"/>
        <v>1</v>
      </c>
      <c r="AH212" s="11">
        <f t="shared" si="641"/>
        <v>1</v>
      </c>
      <c r="AI212" s="11">
        <f t="shared" si="11"/>
        <v>4</v>
      </c>
      <c r="AJ212" s="11">
        <f t="shared" si="12"/>
        <v>12</v>
      </c>
      <c r="AK212" s="12">
        <f t="shared" si="13"/>
        <v>5</v>
      </c>
      <c r="AL212" s="13" t="str">
        <f t="shared" si="14"/>
        <v>excellent</v>
      </c>
      <c r="AM212" s="7"/>
      <c r="AN212" s="7"/>
    </row>
    <row r="213">
      <c r="A213" s="7"/>
      <c r="B213" s="7" t="s">
        <v>447</v>
      </c>
      <c r="C213" s="8" t="s">
        <v>413</v>
      </c>
      <c r="D213" s="7" t="s">
        <v>292</v>
      </c>
      <c r="E213" s="8" t="b">
        <f t="shared" ref="E213:K213" si="642">IF(IFERROR(SEARCH(E$1, $D213),0) &gt;= 1, TRUE,FALSE)</f>
        <v>0</v>
      </c>
      <c r="F213" s="8" t="b">
        <f t="shared" si="642"/>
        <v>0</v>
      </c>
      <c r="G213" s="8" t="b">
        <f t="shared" si="642"/>
        <v>0</v>
      </c>
      <c r="H213" s="8" t="b">
        <f t="shared" si="642"/>
        <v>0</v>
      </c>
      <c r="I213" s="8" t="b">
        <f t="shared" si="642"/>
        <v>1</v>
      </c>
      <c r="J213" s="8" t="b">
        <f t="shared" si="642"/>
        <v>1</v>
      </c>
      <c r="K213" s="8" t="b">
        <f t="shared" si="642"/>
        <v>1</v>
      </c>
      <c r="L213" s="9" t="b">
        <v>1</v>
      </c>
      <c r="M213" s="9" t="b">
        <v>0</v>
      </c>
      <c r="N213" s="9" t="b">
        <v>0</v>
      </c>
      <c r="O213" s="9" t="b">
        <v>0</v>
      </c>
      <c r="P213" s="7" t="str">
        <f t="shared" si="5"/>
        <v>Maison Hannon</v>
      </c>
      <c r="Q213" s="10">
        <v>14.0</v>
      </c>
      <c r="R213" s="9" t="b">
        <v>0</v>
      </c>
      <c r="S213" s="9" t="b">
        <v>1</v>
      </c>
      <c r="T213" s="10">
        <v>14.0</v>
      </c>
      <c r="U213" s="11">
        <f t="shared" si="6"/>
        <v>0</v>
      </c>
      <c r="V213" s="11">
        <f t="shared" ref="V213:AB213" si="643">IF(OR(AW213 = $AO$4, AW213 = $AQ$4), 1, 0)</f>
        <v>1</v>
      </c>
      <c r="W213" s="11">
        <f t="shared" si="643"/>
        <v>1</v>
      </c>
      <c r="X213" s="11">
        <f t="shared" si="643"/>
        <v>1</v>
      </c>
      <c r="Y213" s="11">
        <f t="shared" si="643"/>
        <v>1</v>
      </c>
      <c r="Z213" s="11">
        <f t="shared" si="643"/>
        <v>1</v>
      </c>
      <c r="AA213" s="11">
        <f t="shared" si="643"/>
        <v>1</v>
      </c>
      <c r="AB213" s="11">
        <f t="shared" si="643"/>
        <v>1</v>
      </c>
      <c r="AC213" s="11">
        <f t="shared" si="8"/>
        <v>7</v>
      </c>
      <c r="AD213" s="11">
        <f t="shared" si="9"/>
        <v>1</v>
      </c>
      <c r="AE213" s="11">
        <f t="shared" ref="AE213:AH213" si="644">IF(OR(BD213 = $AO$6, BD213 = $AS$6, BD213 = $AT$6, BD213 = $AU$6), 1, 0)</f>
        <v>1</v>
      </c>
      <c r="AF213" s="11">
        <f t="shared" si="644"/>
        <v>1</v>
      </c>
      <c r="AG213" s="11">
        <f t="shared" si="644"/>
        <v>1</v>
      </c>
      <c r="AH213" s="11">
        <f t="shared" si="644"/>
        <v>1</v>
      </c>
      <c r="AI213" s="11">
        <f t="shared" si="11"/>
        <v>4</v>
      </c>
      <c r="AJ213" s="11">
        <f t="shared" si="12"/>
        <v>12</v>
      </c>
      <c r="AK213" s="12">
        <f t="shared" si="13"/>
        <v>5</v>
      </c>
      <c r="AL213" s="13" t="str">
        <f t="shared" si="14"/>
        <v>excellent</v>
      </c>
      <c r="AM213" s="7"/>
      <c r="AN213" s="7"/>
    </row>
    <row r="214">
      <c r="A214" s="7" t="s">
        <v>448</v>
      </c>
      <c r="B214" s="7" t="s">
        <v>449</v>
      </c>
      <c r="C214" s="8" t="s">
        <v>413</v>
      </c>
      <c r="D214" s="7" t="s">
        <v>102</v>
      </c>
      <c r="E214" s="8" t="b">
        <f t="shared" ref="E214:K214" si="645">IF(IFERROR(SEARCH(E$1, $D214),0) &gt;= 1, TRUE,FALSE)</f>
        <v>1</v>
      </c>
      <c r="F214" s="8" t="b">
        <f t="shared" si="645"/>
        <v>0</v>
      </c>
      <c r="G214" s="8" t="b">
        <f t="shared" si="645"/>
        <v>0</v>
      </c>
      <c r="H214" s="8" t="b">
        <f t="shared" si="645"/>
        <v>0</v>
      </c>
      <c r="I214" s="8" t="b">
        <f t="shared" si="645"/>
        <v>0</v>
      </c>
      <c r="J214" s="8" t="b">
        <f t="shared" si="645"/>
        <v>1</v>
      </c>
      <c r="K214" s="8" t="b">
        <f t="shared" si="645"/>
        <v>0</v>
      </c>
      <c r="L214" s="9" t="b">
        <v>1</v>
      </c>
      <c r="M214" s="9" t="b">
        <v>0</v>
      </c>
      <c r="N214" s="9" t="b">
        <v>0</v>
      </c>
      <c r="O214" s="9" t="b">
        <v>0</v>
      </c>
      <c r="P214" s="7" t="str">
        <f t="shared" si="5"/>
        <v>MigratieMuseum</v>
      </c>
      <c r="Q214" s="10">
        <v>8.0</v>
      </c>
      <c r="R214" s="9" t="b">
        <v>0</v>
      </c>
      <c r="S214" s="9" t="b">
        <v>0</v>
      </c>
      <c r="T214" s="7"/>
      <c r="U214" s="11">
        <f t="shared" si="6"/>
        <v>0</v>
      </c>
      <c r="V214" s="11">
        <f t="shared" ref="V214:AB214" si="646">IF(OR(AW214 = $AO$4, AW214 = $AQ$4), 1, 0)</f>
        <v>1</v>
      </c>
      <c r="W214" s="11">
        <f t="shared" si="646"/>
        <v>1</v>
      </c>
      <c r="X214" s="11">
        <f t="shared" si="646"/>
        <v>1</v>
      </c>
      <c r="Y214" s="11">
        <f t="shared" si="646"/>
        <v>1</v>
      </c>
      <c r="Z214" s="11">
        <f t="shared" si="646"/>
        <v>1</v>
      </c>
      <c r="AA214" s="11">
        <f t="shared" si="646"/>
        <v>1</v>
      </c>
      <c r="AB214" s="11">
        <f t="shared" si="646"/>
        <v>1</v>
      </c>
      <c r="AC214" s="11">
        <f t="shared" si="8"/>
        <v>7</v>
      </c>
      <c r="AD214" s="11">
        <f t="shared" si="9"/>
        <v>1</v>
      </c>
      <c r="AE214" s="11">
        <f t="shared" ref="AE214:AH214" si="647">IF(OR(BD214 = $AO$6, BD214 = $AS$6, BD214 = $AT$6, BD214 = $AU$6), 1, 0)</f>
        <v>1</v>
      </c>
      <c r="AF214" s="11">
        <f t="shared" si="647"/>
        <v>1</v>
      </c>
      <c r="AG214" s="11">
        <f t="shared" si="647"/>
        <v>1</v>
      </c>
      <c r="AH214" s="11">
        <f t="shared" si="647"/>
        <v>1</v>
      </c>
      <c r="AI214" s="11">
        <f t="shared" si="11"/>
        <v>4</v>
      </c>
      <c r="AJ214" s="11">
        <f t="shared" si="12"/>
        <v>12</v>
      </c>
      <c r="AK214" s="12">
        <f t="shared" si="13"/>
        <v>5</v>
      </c>
      <c r="AL214" s="13" t="str">
        <f t="shared" si="14"/>
        <v>excellent</v>
      </c>
      <c r="AM214" s="7"/>
      <c r="AN214" s="7"/>
    </row>
    <row r="215">
      <c r="A215" s="7" t="s">
        <v>450</v>
      </c>
      <c r="B215" s="7" t="s">
        <v>451</v>
      </c>
      <c r="C215" s="8" t="s">
        <v>413</v>
      </c>
      <c r="D215" s="7" t="s">
        <v>151</v>
      </c>
      <c r="E215" s="8" t="b">
        <f t="shared" ref="E215:K215" si="648">IF(IFERROR(SEARCH(E$1, $D215),0) &gt;= 1, TRUE,FALSE)</f>
        <v>1</v>
      </c>
      <c r="F215" s="8" t="b">
        <f t="shared" si="648"/>
        <v>0</v>
      </c>
      <c r="G215" s="8" t="b">
        <f t="shared" si="648"/>
        <v>0</v>
      </c>
      <c r="H215" s="8" t="b">
        <f t="shared" si="648"/>
        <v>0</v>
      </c>
      <c r="I215" s="8" t="b">
        <f t="shared" si="648"/>
        <v>1</v>
      </c>
      <c r="J215" s="8" t="b">
        <f t="shared" si="648"/>
        <v>0</v>
      </c>
      <c r="K215" s="8" t="b">
        <f t="shared" si="648"/>
        <v>0</v>
      </c>
      <c r="L215" s="9" t="b">
        <v>1</v>
      </c>
      <c r="M215" s="9" t="b">
        <v>1</v>
      </c>
      <c r="N215" s="9" t="b">
        <v>0</v>
      </c>
      <c r="O215" s="9" t="b">
        <v>1</v>
      </c>
      <c r="P215" s="7" t="str">
        <f t="shared" si="5"/>
        <v>muziekinstrumentenmuseum</v>
      </c>
      <c r="Q215" s="10">
        <v>15.0</v>
      </c>
      <c r="R215" s="9" t="b">
        <v>0</v>
      </c>
      <c r="S215" s="9" t="b">
        <v>0</v>
      </c>
      <c r="T215" s="7"/>
      <c r="U215" s="11">
        <f t="shared" si="6"/>
        <v>0</v>
      </c>
      <c r="V215" s="11">
        <f t="shared" ref="V215:AB215" si="649">IF(OR(AW215 = $AO$4, AW215 = $AQ$4), 1, 0)</f>
        <v>1</v>
      </c>
      <c r="W215" s="11">
        <f t="shared" si="649"/>
        <v>1</v>
      </c>
      <c r="X215" s="11">
        <f t="shared" si="649"/>
        <v>1</v>
      </c>
      <c r="Y215" s="11">
        <f t="shared" si="649"/>
        <v>1</v>
      </c>
      <c r="Z215" s="11">
        <f t="shared" si="649"/>
        <v>1</v>
      </c>
      <c r="AA215" s="11">
        <f t="shared" si="649"/>
        <v>1</v>
      </c>
      <c r="AB215" s="11">
        <f t="shared" si="649"/>
        <v>1</v>
      </c>
      <c r="AC215" s="11">
        <f t="shared" si="8"/>
        <v>7</v>
      </c>
      <c r="AD215" s="11">
        <f t="shared" si="9"/>
        <v>1</v>
      </c>
      <c r="AE215" s="11">
        <f t="shared" ref="AE215:AH215" si="650">IF(OR(BD215 = $AO$6, BD215 = $AS$6, BD215 = $AT$6, BD215 = $AU$6), 1, 0)</f>
        <v>1</v>
      </c>
      <c r="AF215" s="11">
        <f t="shared" si="650"/>
        <v>1</v>
      </c>
      <c r="AG215" s="11">
        <f t="shared" si="650"/>
        <v>1</v>
      </c>
      <c r="AH215" s="11">
        <f t="shared" si="650"/>
        <v>1</v>
      </c>
      <c r="AI215" s="11">
        <f t="shared" si="11"/>
        <v>4</v>
      </c>
      <c r="AJ215" s="11">
        <f t="shared" si="12"/>
        <v>12</v>
      </c>
      <c r="AK215" s="12">
        <f t="shared" si="13"/>
        <v>5</v>
      </c>
      <c r="AL215" s="13" t="str">
        <f t="shared" si="14"/>
        <v>excellent</v>
      </c>
      <c r="AM215" s="7"/>
      <c r="AN215" s="7"/>
    </row>
    <row r="216">
      <c r="A216" s="7" t="s">
        <v>452</v>
      </c>
      <c r="B216" s="7" t="s">
        <v>453</v>
      </c>
      <c r="C216" s="8" t="s">
        <v>413</v>
      </c>
      <c r="D216" s="7" t="s">
        <v>4</v>
      </c>
      <c r="E216" s="8" t="b">
        <f t="shared" ref="E216:K216" si="651">IF(IFERROR(SEARCH(E$1, $D216),0) &gt;= 1, TRUE,FALSE)</f>
        <v>1</v>
      </c>
      <c r="F216" s="8" t="b">
        <f t="shared" si="651"/>
        <v>0</v>
      </c>
      <c r="G216" s="8" t="b">
        <f t="shared" si="651"/>
        <v>0</v>
      </c>
      <c r="H216" s="8" t="b">
        <f t="shared" si="651"/>
        <v>0</v>
      </c>
      <c r="I216" s="8" t="b">
        <f t="shared" si="651"/>
        <v>0</v>
      </c>
      <c r="J216" s="8" t="b">
        <f t="shared" si="651"/>
        <v>0</v>
      </c>
      <c r="K216" s="8" t="b">
        <f t="shared" si="651"/>
        <v>0</v>
      </c>
      <c r="L216" s="9" t="b">
        <v>0</v>
      </c>
      <c r="M216" s="9" t="b">
        <v>0</v>
      </c>
      <c r="N216" s="9" t="b">
        <v>1</v>
      </c>
      <c r="O216" s="9" t="b">
        <v>0</v>
      </c>
      <c r="P216" s="7" t="str">
        <f t="shared" si="5"/>
        <v>Gemeentelijk Museum van Sint-Jans-Molenbeek</v>
      </c>
      <c r="Q216" s="10">
        <v>5.0</v>
      </c>
      <c r="R216" s="9" t="b">
        <v>0</v>
      </c>
      <c r="S216" s="9" t="b">
        <v>0</v>
      </c>
      <c r="T216" s="7"/>
      <c r="U216" s="11">
        <f t="shared" si="6"/>
        <v>0</v>
      </c>
      <c r="V216" s="11">
        <f t="shared" ref="V216:AB216" si="652">IF(OR(AW216 = $AO$4, AW216 = $AQ$4), 1, 0)</f>
        <v>1</v>
      </c>
      <c r="W216" s="11">
        <f t="shared" si="652"/>
        <v>1</v>
      </c>
      <c r="X216" s="11">
        <f t="shared" si="652"/>
        <v>1</v>
      </c>
      <c r="Y216" s="11">
        <f t="shared" si="652"/>
        <v>1</v>
      </c>
      <c r="Z216" s="11">
        <f t="shared" si="652"/>
        <v>1</v>
      </c>
      <c r="AA216" s="11">
        <f t="shared" si="652"/>
        <v>1</v>
      </c>
      <c r="AB216" s="11">
        <f t="shared" si="652"/>
        <v>1</v>
      </c>
      <c r="AC216" s="11">
        <f t="shared" si="8"/>
        <v>7</v>
      </c>
      <c r="AD216" s="11">
        <f t="shared" si="9"/>
        <v>1</v>
      </c>
      <c r="AE216" s="11">
        <f t="shared" ref="AE216:AH216" si="653">IF(OR(BD216 = $AO$6, BD216 = $AS$6, BD216 = $AT$6, BD216 = $AU$6), 1, 0)</f>
        <v>1</v>
      </c>
      <c r="AF216" s="11">
        <f t="shared" si="653"/>
        <v>1</v>
      </c>
      <c r="AG216" s="11">
        <f t="shared" si="653"/>
        <v>1</v>
      </c>
      <c r="AH216" s="11">
        <f t="shared" si="653"/>
        <v>1</v>
      </c>
      <c r="AI216" s="11">
        <f t="shared" si="11"/>
        <v>4</v>
      </c>
      <c r="AJ216" s="11">
        <f t="shared" si="12"/>
        <v>12</v>
      </c>
      <c r="AK216" s="12">
        <f t="shared" si="13"/>
        <v>5</v>
      </c>
      <c r="AL216" s="13" t="str">
        <f t="shared" si="14"/>
        <v>excellent</v>
      </c>
      <c r="AM216" s="7"/>
      <c r="AN216" s="7"/>
    </row>
    <row r="217">
      <c r="A217" s="7" t="s">
        <v>454</v>
      </c>
      <c r="B217" s="7" t="s">
        <v>455</v>
      </c>
      <c r="C217" s="8" t="s">
        <v>413</v>
      </c>
      <c r="D217" s="7" t="s">
        <v>4</v>
      </c>
      <c r="E217" s="8" t="b">
        <f t="shared" ref="E217:K217" si="654">IF(IFERROR(SEARCH(E$1, $D217),0) &gt;= 1, TRUE,FALSE)</f>
        <v>1</v>
      </c>
      <c r="F217" s="8" t="b">
        <f t="shared" si="654"/>
        <v>0</v>
      </c>
      <c r="G217" s="8" t="b">
        <f t="shared" si="654"/>
        <v>0</v>
      </c>
      <c r="H217" s="8" t="b">
        <f t="shared" si="654"/>
        <v>0</v>
      </c>
      <c r="I217" s="8" t="b">
        <f t="shared" si="654"/>
        <v>0</v>
      </c>
      <c r="J217" s="8" t="b">
        <f t="shared" si="654"/>
        <v>0</v>
      </c>
      <c r="K217" s="8" t="b">
        <f t="shared" si="654"/>
        <v>0</v>
      </c>
      <c r="L217" s="9" t="b">
        <v>1</v>
      </c>
      <c r="M217" s="9" t="b">
        <v>1</v>
      </c>
      <c r="N217" s="9" t="b">
        <v>1</v>
      </c>
      <c r="O217" s="9" t="b">
        <v>1</v>
      </c>
      <c r="P217" s="7" t="str">
        <f t="shared" si="5"/>
        <v>Museum Kunst &amp; Geschiedenis</v>
      </c>
      <c r="Q217" s="10">
        <v>10.0</v>
      </c>
      <c r="R217" s="9" t="b">
        <v>0</v>
      </c>
      <c r="S217" s="9" t="b">
        <v>0</v>
      </c>
      <c r="T217" s="7"/>
      <c r="U217" s="11">
        <f t="shared" si="6"/>
        <v>0</v>
      </c>
      <c r="V217" s="11">
        <f t="shared" ref="V217:AB217" si="655">IF(OR(AW217 = $AO$4, AW217 = $AQ$4), 1, 0)</f>
        <v>1</v>
      </c>
      <c r="W217" s="11">
        <f t="shared" si="655"/>
        <v>1</v>
      </c>
      <c r="X217" s="11">
        <f t="shared" si="655"/>
        <v>1</v>
      </c>
      <c r="Y217" s="11">
        <f t="shared" si="655"/>
        <v>1</v>
      </c>
      <c r="Z217" s="11">
        <f t="shared" si="655"/>
        <v>1</v>
      </c>
      <c r="AA217" s="11">
        <f t="shared" si="655"/>
        <v>1</v>
      </c>
      <c r="AB217" s="11">
        <f t="shared" si="655"/>
        <v>1</v>
      </c>
      <c r="AC217" s="11">
        <f t="shared" si="8"/>
        <v>7</v>
      </c>
      <c r="AD217" s="11">
        <f t="shared" si="9"/>
        <v>1</v>
      </c>
      <c r="AE217" s="11">
        <f t="shared" ref="AE217:AH217" si="656">IF(OR(BD217 = $AO$6, BD217 = $AS$6, BD217 = $AT$6, BD217 = $AU$6), 1, 0)</f>
        <v>1</v>
      </c>
      <c r="AF217" s="11">
        <f t="shared" si="656"/>
        <v>1</v>
      </c>
      <c r="AG217" s="11">
        <f t="shared" si="656"/>
        <v>1</v>
      </c>
      <c r="AH217" s="11">
        <f t="shared" si="656"/>
        <v>1</v>
      </c>
      <c r="AI217" s="11">
        <f t="shared" si="11"/>
        <v>4</v>
      </c>
      <c r="AJ217" s="11">
        <f t="shared" si="12"/>
        <v>12</v>
      </c>
      <c r="AK217" s="12">
        <f t="shared" si="13"/>
        <v>5</v>
      </c>
      <c r="AL217" s="13" t="str">
        <f t="shared" si="14"/>
        <v>excellent</v>
      </c>
      <c r="AM217" s="7"/>
      <c r="AN217" s="7"/>
    </row>
    <row r="218">
      <c r="A218" s="7" t="s">
        <v>456</v>
      </c>
      <c r="B218" s="7" t="s">
        <v>457</v>
      </c>
      <c r="C218" s="8" t="s">
        <v>413</v>
      </c>
      <c r="D218" s="7" t="s">
        <v>75</v>
      </c>
      <c r="E218" s="8" t="b">
        <f t="shared" ref="E218:K218" si="657">IF(IFERROR(SEARCH(E$1, $D218),0) &gt;= 1, TRUE,FALSE)</f>
        <v>1</v>
      </c>
      <c r="F218" s="8" t="b">
        <f t="shared" si="657"/>
        <v>0</v>
      </c>
      <c r="G218" s="8" t="b">
        <f t="shared" si="657"/>
        <v>0</v>
      </c>
      <c r="H218" s="8" t="b">
        <f t="shared" si="657"/>
        <v>0</v>
      </c>
      <c r="I218" s="8" t="b">
        <f t="shared" si="657"/>
        <v>1</v>
      </c>
      <c r="J218" s="8" t="b">
        <f t="shared" si="657"/>
        <v>1</v>
      </c>
      <c r="K218" s="8" t="b">
        <f t="shared" si="657"/>
        <v>1</v>
      </c>
      <c r="L218" s="9" t="b">
        <v>1</v>
      </c>
      <c r="M218" s="9" t="b">
        <v>0</v>
      </c>
      <c r="N218" s="9" t="b">
        <v>0</v>
      </c>
      <c r="O218" s="9" t="b">
        <v>0</v>
      </c>
      <c r="P218" s="7" t="str">
        <f t="shared" si="5"/>
        <v>Belgisch Museum van de Vrijmetselarij</v>
      </c>
      <c r="Q218" s="10">
        <v>10.0</v>
      </c>
      <c r="R218" s="9" t="b">
        <v>0</v>
      </c>
      <c r="S218" s="9" t="b">
        <v>1</v>
      </c>
      <c r="T218" s="10">
        <v>10.0</v>
      </c>
      <c r="U218" s="11">
        <f t="shared" si="6"/>
        <v>0</v>
      </c>
      <c r="V218" s="11">
        <f t="shared" ref="V218:AB218" si="658">IF(OR(AW218 = $AO$4, AW218 = $AQ$4), 1, 0)</f>
        <v>1</v>
      </c>
      <c r="W218" s="11">
        <f t="shared" si="658"/>
        <v>1</v>
      </c>
      <c r="X218" s="11">
        <f t="shared" si="658"/>
        <v>1</v>
      </c>
      <c r="Y218" s="11">
        <f t="shared" si="658"/>
        <v>1</v>
      </c>
      <c r="Z218" s="11">
        <f t="shared" si="658"/>
        <v>1</v>
      </c>
      <c r="AA218" s="11">
        <f t="shared" si="658"/>
        <v>1</v>
      </c>
      <c r="AB218" s="11">
        <f t="shared" si="658"/>
        <v>1</v>
      </c>
      <c r="AC218" s="11">
        <f t="shared" si="8"/>
        <v>7</v>
      </c>
      <c r="AD218" s="11">
        <f t="shared" si="9"/>
        <v>1</v>
      </c>
      <c r="AE218" s="11">
        <f t="shared" ref="AE218:AH218" si="659">IF(OR(BD218 = $AO$6, BD218 = $AS$6, BD218 = $AT$6, BD218 = $AU$6), 1, 0)</f>
        <v>1</v>
      </c>
      <c r="AF218" s="11">
        <f t="shared" si="659"/>
        <v>1</v>
      </c>
      <c r="AG218" s="11">
        <f t="shared" si="659"/>
        <v>1</v>
      </c>
      <c r="AH218" s="11">
        <f t="shared" si="659"/>
        <v>1</v>
      </c>
      <c r="AI218" s="11">
        <f t="shared" si="11"/>
        <v>4</v>
      </c>
      <c r="AJ218" s="11">
        <f t="shared" si="12"/>
        <v>12</v>
      </c>
      <c r="AK218" s="12">
        <f t="shared" si="13"/>
        <v>5</v>
      </c>
      <c r="AL218" s="13" t="str">
        <f t="shared" si="14"/>
        <v>excellent</v>
      </c>
      <c r="AM218" s="7"/>
      <c r="AN218" s="7"/>
    </row>
    <row r="219">
      <c r="A219" s="7" t="s">
        <v>458</v>
      </c>
      <c r="B219" s="7" t="s">
        <v>459</v>
      </c>
      <c r="C219" s="8" t="s">
        <v>413</v>
      </c>
      <c r="D219" s="7" t="s">
        <v>4</v>
      </c>
      <c r="E219" s="8" t="b">
        <f t="shared" ref="E219:K219" si="660">IF(IFERROR(SEARCH(E$1, $D219),0) &gt;= 1, TRUE,FALSE)</f>
        <v>1</v>
      </c>
      <c r="F219" s="8" t="b">
        <f t="shared" si="660"/>
        <v>0</v>
      </c>
      <c r="G219" s="8" t="b">
        <f t="shared" si="660"/>
        <v>0</v>
      </c>
      <c r="H219" s="8" t="b">
        <f t="shared" si="660"/>
        <v>0</v>
      </c>
      <c r="I219" s="8" t="b">
        <f t="shared" si="660"/>
        <v>0</v>
      </c>
      <c r="J219" s="8" t="b">
        <f t="shared" si="660"/>
        <v>0</v>
      </c>
      <c r="K219" s="8" t="b">
        <f t="shared" si="660"/>
        <v>0</v>
      </c>
      <c r="L219" s="9" t="b">
        <v>1</v>
      </c>
      <c r="M219" s="9" t="b">
        <v>1</v>
      </c>
      <c r="N219" s="9" t="b">
        <v>0</v>
      </c>
      <c r="O219" s="9" t="b">
        <v>1</v>
      </c>
      <c r="P219" s="7" t="str">
        <f t="shared" si="5"/>
        <v>BELvue museum</v>
      </c>
      <c r="Q219" s="10">
        <v>10.0</v>
      </c>
      <c r="R219" s="9" t="b">
        <v>0</v>
      </c>
      <c r="S219" s="9" t="b">
        <v>1</v>
      </c>
      <c r="T219" s="10">
        <v>0.0</v>
      </c>
      <c r="U219" s="11">
        <f t="shared" si="6"/>
        <v>0</v>
      </c>
      <c r="V219" s="11">
        <f t="shared" ref="V219:AB219" si="661">IF(OR(AW219 = $AO$4, AW219 = $AQ$4), 1, 0)</f>
        <v>1</v>
      </c>
      <c r="W219" s="11">
        <f t="shared" si="661"/>
        <v>1</v>
      </c>
      <c r="X219" s="11">
        <f t="shared" si="661"/>
        <v>1</v>
      </c>
      <c r="Y219" s="11">
        <f t="shared" si="661"/>
        <v>1</v>
      </c>
      <c r="Z219" s="11">
        <f t="shared" si="661"/>
        <v>1</v>
      </c>
      <c r="AA219" s="11">
        <f t="shared" si="661"/>
        <v>1</v>
      </c>
      <c r="AB219" s="11">
        <f t="shared" si="661"/>
        <v>1</v>
      </c>
      <c r="AC219" s="11">
        <f t="shared" si="8"/>
        <v>7</v>
      </c>
      <c r="AD219" s="11">
        <f t="shared" si="9"/>
        <v>1</v>
      </c>
      <c r="AE219" s="11">
        <f t="shared" ref="AE219:AH219" si="662">IF(OR(BD219 = $AO$6, BD219 = $AS$6, BD219 = $AT$6, BD219 = $AU$6), 1, 0)</f>
        <v>1</v>
      </c>
      <c r="AF219" s="11">
        <f t="shared" si="662"/>
        <v>1</v>
      </c>
      <c r="AG219" s="11">
        <f t="shared" si="662"/>
        <v>1</v>
      </c>
      <c r="AH219" s="11">
        <f t="shared" si="662"/>
        <v>1</v>
      </c>
      <c r="AI219" s="11">
        <f t="shared" si="11"/>
        <v>4</v>
      </c>
      <c r="AJ219" s="11">
        <f t="shared" si="12"/>
        <v>12</v>
      </c>
      <c r="AK219" s="12">
        <f t="shared" si="13"/>
        <v>5</v>
      </c>
      <c r="AL219" s="13" t="str">
        <f t="shared" si="14"/>
        <v>excellent</v>
      </c>
      <c r="AM219" s="7"/>
      <c r="AN219" s="7"/>
    </row>
    <row r="220">
      <c r="A220" s="7" t="s">
        <v>460</v>
      </c>
      <c r="B220" s="7" t="s">
        <v>461</v>
      </c>
      <c r="C220" s="8" t="s">
        <v>413</v>
      </c>
      <c r="D220" s="7" t="s">
        <v>4</v>
      </c>
      <c r="E220" s="8" t="b">
        <f t="shared" ref="E220:K220" si="663">IF(IFERROR(SEARCH(E$1, $D220),0) &gt;= 1, TRUE,FALSE)</f>
        <v>1</v>
      </c>
      <c r="F220" s="8" t="b">
        <f t="shared" si="663"/>
        <v>0</v>
      </c>
      <c r="G220" s="8" t="b">
        <f t="shared" si="663"/>
        <v>0</v>
      </c>
      <c r="H220" s="8" t="b">
        <f t="shared" si="663"/>
        <v>0</v>
      </c>
      <c r="I220" s="8" t="b">
        <f t="shared" si="663"/>
        <v>0</v>
      </c>
      <c r="J220" s="8" t="b">
        <f t="shared" si="663"/>
        <v>0</v>
      </c>
      <c r="K220" s="8" t="b">
        <f t="shared" si="663"/>
        <v>0</v>
      </c>
      <c r="L220" s="9" t="b">
        <v>1</v>
      </c>
      <c r="M220" s="9" t="b">
        <v>0</v>
      </c>
      <c r="N220" s="9" t="b">
        <v>0</v>
      </c>
      <c r="O220" s="9" t="b">
        <v>0</v>
      </c>
      <c r="P220" s="7" t="str">
        <f t="shared" si="5"/>
        <v>Brussels Museum van de Molen en de Voeding</v>
      </c>
      <c r="Q220" s="10">
        <v>5.0</v>
      </c>
      <c r="R220" s="9" t="b">
        <v>0</v>
      </c>
      <c r="S220" s="9" t="b">
        <v>1</v>
      </c>
      <c r="T220" s="10">
        <v>4.0</v>
      </c>
      <c r="U220" s="11">
        <f t="shared" si="6"/>
        <v>0</v>
      </c>
      <c r="V220" s="11">
        <f t="shared" ref="V220:AB220" si="664">IF(OR(AW220 = $AO$4, AW220 = $AQ$4), 1, 0)</f>
        <v>1</v>
      </c>
      <c r="W220" s="11">
        <f t="shared" si="664"/>
        <v>1</v>
      </c>
      <c r="X220" s="11">
        <f t="shared" si="664"/>
        <v>1</v>
      </c>
      <c r="Y220" s="11">
        <f t="shared" si="664"/>
        <v>1</v>
      </c>
      <c r="Z220" s="11">
        <f t="shared" si="664"/>
        <v>1</v>
      </c>
      <c r="AA220" s="11">
        <f t="shared" si="664"/>
        <v>1</v>
      </c>
      <c r="AB220" s="11">
        <f t="shared" si="664"/>
        <v>1</v>
      </c>
      <c r="AC220" s="11">
        <f t="shared" si="8"/>
        <v>7</v>
      </c>
      <c r="AD220" s="11">
        <f t="shared" si="9"/>
        <v>1</v>
      </c>
      <c r="AE220" s="11">
        <f t="shared" ref="AE220:AH220" si="665">IF(OR(BD220 = $AO$6, BD220 = $AS$6, BD220 = $AT$6, BD220 = $AU$6), 1, 0)</f>
        <v>1</v>
      </c>
      <c r="AF220" s="11">
        <f t="shared" si="665"/>
        <v>1</v>
      </c>
      <c r="AG220" s="11">
        <f t="shared" si="665"/>
        <v>1</v>
      </c>
      <c r="AH220" s="11">
        <f t="shared" si="665"/>
        <v>1</v>
      </c>
      <c r="AI220" s="11">
        <f t="shared" si="11"/>
        <v>4</v>
      </c>
      <c r="AJ220" s="11">
        <f t="shared" si="12"/>
        <v>12</v>
      </c>
      <c r="AK220" s="12">
        <f t="shared" si="13"/>
        <v>5</v>
      </c>
      <c r="AL220" s="13" t="str">
        <f t="shared" si="14"/>
        <v>excellent</v>
      </c>
      <c r="AM220" s="7"/>
      <c r="AN220" s="7"/>
    </row>
    <row r="221">
      <c r="A221" s="7" t="s">
        <v>462</v>
      </c>
      <c r="B221" s="7" t="s">
        <v>463</v>
      </c>
      <c r="C221" s="8" t="s">
        <v>413</v>
      </c>
      <c r="D221" s="7" t="s">
        <v>9</v>
      </c>
      <c r="E221" s="8" t="b">
        <f t="shared" ref="E221:K221" si="666">IF(IFERROR(SEARCH(E$1, $D221),0) &gt;= 1, TRUE,FALSE)</f>
        <v>0</v>
      </c>
      <c r="F221" s="8" t="b">
        <f t="shared" si="666"/>
        <v>0</v>
      </c>
      <c r="G221" s="8" t="b">
        <f t="shared" si="666"/>
        <v>0</v>
      </c>
      <c r="H221" s="8" t="b">
        <f t="shared" si="666"/>
        <v>0</v>
      </c>
      <c r="I221" s="8" t="b">
        <f t="shared" si="666"/>
        <v>0</v>
      </c>
      <c r="J221" s="8" t="b">
        <f t="shared" si="666"/>
        <v>1</v>
      </c>
      <c r="K221" s="8" t="b">
        <f t="shared" si="666"/>
        <v>0</v>
      </c>
      <c r="L221" s="9" t="b">
        <v>1</v>
      </c>
      <c r="M221" s="9" t="b">
        <v>0</v>
      </c>
      <c r="N221" s="9" t="b">
        <v>0</v>
      </c>
      <c r="O221" s="9" t="b">
        <v>0</v>
      </c>
      <c r="P221" s="7" t="str">
        <f t="shared" si="5"/>
        <v>Charlier Museum</v>
      </c>
      <c r="Q221" s="10">
        <v>9.0</v>
      </c>
      <c r="R221" s="9" t="b">
        <v>0</v>
      </c>
      <c r="S221" s="9" t="b">
        <v>0</v>
      </c>
      <c r="T221" s="7"/>
      <c r="U221" s="11">
        <f t="shared" si="6"/>
        <v>0</v>
      </c>
      <c r="V221" s="11">
        <f t="shared" ref="V221:AB221" si="667">IF(OR(AW221 = $AO$4, AW221 = $AQ$4), 1, 0)</f>
        <v>1</v>
      </c>
      <c r="W221" s="11">
        <f t="shared" si="667"/>
        <v>1</v>
      </c>
      <c r="X221" s="11">
        <f t="shared" si="667"/>
        <v>1</v>
      </c>
      <c r="Y221" s="11">
        <f t="shared" si="667"/>
        <v>1</v>
      </c>
      <c r="Z221" s="11">
        <f t="shared" si="667"/>
        <v>1</v>
      </c>
      <c r="AA221" s="11">
        <f t="shared" si="667"/>
        <v>1</v>
      </c>
      <c r="AB221" s="11">
        <f t="shared" si="667"/>
        <v>1</v>
      </c>
      <c r="AC221" s="11">
        <f t="shared" si="8"/>
        <v>7</v>
      </c>
      <c r="AD221" s="11">
        <f t="shared" si="9"/>
        <v>1</v>
      </c>
      <c r="AE221" s="11">
        <f t="shared" ref="AE221:AH221" si="668">IF(OR(BD221 = $AO$6, BD221 = $AS$6, BD221 = $AT$6, BD221 = $AU$6), 1, 0)</f>
        <v>1</v>
      </c>
      <c r="AF221" s="11">
        <f t="shared" si="668"/>
        <v>1</v>
      </c>
      <c r="AG221" s="11">
        <f t="shared" si="668"/>
        <v>1</v>
      </c>
      <c r="AH221" s="11">
        <f t="shared" si="668"/>
        <v>1</v>
      </c>
      <c r="AI221" s="11">
        <f t="shared" si="11"/>
        <v>4</v>
      </c>
      <c r="AJ221" s="11">
        <f t="shared" si="12"/>
        <v>12</v>
      </c>
      <c r="AK221" s="12">
        <f t="shared" si="13"/>
        <v>5</v>
      </c>
      <c r="AL221" s="13" t="str">
        <f t="shared" si="14"/>
        <v>excellent</v>
      </c>
      <c r="AM221" s="7"/>
      <c r="AN221" s="7"/>
    </row>
    <row r="222">
      <c r="A222" s="7" t="s">
        <v>464</v>
      </c>
      <c r="B222" s="7" t="s">
        <v>465</v>
      </c>
      <c r="C222" s="8" t="s">
        <v>413</v>
      </c>
      <c r="D222" s="7" t="s">
        <v>9</v>
      </c>
      <c r="E222" s="8" t="b">
        <f t="shared" ref="E222:K222" si="669">IF(IFERROR(SEARCH(E$1, $D222),0) &gt;= 1, TRUE,FALSE)</f>
        <v>0</v>
      </c>
      <c r="F222" s="8" t="b">
        <f t="shared" si="669"/>
        <v>0</v>
      </c>
      <c r="G222" s="8" t="b">
        <f t="shared" si="669"/>
        <v>0</v>
      </c>
      <c r="H222" s="8" t="b">
        <f t="shared" si="669"/>
        <v>0</v>
      </c>
      <c r="I222" s="8" t="b">
        <f t="shared" si="669"/>
        <v>0</v>
      </c>
      <c r="J222" s="8" t="b">
        <f t="shared" si="669"/>
        <v>1</v>
      </c>
      <c r="K222" s="8" t="b">
        <f t="shared" si="669"/>
        <v>0</v>
      </c>
      <c r="L222" s="9" t="b">
        <v>1</v>
      </c>
      <c r="M222" s="9" t="b">
        <v>0</v>
      </c>
      <c r="N222" s="9" t="b">
        <v>0</v>
      </c>
      <c r="O222" s="9" t="b">
        <v>0</v>
      </c>
      <c r="P222" s="7" t="str">
        <f t="shared" si="5"/>
        <v>Museum voor Spontane Kunst</v>
      </c>
      <c r="Q222" s="10">
        <v>4.0</v>
      </c>
      <c r="R222" s="9" t="b">
        <v>0</v>
      </c>
      <c r="S222" s="9" t="b">
        <v>0</v>
      </c>
      <c r="T222" s="7"/>
      <c r="U222" s="11">
        <f t="shared" si="6"/>
        <v>0</v>
      </c>
      <c r="V222" s="11">
        <f t="shared" ref="V222:AB222" si="670">IF(OR(AW222 = $AO$4, AW222 = $AQ$4), 1, 0)</f>
        <v>1</v>
      </c>
      <c r="W222" s="11">
        <f t="shared" si="670"/>
        <v>1</v>
      </c>
      <c r="X222" s="11">
        <f t="shared" si="670"/>
        <v>1</v>
      </c>
      <c r="Y222" s="11">
        <f t="shared" si="670"/>
        <v>1</v>
      </c>
      <c r="Z222" s="11">
        <f t="shared" si="670"/>
        <v>1</v>
      </c>
      <c r="AA222" s="11">
        <f t="shared" si="670"/>
        <v>1</v>
      </c>
      <c r="AB222" s="11">
        <f t="shared" si="670"/>
        <v>1</v>
      </c>
      <c r="AC222" s="11">
        <f t="shared" si="8"/>
        <v>7</v>
      </c>
      <c r="AD222" s="11">
        <f t="shared" si="9"/>
        <v>1</v>
      </c>
      <c r="AE222" s="11">
        <f t="shared" ref="AE222:AH222" si="671">IF(OR(BD222 = $AO$6, BD222 = $AS$6, BD222 = $AT$6, BD222 = $AU$6), 1, 0)</f>
        <v>1</v>
      </c>
      <c r="AF222" s="11">
        <f t="shared" si="671"/>
        <v>1</v>
      </c>
      <c r="AG222" s="11">
        <f t="shared" si="671"/>
        <v>1</v>
      </c>
      <c r="AH222" s="11">
        <f t="shared" si="671"/>
        <v>1</v>
      </c>
      <c r="AI222" s="11">
        <f t="shared" si="11"/>
        <v>4</v>
      </c>
      <c r="AJ222" s="11">
        <f t="shared" si="12"/>
        <v>12</v>
      </c>
      <c r="AK222" s="12">
        <f t="shared" si="13"/>
        <v>5</v>
      </c>
      <c r="AL222" s="13" t="str">
        <f t="shared" si="14"/>
        <v>excellent</v>
      </c>
      <c r="AM222" s="7"/>
      <c r="AN222" s="7"/>
    </row>
    <row r="223">
      <c r="A223" s="7" t="s">
        <v>466</v>
      </c>
      <c r="B223" s="7" t="s">
        <v>467</v>
      </c>
      <c r="C223" s="8" t="s">
        <v>413</v>
      </c>
      <c r="D223" s="7" t="s">
        <v>114</v>
      </c>
      <c r="E223" s="8" t="b">
        <f t="shared" ref="E223:K223" si="672">IF(IFERROR(SEARCH(E$1, $D223),0) &gt;= 1, TRUE,FALSE)</f>
        <v>1</v>
      </c>
      <c r="F223" s="8" t="b">
        <f t="shared" si="672"/>
        <v>1</v>
      </c>
      <c r="G223" s="8" t="b">
        <f t="shared" si="672"/>
        <v>0</v>
      </c>
      <c r="H223" s="8" t="b">
        <f t="shared" si="672"/>
        <v>0</v>
      </c>
      <c r="I223" s="8" t="b">
        <f t="shared" si="672"/>
        <v>0</v>
      </c>
      <c r="J223" s="8" t="b">
        <f t="shared" si="672"/>
        <v>0</v>
      </c>
      <c r="K223" s="8" t="b">
        <f t="shared" si="672"/>
        <v>0</v>
      </c>
      <c r="L223" s="9" t="b">
        <v>1</v>
      </c>
      <c r="M223" s="9" t="b">
        <v>0</v>
      </c>
      <c r="N223" s="9" t="b">
        <v>0</v>
      </c>
      <c r="O223" s="9" t="b">
        <v>0</v>
      </c>
      <c r="P223" s="7" t="str">
        <f t="shared" si="5"/>
        <v>Riolenmuseum</v>
      </c>
      <c r="Q223" s="10">
        <v>10.0</v>
      </c>
      <c r="R223" s="9" t="b">
        <v>0</v>
      </c>
      <c r="S223" s="9" t="b">
        <v>0</v>
      </c>
      <c r="T223" s="7"/>
      <c r="U223" s="11">
        <f t="shared" si="6"/>
        <v>0</v>
      </c>
      <c r="V223" s="11">
        <f t="shared" ref="V223:AB223" si="673">IF(OR(AW223 = $AO$4, AW223 = $AQ$4), 1, 0)</f>
        <v>1</v>
      </c>
      <c r="W223" s="11">
        <f t="shared" si="673"/>
        <v>1</v>
      </c>
      <c r="X223" s="11">
        <f t="shared" si="673"/>
        <v>1</v>
      </c>
      <c r="Y223" s="11">
        <f t="shared" si="673"/>
        <v>1</v>
      </c>
      <c r="Z223" s="11">
        <f t="shared" si="673"/>
        <v>1</v>
      </c>
      <c r="AA223" s="11">
        <f t="shared" si="673"/>
        <v>1</v>
      </c>
      <c r="AB223" s="11">
        <f t="shared" si="673"/>
        <v>1</v>
      </c>
      <c r="AC223" s="11">
        <f t="shared" si="8"/>
        <v>7</v>
      </c>
      <c r="AD223" s="11">
        <f t="shared" si="9"/>
        <v>1</v>
      </c>
      <c r="AE223" s="11">
        <f t="shared" ref="AE223:AH223" si="674">IF(OR(BD223 = $AO$6, BD223 = $AS$6, BD223 = $AT$6, BD223 = $AU$6), 1, 0)</f>
        <v>1</v>
      </c>
      <c r="AF223" s="11">
        <f t="shared" si="674"/>
        <v>1</v>
      </c>
      <c r="AG223" s="11">
        <f t="shared" si="674"/>
        <v>1</v>
      </c>
      <c r="AH223" s="11">
        <f t="shared" si="674"/>
        <v>1</v>
      </c>
      <c r="AI223" s="11">
        <f t="shared" si="11"/>
        <v>4</v>
      </c>
      <c r="AJ223" s="11">
        <f t="shared" si="12"/>
        <v>12</v>
      </c>
      <c r="AK223" s="12">
        <f t="shared" si="13"/>
        <v>5</v>
      </c>
      <c r="AL223" s="13" t="str">
        <f t="shared" si="14"/>
        <v>excellent</v>
      </c>
      <c r="AM223" s="7"/>
      <c r="AN223" s="7"/>
    </row>
    <row r="224">
      <c r="A224" s="7" t="s">
        <v>468</v>
      </c>
      <c r="B224" s="7" t="s">
        <v>469</v>
      </c>
      <c r="C224" s="8" t="s">
        <v>413</v>
      </c>
      <c r="D224" s="7" t="s">
        <v>188</v>
      </c>
      <c r="E224" s="8" t="b">
        <f t="shared" ref="E224:K224" si="675">IF(IFERROR(SEARCH(E$1, $D224),0) &gt;= 1, TRUE,FALSE)</f>
        <v>0</v>
      </c>
      <c r="F224" s="8" t="b">
        <f t="shared" si="675"/>
        <v>0</v>
      </c>
      <c r="G224" s="8" t="b">
        <f t="shared" si="675"/>
        <v>0</v>
      </c>
      <c r="H224" s="8" t="b">
        <f t="shared" si="675"/>
        <v>0</v>
      </c>
      <c r="I224" s="8" t="b">
        <f t="shared" si="675"/>
        <v>0</v>
      </c>
      <c r="J224" s="8" t="b">
        <f t="shared" si="675"/>
        <v>1</v>
      </c>
      <c r="K224" s="8" t="b">
        <f t="shared" si="675"/>
        <v>1</v>
      </c>
      <c r="L224" s="9" t="b">
        <v>1</v>
      </c>
      <c r="M224" s="9" t="b">
        <v>1</v>
      </c>
      <c r="N224" s="9" t="b">
        <v>0</v>
      </c>
      <c r="O224" s="9" t="b">
        <v>0</v>
      </c>
      <c r="P224" s="7" t="str">
        <f t="shared" si="5"/>
        <v>Stripmuseum Brussel</v>
      </c>
      <c r="Q224" s="10">
        <v>14.0</v>
      </c>
      <c r="R224" s="9" t="b">
        <v>0</v>
      </c>
      <c r="S224" s="9" t="b">
        <v>1</v>
      </c>
      <c r="T224" s="10">
        <v>0.0</v>
      </c>
      <c r="U224" s="11">
        <f t="shared" si="6"/>
        <v>0</v>
      </c>
      <c r="V224" s="11">
        <f t="shared" ref="V224:AB224" si="676">IF(OR(AW224 = $AO$4, AW224 = $AQ$4), 1, 0)</f>
        <v>1</v>
      </c>
      <c r="W224" s="11">
        <f t="shared" si="676"/>
        <v>1</v>
      </c>
      <c r="X224" s="11">
        <f t="shared" si="676"/>
        <v>1</v>
      </c>
      <c r="Y224" s="11">
        <f t="shared" si="676"/>
        <v>1</v>
      </c>
      <c r="Z224" s="11">
        <f t="shared" si="676"/>
        <v>1</v>
      </c>
      <c r="AA224" s="11">
        <f t="shared" si="676"/>
        <v>1</v>
      </c>
      <c r="AB224" s="11">
        <f t="shared" si="676"/>
        <v>1</v>
      </c>
      <c r="AC224" s="11">
        <f t="shared" si="8"/>
        <v>7</v>
      </c>
      <c r="AD224" s="11">
        <f t="shared" si="9"/>
        <v>1</v>
      </c>
      <c r="AE224" s="11">
        <f t="shared" ref="AE224:AH224" si="677">IF(OR(BD224 = $AO$6, BD224 = $AS$6, BD224 = $AT$6, BD224 = $AU$6), 1, 0)</f>
        <v>1</v>
      </c>
      <c r="AF224" s="11">
        <f t="shared" si="677"/>
        <v>1</v>
      </c>
      <c r="AG224" s="11">
        <f t="shared" si="677"/>
        <v>1</v>
      </c>
      <c r="AH224" s="11">
        <f t="shared" si="677"/>
        <v>1</v>
      </c>
      <c r="AI224" s="11">
        <f t="shared" si="11"/>
        <v>4</v>
      </c>
      <c r="AJ224" s="11">
        <f t="shared" si="12"/>
        <v>12</v>
      </c>
      <c r="AK224" s="12">
        <f t="shared" si="13"/>
        <v>5</v>
      </c>
      <c r="AL224" s="13" t="str">
        <f t="shared" si="14"/>
        <v>excellent</v>
      </c>
      <c r="AM224" s="7"/>
      <c r="AN224" s="7"/>
    </row>
    <row r="225">
      <c r="A225" s="7" t="s">
        <v>470</v>
      </c>
      <c r="B225" s="7" t="s">
        <v>471</v>
      </c>
      <c r="C225" s="8" t="s">
        <v>413</v>
      </c>
      <c r="D225" s="7" t="s">
        <v>114</v>
      </c>
      <c r="E225" s="8" t="b">
        <f t="shared" ref="E225:K225" si="678">IF(IFERROR(SEARCH(E$1, $D225),0) &gt;= 1, TRUE,FALSE)</f>
        <v>1</v>
      </c>
      <c r="F225" s="8" t="b">
        <f t="shared" si="678"/>
        <v>1</v>
      </c>
      <c r="G225" s="8" t="b">
        <f t="shared" si="678"/>
        <v>0</v>
      </c>
      <c r="H225" s="8" t="b">
        <f t="shared" si="678"/>
        <v>0</v>
      </c>
      <c r="I225" s="8" t="b">
        <f t="shared" si="678"/>
        <v>0</v>
      </c>
      <c r="J225" s="8" t="b">
        <f t="shared" si="678"/>
        <v>0</v>
      </c>
      <c r="K225" s="8" t="b">
        <f t="shared" si="678"/>
        <v>0</v>
      </c>
      <c r="L225" s="9" t="b">
        <v>0</v>
      </c>
      <c r="M225" s="9" t="b">
        <v>0</v>
      </c>
      <c r="N225" s="9" t="b">
        <v>0</v>
      </c>
      <c r="O225" s="9" t="b">
        <v>0</v>
      </c>
      <c r="P225" s="7" t="str">
        <f t="shared" si="5"/>
        <v>Museum van de Nationale Bank van België</v>
      </c>
      <c r="Q225" s="10">
        <v>0.0</v>
      </c>
      <c r="R225" s="9" t="b">
        <v>0</v>
      </c>
      <c r="S225" s="9" t="b">
        <v>0</v>
      </c>
      <c r="T225" s="7"/>
      <c r="U225" s="11">
        <f t="shared" si="6"/>
        <v>0</v>
      </c>
      <c r="V225" s="11">
        <f t="shared" ref="V225:AB225" si="679">IF(OR(AW225 = $AO$4, AW225 = $AQ$4), 1, 0)</f>
        <v>1</v>
      </c>
      <c r="W225" s="11">
        <f t="shared" si="679"/>
        <v>1</v>
      </c>
      <c r="X225" s="11">
        <f t="shared" si="679"/>
        <v>1</v>
      </c>
      <c r="Y225" s="11">
        <f t="shared" si="679"/>
        <v>1</v>
      </c>
      <c r="Z225" s="11">
        <f t="shared" si="679"/>
        <v>1</v>
      </c>
      <c r="AA225" s="11">
        <f t="shared" si="679"/>
        <v>1</v>
      </c>
      <c r="AB225" s="11">
        <f t="shared" si="679"/>
        <v>1</v>
      </c>
      <c r="AC225" s="11">
        <f t="shared" si="8"/>
        <v>7</v>
      </c>
      <c r="AD225" s="11">
        <f t="shared" si="9"/>
        <v>1</v>
      </c>
      <c r="AE225" s="11">
        <f t="shared" ref="AE225:AH225" si="680">IF(OR(BD225 = $AO$6, BD225 = $AS$6, BD225 = $AT$6, BD225 = $AU$6), 1, 0)</f>
        <v>1</v>
      </c>
      <c r="AF225" s="11">
        <f t="shared" si="680"/>
        <v>1</v>
      </c>
      <c r="AG225" s="11">
        <f t="shared" si="680"/>
        <v>1</v>
      </c>
      <c r="AH225" s="11">
        <f t="shared" si="680"/>
        <v>1</v>
      </c>
      <c r="AI225" s="11">
        <f t="shared" si="11"/>
        <v>4</v>
      </c>
      <c r="AJ225" s="11">
        <f t="shared" si="12"/>
        <v>12</v>
      </c>
      <c r="AK225" s="12">
        <f t="shared" si="13"/>
        <v>5</v>
      </c>
      <c r="AL225" s="13" t="str">
        <f t="shared" si="14"/>
        <v>excellent</v>
      </c>
      <c r="AM225" s="7"/>
      <c r="AN225" s="7"/>
    </row>
    <row r="226">
      <c r="A226" s="7" t="s">
        <v>472</v>
      </c>
      <c r="B226" s="7" t="s">
        <v>473</v>
      </c>
      <c r="C226" s="8" t="s">
        <v>413</v>
      </c>
      <c r="D226" s="7" t="s">
        <v>114</v>
      </c>
      <c r="E226" s="8" t="b">
        <f t="shared" ref="E226:K226" si="681">IF(IFERROR(SEARCH(E$1, $D226),0) &gt;= 1, TRUE,FALSE)</f>
        <v>1</v>
      </c>
      <c r="F226" s="8" t="b">
        <f t="shared" si="681"/>
        <v>1</v>
      </c>
      <c r="G226" s="8" t="b">
        <f t="shared" si="681"/>
        <v>0</v>
      </c>
      <c r="H226" s="8" t="b">
        <f t="shared" si="681"/>
        <v>0</v>
      </c>
      <c r="I226" s="8" t="b">
        <f t="shared" si="681"/>
        <v>0</v>
      </c>
      <c r="J226" s="8" t="b">
        <f t="shared" si="681"/>
        <v>0</v>
      </c>
      <c r="K226" s="8" t="b">
        <f t="shared" si="681"/>
        <v>0</v>
      </c>
      <c r="L226" s="9" t="b">
        <v>0</v>
      </c>
      <c r="M226" s="9" t="b">
        <v>0</v>
      </c>
      <c r="N226" s="9" t="b">
        <v>0</v>
      </c>
      <c r="O226" s="9" t="b">
        <v>0</v>
      </c>
      <c r="P226" s="7" t="str">
        <f t="shared" si="5"/>
        <v>Geneeskundemuseum</v>
      </c>
      <c r="Q226" s="10">
        <v>5.0</v>
      </c>
      <c r="R226" s="9" t="b">
        <v>0</v>
      </c>
      <c r="S226" s="9" t="b">
        <v>0</v>
      </c>
      <c r="T226" s="7"/>
      <c r="U226" s="11">
        <f t="shared" si="6"/>
        <v>0</v>
      </c>
      <c r="V226" s="11">
        <f t="shared" ref="V226:AB226" si="682">IF(OR(AW226 = $AO$4, AW226 = $AQ$4), 1, 0)</f>
        <v>1</v>
      </c>
      <c r="W226" s="11">
        <f t="shared" si="682"/>
        <v>1</v>
      </c>
      <c r="X226" s="11">
        <f t="shared" si="682"/>
        <v>1</v>
      </c>
      <c r="Y226" s="11">
        <f t="shared" si="682"/>
        <v>1</v>
      </c>
      <c r="Z226" s="11">
        <f t="shared" si="682"/>
        <v>1</v>
      </c>
      <c r="AA226" s="11">
        <f t="shared" si="682"/>
        <v>1</v>
      </c>
      <c r="AB226" s="11">
        <f t="shared" si="682"/>
        <v>1</v>
      </c>
      <c r="AC226" s="11">
        <f t="shared" si="8"/>
        <v>7</v>
      </c>
      <c r="AD226" s="11">
        <f t="shared" si="9"/>
        <v>1</v>
      </c>
      <c r="AE226" s="11">
        <f t="shared" ref="AE226:AH226" si="683">IF(OR(BD226 = $AO$6, BD226 = $AS$6, BD226 = $AT$6, BD226 = $AU$6), 1, 0)</f>
        <v>1</v>
      </c>
      <c r="AF226" s="11">
        <f t="shared" si="683"/>
        <v>1</v>
      </c>
      <c r="AG226" s="11">
        <f t="shared" si="683"/>
        <v>1</v>
      </c>
      <c r="AH226" s="11">
        <f t="shared" si="683"/>
        <v>1</v>
      </c>
      <c r="AI226" s="11">
        <f t="shared" si="11"/>
        <v>4</v>
      </c>
      <c r="AJ226" s="11">
        <f t="shared" si="12"/>
        <v>12</v>
      </c>
      <c r="AK226" s="12">
        <f t="shared" si="13"/>
        <v>5</v>
      </c>
      <c r="AL226" s="13" t="str">
        <f t="shared" si="14"/>
        <v>excellent</v>
      </c>
      <c r="AM226" s="7"/>
      <c r="AN226" s="7"/>
    </row>
    <row r="227">
      <c r="A227" s="7" t="s">
        <v>474</v>
      </c>
      <c r="B227" s="7" t="s">
        <v>475</v>
      </c>
      <c r="C227" s="8" t="s">
        <v>413</v>
      </c>
      <c r="D227" s="7" t="s">
        <v>206</v>
      </c>
      <c r="E227" s="8" t="b">
        <f t="shared" ref="E227:K227" si="684">IF(IFERROR(SEARCH(E$1, $D227),0) &gt;= 1, TRUE,FALSE)</f>
        <v>1</v>
      </c>
      <c r="F227" s="8" t="b">
        <f t="shared" si="684"/>
        <v>0</v>
      </c>
      <c r="G227" s="8" t="b">
        <f t="shared" si="684"/>
        <v>0</v>
      </c>
      <c r="H227" s="8" t="b">
        <f t="shared" si="684"/>
        <v>0</v>
      </c>
      <c r="I227" s="8" t="b">
        <f t="shared" si="684"/>
        <v>1</v>
      </c>
      <c r="J227" s="8" t="b">
        <f t="shared" si="684"/>
        <v>1</v>
      </c>
      <c r="K227" s="8" t="b">
        <f t="shared" si="684"/>
        <v>0</v>
      </c>
      <c r="L227" s="9" t="b">
        <v>1</v>
      </c>
      <c r="M227" s="9" t="b">
        <v>0</v>
      </c>
      <c r="N227" s="9" t="b">
        <v>0</v>
      </c>
      <c r="O227" s="9" t="b">
        <v>0</v>
      </c>
      <c r="P227" s="7" t="str">
        <f t="shared" si="5"/>
        <v>Museum van de Stad Brussel - Broodhuis</v>
      </c>
      <c r="Q227" s="10">
        <v>10.0</v>
      </c>
      <c r="R227" s="9" t="b">
        <v>0</v>
      </c>
      <c r="S227" s="9" t="b">
        <v>1</v>
      </c>
      <c r="T227" s="10">
        <v>10.0</v>
      </c>
      <c r="U227" s="11">
        <f t="shared" si="6"/>
        <v>0</v>
      </c>
      <c r="V227" s="11">
        <f t="shared" ref="V227:AB227" si="685">IF(OR(AW227 = $AO$4, AW227 = $AQ$4), 1, 0)</f>
        <v>1</v>
      </c>
      <c r="W227" s="11">
        <f t="shared" si="685"/>
        <v>1</v>
      </c>
      <c r="X227" s="11">
        <f t="shared" si="685"/>
        <v>1</v>
      </c>
      <c r="Y227" s="11">
        <f t="shared" si="685"/>
        <v>1</v>
      </c>
      <c r="Z227" s="11">
        <f t="shared" si="685"/>
        <v>1</v>
      </c>
      <c r="AA227" s="11">
        <f t="shared" si="685"/>
        <v>1</v>
      </c>
      <c r="AB227" s="11">
        <f t="shared" si="685"/>
        <v>1</v>
      </c>
      <c r="AC227" s="11">
        <f t="shared" si="8"/>
        <v>7</v>
      </c>
      <c r="AD227" s="11">
        <f t="shared" si="9"/>
        <v>1</v>
      </c>
      <c r="AE227" s="11">
        <f t="shared" ref="AE227:AH227" si="686">IF(OR(BD227 = $AO$6, BD227 = $AS$6, BD227 = $AT$6, BD227 = $AU$6), 1, 0)</f>
        <v>1</v>
      </c>
      <c r="AF227" s="11">
        <f t="shared" si="686"/>
        <v>1</v>
      </c>
      <c r="AG227" s="11">
        <f t="shared" si="686"/>
        <v>1</v>
      </c>
      <c r="AH227" s="11">
        <f t="shared" si="686"/>
        <v>1</v>
      </c>
      <c r="AI227" s="11">
        <f t="shared" si="11"/>
        <v>4</v>
      </c>
      <c r="AJ227" s="11">
        <f t="shared" si="12"/>
        <v>12</v>
      </c>
      <c r="AK227" s="12">
        <f t="shared" si="13"/>
        <v>5</v>
      </c>
      <c r="AL227" s="13" t="str">
        <f t="shared" si="14"/>
        <v>excellent</v>
      </c>
      <c r="AM227" s="7"/>
      <c r="AN227" s="7"/>
    </row>
    <row r="228">
      <c r="A228" s="7" t="s">
        <v>476</v>
      </c>
      <c r="B228" s="7" t="s">
        <v>477</v>
      </c>
      <c r="C228" s="8" t="s">
        <v>413</v>
      </c>
      <c r="D228" s="7" t="s">
        <v>86</v>
      </c>
      <c r="E228" s="8" t="b">
        <f t="shared" ref="E228:K228" si="687">IF(IFERROR(SEARCH(E$1, $D228),0) &gt;= 1, TRUE,FALSE)</f>
        <v>1</v>
      </c>
      <c r="F228" s="8" t="b">
        <f t="shared" si="687"/>
        <v>0</v>
      </c>
      <c r="G228" s="8" t="b">
        <f t="shared" si="687"/>
        <v>0</v>
      </c>
      <c r="H228" s="8" t="b">
        <f t="shared" si="687"/>
        <v>0</v>
      </c>
      <c r="I228" s="8" t="b">
        <f t="shared" si="687"/>
        <v>0</v>
      </c>
      <c r="J228" s="8" t="b">
        <f t="shared" si="687"/>
        <v>1</v>
      </c>
      <c r="K228" s="8" t="b">
        <f t="shared" si="687"/>
        <v>1</v>
      </c>
      <c r="L228" s="9" t="b">
        <v>1</v>
      </c>
      <c r="M228" s="9" t="b">
        <v>0</v>
      </c>
      <c r="N228" s="9" t="b">
        <v>0</v>
      </c>
      <c r="O228" s="9" t="b">
        <v>0</v>
      </c>
      <c r="P228" s="7" t="str">
        <f t="shared" si="5"/>
        <v>Museum en Tuinen van Buuren</v>
      </c>
      <c r="Q228" s="10">
        <v>18.0</v>
      </c>
      <c r="R228" s="9" t="b">
        <v>0</v>
      </c>
      <c r="S228" s="9" t="b">
        <v>0</v>
      </c>
      <c r="T228" s="7"/>
      <c r="U228" s="11">
        <f t="shared" si="6"/>
        <v>0</v>
      </c>
      <c r="V228" s="11">
        <f t="shared" ref="V228:AB228" si="688">IF(OR(AW228 = $AO$4, AW228 = $AQ$4), 1, 0)</f>
        <v>1</v>
      </c>
      <c r="W228" s="11">
        <f t="shared" si="688"/>
        <v>1</v>
      </c>
      <c r="X228" s="11">
        <f t="shared" si="688"/>
        <v>1</v>
      </c>
      <c r="Y228" s="11">
        <f t="shared" si="688"/>
        <v>1</v>
      </c>
      <c r="Z228" s="11">
        <f t="shared" si="688"/>
        <v>1</v>
      </c>
      <c r="AA228" s="11">
        <f t="shared" si="688"/>
        <v>1</v>
      </c>
      <c r="AB228" s="11">
        <f t="shared" si="688"/>
        <v>1</v>
      </c>
      <c r="AC228" s="11">
        <f t="shared" si="8"/>
        <v>7</v>
      </c>
      <c r="AD228" s="11">
        <f t="shared" si="9"/>
        <v>0</v>
      </c>
      <c r="AE228" s="11">
        <f t="shared" ref="AE228:AH228" si="689">IF(OR(BD228 = $AO$6, BD228 = $AS$6, BD228 = $AT$6, BD228 = $AU$6), 1, 0)</f>
        <v>1</v>
      </c>
      <c r="AF228" s="11">
        <f t="shared" si="689"/>
        <v>1</v>
      </c>
      <c r="AG228" s="11">
        <f t="shared" si="689"/>
        <v>1</v>
      </c>
      <c r="AH228" s="11">
        <f t="shared" si="689"/>
        <v>1</v>
      </c>
      <c r="AI228" s="11">
        <f t="shared" si="11"/>
        <v>4</v>
      </c>
      <c r="AJ228" s="11">
        <f t="shared" si="12"/>
        <v>11</v>
      </c>
      <c r="AK228" s="12">
        <f t="shared" si="13"/>
        <v>4.583333333</v>
      </c>
      <c r="AL228" s="13" t="str">
        <f t="shared" si="14"/>
        <v>excellent</v>
      </c>
      <c r="AM228" s="7"/>
      <c r="AN228" s="7"/>
    </row>
    <row r="229">
      <c r="A229" s="7" t="s">
        <v>478</v>
      </c>
      <c r="B229" s="7" t="s">
        <v>479</v>
      </c>
      <c r="C229" s="8" t="s">
        <v>413</v>
      </c>
      <c r="D229" s="7" t="s">
        <v>8</v>
      </c>
      <c r="E229" s="8" t="b">
        <f t="shared" ref="E229:K229" si="690">IF(IFERROR(SEARCH(E$1, $D229),0) &gt;= 1, TRUE,FALSE)</f>
        <v>0</v>
      </c>
      <c r="F229" s="8" t="b">
        <f t="shared" si="690"/>
        <v>0</v>
      </c>
      <c r="G229" s="8" t="b">
        <f t="shared" si="690"/>
        <v>0</v>
      </c>
      <c r="H229" s="8" t="b">
        <f t="shared" si="690"/>
        <v>0</v>
      </c>
      <c r="I229" s="8" t="b">
        <f t="shared" si="690"/>
        <v>1</v>
      </c>
      <c r="J229" s="8" t="b">
        <f t="shared" si="690"/>
        <v>0</v>
      </c>
      <c r="K229" s="8" t="b">
        <f t="shared" si="690"/>
        <v>0</v>
      </c>
      <c r="L229" s="9" t="b">
        <v>1</v>
      </c>
      <c r="M229" s="9" t="b">
        <v>0</v>
      </c>
      <c r="N229" s="9" t="b">
        <v>0</v>
      </c>
      <c r="O229" s="9" t="b">
        <v>0</v>
      </c>
      <c r="P229" s="7" t="str">
        <f t="shared" si="5"/>
        <v>Hortamuseum</v>
      </c>
      <c r="Q229" s="10">
        <v>14.0</v>
      </c>
      <c r="R229" s="9" t="b">
        <v>0</v>
      </c>
      <c r="S229" s="9" t="b">
        <v>0</v>
      </c>
      <c r="T229" s="7"/>
      <c r="U229" s="11">
        <f t="shared" si="6"/>
        <v>0</v>
      </c>
      <c r="V229" s="11">
        <f t="shared" ref="V229:AB229" si="691">IF(OR(AW229 = $AO$4, AW229 = $AQ$4), 1, 0)</f>
        <v>1</v>
      </c>
      <c r="W229" s="11">
        <f t="shared" si="691"/>
        <v>1</v>
      </c>
      <c r="X229" s="11">
        <f t="shared" si="691"/>
        <v>1</v>
      </c>
      <c r="Y229" s="11">
        <f t="shared" si="691"/>
        <v>1</v>
      </c>
      <c r="Z229" s="11">
        <f t="shared" si="691"/>
        <v>1</v>
      </c>
      <c r="AA229" s="11">
        <f t="shared" si="691"/>
        <v>1</v>
      </c>
      <c r="AB229" s="11">
        <f t="shared" si="691"/>
        <v>1</v>
      </c>
      <c r="AC229" s="11">
        <f t="shared" si="8"/>
        <v>7</v>
      </c>
      <c r="AD229" s="11">
        <f t="shared" si="9"/>
        <v>1</v>
      </c>
      <c r="AE229" s="11">
        <f t="shared" ref="AE229:AH229" si="692">IF(OR(BD229 = $AO$6, BD229 = $AS$6, BD229 = $AT$6, BD229 = $AU$6), 1, 0)</f>
        <v>1</v>
      </c>
      <c r="AF229" s="11">
        <f t="shared" si="692"/>
        <v>1</v>
      </c>
      <c r="AG229" s="11">
        <f t="shared" si="692"/>
        <v>1</v>
      </c>
      <c r="AH229" s="11">
        <f t="shared" si="692"/>
        <v>1</v>
      </c>
      <c r="AI229" s="11">
        <f t="shared" si="11"/>
        <v>4</v>
      </c>
      <c r="AJ229" s="11">
        <f t="shared" si="12"/>
        <v>12</v>
      </c>
      <c r="AK229" s="12">
        <f t="shared" si="13"/>
        <v>5</v>
      </c>
      <c r="AL229" s="13" t="str">
        <f t="shared" si="14"/>
        <v>excellent</v>
      </c>
      <c r="AM229" s="7"/>
      <c r="AN229" s="7"/>
    </row>
    <row r="230">
      <c r="A230" s="7" t="s">
        <v>480</v>
      </c>
      <c r="B230" s="7" t="s">
        <v>481</v>
      </c>
      <c r="C230" s="8" t="s">
        <v>413</v>
      </c>
      <c r="D230" s="7" t="s">
        <v>102</v>
      </c>
      <c r="E230" s="8" t="b">
        <f t="shared" ref="E230:K230" si="693">IF(IFERROR(SEARCH(E$1, $D230),0) &gt;= 1, TRUE,FALSE)</f>
        <v>1</v>
      </c>
      <c r="F230" s="8" t="b">
        <f t="shared" si="693"/>
        <v>0</v>
      </c>
      <c r="G230" s="8" t="b">
        <f t="shared" si="693"/>
        <v>0</v>
      </c>
      <c r="H230" s="8" t="b">
        <f t="shared" si="693"/>
        <v>0</v>
      </c>
      <c r="I230" s="8" t="b">
        <f t="shared" si="693"/>
        <v>0</v>
      </c>
      <c r="J230" s="8" t="b">
        <f t="shared" si="693"/>
        <v>1</v>
      </c>
      <c r="K230" s="8" t="b">
        <f t="shared" si="693"/>
        <v>0</v>
      </c>
      <c r="L230" s="9" t="b">
        <v>0</v>
      </c>
      <c r="M230" s="9" t="b">
        <v>0</v>
      </c>
      <c r="N230" s="9" t="b">
        <v>0</v>
      </c>
      <c r="O230" s="9" t="b">
        <v>0</v>
      </c>
      <c r="P230" s="7" t="str">
        <f t="shared" si="5"/>
        <v>Joods Museum van België</v>
      </c>
      <c r="Q230" s="10">
        <v>10.0</v>
      </c>
      <c r="R230" s="9" t="b">
        <v>1</v>
      </c>
      <c r="S230" s="9" t="b">
        <v>0</v>
      </c>
      <c r="T230" s="7"/>
      <c r="U230" s="11">
        <f t="shared" si="6"/>
        <v>0</v>
      </c>
      <c r="V230" s="11">
        <f t="shared" ref="V230:AB230" si="694">IF(OR(AW230 = $AO$4, AW230 = $AQ$4), 1, 0)</f>
        <v>1</v>
      </c>
      <c r="W230" s="11">
        <f t="shared" si="694"/>
        <v>1</v>
      </c>
      <c r="X230" s="11">
        <f t="shared" si="694"/>
        <v>1</v>
      </c>
      <c r="Y230" s="11">
        <f t="shared" si="694"/>
        <v>1</v>
      </c>
      <c r="Z230" s="11">
        <f t="shared" si="694"/>
        <v>1</v>
      </c>
      <c r="AA230" s="11">
        <f t="shared" si="694"/>
        <v>1</v>
      </c>
      <c r="AB230" s="11">
        <f t="shared" si="694"/>
        <v>1</v>
      </c>
      <c r="AC230" s="11">
        <f t="shared" si="8"/>
        <v>7</v>
      </c>
      <c r="AD230" s="11">
        <f t="shared" si="9"/>
        <v>1</v>
      </c>
      <c r="AE230" s="11">
        <f t="shared" ref="AE230:AH230" si="695">IF(OR(BD230 = $AO$6, BD230 = $AS$6, BD230 = $AT$6, BD230 = $AU$6), 1, 0)</f>
        <v>1</v>
      </c>
      <c r="AF230" s="11">
        <f t="shared" si="695"/>
        <v>1</v>
      </c>
      <c r="AG230" s="11">
        <f t="shared" si="695"/>
        <v>1</v>
      </c>
      <c r="AH230" s="11">
        <f t="shared" si="695"/>
        <v>1</v>
      </c>
      <c r="AI230" s="11">
        <f t="shared" si="11"/>
        <v>4</v>
      </c>
      <c r="AJ230" s="11">
        <f t="shared" si="12"/>
        <v>12</v>
      </c>
      <c r="AK230" s="12">
        <f t="shared" si="13"/>
        <v>5</v>
      </c>
      <c r="AL230" s="13" t="str">
        <f t="shared" si="14"/>
        <v>excellent</v>
      </c>
      <c r="AM230" s="7"/>
      <c r="AN230" s="7"/>
    </row>
    <row r="231">
      <c r="A231" s="7" t="s">
        <v>482</v>
      </c>
      <c r="B231" s="7" t="s">
        <v>483</v>
      </c>
      <c r="C231" s="8" t="s">
        <v>413</v>
      </c>
      <c r="D231" s="7" t="s">
        <v>393</v>
      </c>
      <c r="E231" s="8" t="b">
        <f t="shared" ref="E231:K231" si="696">IF(IFERROR(SEARCH(E$1, $D231),0) &gt;= 1, TRUE,FALSE)</f>
        <v>0</v>
      </c>
      <c r="F231" s="8" t="b">
        <f t="shared" si="696"/>
        <v>0</v>
      </c>
      <c r="G231" s="8" t="b">
        <f t="shared" si="696"/>
        <v>1</v>
      </c>
      <c r="H231" s="8" t="b">
        <f t="shared" si="696"/>
        <v>0</v>
      </c>
      <c r="I231" s="8" t="b">
        <f t="shared" si="696"/>
        <v>0</v>
      </c>
      <c r="J231" s="8" t="b">
        <f t="shared" si="696"/>
        <v>1</v>
      </c>
      <c r="K231" s="8" t="b">
        <f t="shared" si="696"/>
        <v>1</v>
      </c>
      <c r="L231" s="9" t="b">
        <v>1</v>
      </c>
      <c r="M231" s="9" t="b">
        <v>0</v>
      </c>
      <c r="N231" s="9" t="b">
        <v>0</v>
      </c>
      <c r="O231" s="9" t="b">
        <v>0</v>
      </c>
      <c r="P231" s="7" t="str">
        <f t="shared" si="5"/>
        <v>Mode &amp; Kant Museum</v>
      </c>
      <c r="Q231" s="10">
        <v>10.0</v>
      </c>
      <c r="R231" s="9" t="b">
        <v>0</v>
      </c>
      <c r="S231" s="9" t="b">
        <v>1</v>
      </c>
      <c r="T231" s="10">
        <v>10.0</v>
      </c>
      <c r="U231" s="11">
        <f t="shared" si="6"/>
        <v>0</v>
      </c>
      <c r="V231" s="11">
        <f t="shared" ref="V231:AB231" si="697">IF(OR(AW231 = $AO$4, AW231 = $AQ$4), 1, 0)</f>
        <v>1</v>
      </c>
      <c r="W231" s="11">
        <f t="shared" si="697"/>
        <v>1</v>
      </c>
      <c r="X231" s="11">
        <f t="shared" si="697"/>
        <v>1</v>
      </c>
      <c r="Y231" s="11">
        <f t="shared" si="697"/>
        <v>1</v>
      </c>
      <c r="Z231" s="11">
        <f t="shared" si="697"/>
        <v>1</v>
      </c>
      <c r="AA231" s="11">
        <f t="shared" si="697"/>
        <v>1</v>
      </c>
      <c r="AB231" s="11">
        <f t="shared" si="697"/>
        <v>1</v>
      </c>
      <c r="AC231" s="11">
        <f t="shared" si="8"/>
        <v>7</v>
      </c>
      <c r="AD231" s="11">
        <f t="shared" si="9"/>
        <v>1</v>
      </c>
      <c r="AE231" s="11">
        <f t="shared" ref="AE231:AH231" si="698">IF(OR(BD231 = $AO$6, BD231 = $AS$6, BD231 = $AT$6, BD231 = $AU$6), 1, 0)</f>
        <v>1</v>
      </c>
      <c r="AF231" s="11">
        <f t="shared" si="698"/>
        <v>1</v>
      </c>
      <c r="AG231" s="11">
        <f t="shared" si="698"/>
        <v>1</v>
      </c>
      <c r="AH231" s="11">
        <f t="shared" si="698"/>
        <v>1</v>
      </c>
      <c r="AI231" s="11">
        <f t="shared" si="11"/>
        <v>4</v>
      </c>
      <c r="AJ231" s="11">
        <f t="shared" si="12"/>
        <v>12</v>
      </c>
      <c r="AK231" s="12">
        <f t="shared" si="13"/>
        <v>5</v>
      </c>
      <c r="AL231" s="13" t="str">
        <f t="shared" si="14"/>
        <v>excellent</v>
      </c>
      <c r="AM231" s="7"/>
      <c r="AN231" s="7"/>
    </row>
    <row r="232">
      <c r="A232" s="7" t="s">
        <v>484</v>
      </c>
      <c r="B232" s="7" t="s">
        <v>485</v>
      </c>
      <c r="C232" s="8" t="s">
        <v>413</v>
      </c>
      <c r="D232" s="7" t="s">
        <v>9</v>
      </c>
      <c r="E232" s="8" t="b">
        <f t="shared" ref="E232:K232" si="699">IF(IFERROR(SEARCH(E$1, $D232),0) &gt;= 1, TRUE,FALSE)</f>
        <v>0</v>
      </c>
      <c r="F232" s="8" t="b">
        <f t="shared" si="699"/>
        <v>0</v>
      </c>
      <c r="G232" s="8" t="b">
        <f t="shared" si="699"/>
        <v>0</v>
      </c>
      <c r="H232" s="8" t="b">
        <f t="shared" si="699"/>
        <v>0</v>
      </c>
      <c r="I232" s="8" t="b">
        <f t="shared" si="699"/>
        <v>0</v>
      </c>
      <c r="J232" s="8" t="b">
        <f t="shared" si="699"/>
        <v>1</v>
      </c>
      <c r="K232" s="8" t="b">
        <f t="shared" si="699"/>
        <v>0</v>
      </c>
      <c r="L232" s="9" t="b">
        <v>1</v>
      </c>
      <c r="M232" s="9" t="b">
        <v>0</v>
      </c>
      <c r="N232" s="9" t="b">
        <v>0</v>
      </c>
      <c r="O232" s="9" t="b">
        <v>0</v>
      </c>
      <c r="P232" s="7" t="str">
        <f t="shared" si="5"/>
        <v>René Magritte Museum &amp; Museum voor abstracte kuns</v>
      </c>
      <c r="Q232" s="10">
        <v>15.0</v>
      </c>
      <c r="R232" s="9" t="b">
        <v>0</v>
      </c>
      <c r="S232" s="9" t="b">
        <v>0</v>
      </c>
      <c r="T232" s="7"/>
      <c r="U232" s="11">
        <f t="shared" si="6"/>
        <v>0</v>
      </c>
      <c r="V232" s="11">
        <f t="shared" ref="V232:AB232" si="700">IF(OR(AW232 = $AO$4, AW232 = $AQ$4), 1, 0)</f>
        <v>1</v>
      </c>
      <c r="W232" s="11">
        <f t="shared" si="700"/>
        <v>1</v>
      </c>
      <c r="X232" s="11">
        <f t="shared" si="700"/>
        <v>1</v>
      </c>
      <c r="Y232" s="11">
        <f t="shared" si="700"/>
        <v>1</v>
      </c>
      <c r="Z232" s="11">
        <f t="shared" si="700"/>
        <v>1</v>
      </c>
      <c r="AA232" s="11">
        <f t="shared" si="700"/>
        <v>1</v>
      </c>
      <c r="AB232" s="11">
        <f t="shared" si="700"/>
        <v>1</v>
      </c>
      <c r="AC232" s="11">
        <f t="shared" si="8"/>
        <v>7</v>
      </c>
      <c r="AD232" s="11">
        <f t="shared" si="9"/>
        <v>1</v>
      </c>
      <c r="AE232" s="11">
        <f t="shared" ref="AE232:AH232" si="701">IF(OR(BD232 = $AO$6, BD232 = $AS$6, BD232 = $AT$6, BD232 = $AU$6), 1, 0)</f>
        <v>1</v>
      </c>
      <c r="AF232" s="11">
        <f t="shared" si="701"/>
        <v>1</v>
      </c>
      <c r="AG232" s="11">
        <f t="shared" si="701"/>
        <v>1</v>
      </c>
      <c r="AH232" s="11">
        <f t="shared" si="701"/>
        <v>1</v>
      </c>
      <c r="AI232" s="11">
        <f t="shared" si="11"/>
        <v>4</v>
      </c>
      <c r="AJ232" s="11">
        <f t="shared" si="12"/>
        <v>12</v>
      </c>
      <c r="AK232" s="12">
        <f t="shared" si="13"/>
        <v>5</v>
      </c>
      <c r="AL232" s="13" t="str">
        <f t="shared" si="14"/>
        <v>excellent</v>
      </c>
      <c r="AM232" s="7"/>
      <c r="AN232" s="7"/>
    </row>
    <row r="233">
      <c r="A233" s="7" t="s">
        <v>486</v>
      </c>
      <c r="B233" s="7" t="s">
        <v>487</v>
      </c>
      <c r="C233" s="8" t="s">
        <v>413</v>
      </c>
      <c r="D233" s="7" t="s">
        <v>171</v>
      </c>
      <c r="E233" s="8" t="b">
        <f t="shared" ref="E233:K233" si="702">IF(IFERROR(SEARCH(E$1, $D233),0) &gt;= 1, TRUE,FALSE)</f>
        <v>1</v>
      </c>
      <c r="F233" s="8" t="b">
        <f t="shared" si="702"/>
        <v>1</v>
      </c>
      <c r="G233" s="8" t="b">
        <f t="shared" si="702"/>
        <v>0</v>
      </c>
      <c r="H233" s="8" t="b">
        <f t="shared" si="702"/>
        <v>0</v>
      </c>
      <c r="I233" s="8" t="b">
        <f t="shared" si="702"/>
        <v>1</v>
      </c>
      <c r="J233" s="8" t="b">
        <f t="shared" si="702"/>
        <v>1</v>
      </c>
      <c r="K233" s="8" t="b">
        <f t="shared" si="702"/>
        <v>0</v>
      </c>
      <c r="L233" s="9" t="b">
        <v>1</v>
      </c>
      <c r="M233" s="9" t="b">
        <v>1</v>
      </c>
      <c r="N233" s="9" t="b">
        <v>1</v>
      </c>
      <c r="O233" s="9" t="b">
        <v>1</v>
      </c>
      <c r="P233" s="7" t="str">
        <f t="shared" si="5"/>
        <v>Koninklijk Museum van het Leger en de Krijgsgeschiedenis</v>
      </c>
      <c r="Q233" s="10">
        <v>12.0</v>
      </c>
      <c r="R233" s="9" t="b">
        <v>0</v>
      </c>
      <c r="S233" s="9" t="b">
        <v>0</v>
      </c>
      <c r="T233" s="7"/>
      <c r="U233" s="11">
        <f t="shared" si="6"/>
        <v>0</v>
      </c>
      <c r="V233" s="11">
        <f t="shared" ref="V233:AB233" si="703">IF(OR(AW233 = $AO$4, AW233 = $AQ$4), 1, 0)</f>
        <v>1</v>
      </c>
      <c r="W233" s="11">
        <f t="shared" si="703"/>
        <v>1</v>
      </c>
      <c r="X233" s="11">
        <f t="shared" si="703"/>
        <v>1</v>
      </c>
      <c r="Y233" s="11">
        <f t="shared" si="703"/>
        <v>1</v>
      </c>
      <c r="Z233" s="11">
        <f t="shared" si="703"/>
        <v>1</v>
      </c>
      <c r="AA233" s="11">
        <f t="shared" si="703"/>
        <v>1</v>
      </c>
      <c r="AB233" s="11">
        <f t="shared" si="703"/>
        <v>1</v>
      </c>
      <c r="AC233" s="11">
        <f t="shared" si="8"/>
        <v>7</v>
      </c>
      <c r="AD233" s="11">
        <f t="shared" si="9"/>
        <v>1</v>
      </c>
      <c r="AE233" s="11">
        <f t="shared" ref="AE233:AH233" si="704">IF(OR(BD233 = $AO$6, BD233 = $AS$6, BD233 = $AT$6, BD233 = $AU$6), 1, 0)</f>
        <v>1</v>
      </c>
      <c r="AF233" s="11">
        <f t="shared" si="704"/>
        <v>1</v>
      </c>
      <c r="AG233" s="11">
        <f t="shared" si="704"/>
        <v>1</v>
      </c>
      <c r="AH233" s="11">
        <f t="shared" si="704"/>
        <v>1</v>
      </c>
      <c r="AI233" s="11">
        <f t="shared" si="11"/>
        <v>4</v>
      </c>
      <c r="AJ233" s="11">
        <f t="shared" si="12"/>
        <v>12</v>
      </c>
      <c r="AK233" s="12">
        <f t="shared" si="13"/>
        <v>5</v>
      </c>
      <c r="AL233" s="13" t="str">
        <f t="shared" si="14"/>
        <v>excellent</v>
      </c>
      <c r="AM233" s="7"/>
      <c r="AN233" s="7"/>
    </row>
    <row r="234">
      <c r="A234" s="7" t="s">
        <v>488</v>
      </c>
      <c r="B234" s="7" t="s">
        <v>489</v>
      </c>
      <c r="C234" s="8" t="s">
        <v>413</v>
      </c>
      <c r="D234" s="7" t="s">
        <v>4</v>
      </c>
      <c r="E234" s="8" t="b">
        <f t="shared" ref="E234:K234" si="705">IF(IFERROR(SEARCH(E$1, $D234),0) &gt;= 1, TRUE,FALSE)</f>
        <v>1</v>
      </c>
      <c r="F234" s="8" t="b">
        <f t="shared" si="705"/>
        <v>0</v>
      </c>
      <c r="G234" s="8" t="b">
        <f t="shared" si="705"/>
        <v>0</v>
      </c>
      <c r="H234" s="8" t="b">
        <f t="shared" si="705"/>
        <v>0</v>
      </c>
      <c r="I234" s="8" t="b">
        <f t="shared" si="705"/>
        <v>0</v>
      </c>
      <c r="J234" s="8" t="b">
        <f t="shared" si="705"/>
        <v>0</v>
      </c>
      <c r="K234" s="8" t="b">
        <f t="shared" si="705"/>
        <v>0</v>
      </c>
      <c r="L234" s="9" t="b">
        <v>1</v>
      </c>
      <c r="M234" s="9" t="b">
        <v>0</v>
      </c>
      <c r="N234" s="9" t="b">
        <v>0</v>
      </c>
      <c r="O234" s="9" t="b">
        <v>1</v>
      </c>
      <c r="P234" s="7" t="str">
        <f t="shared" si="5"/>
        <v>Coudenbergpaleis</v>
      </c>
      <c r="Q234" s="10">
        <v>10.0</v>
      </c>
      <c r="R234" s="9" t="b">
        <v>0</v>
      </c>
      <c r="S234" s="9" t="b">
        <v>0</v>
      </c>
      <c r="T234" s="7"/>
      <c r="U234" s="11">
        <f t="shared" si="6"/>
        <v>0</v>
      </c>
      <c r="V234" s="11">
        <f t="shared" ref="V234:AB234" si="706">IF(OR(AW234 = $AO$4, AW234 = $AQ$4), 1, 0)</f>
        <v>1</v>
      </c>
      <c r="W234" s="11">
        <f t="shared" si="706"/>
        <v>1</v>
      </c>
      <c r="X234" s="11">
        <f t="shared" si="706"/>
        <v>1</v>
      </c>
      <c r="Y234" s="11">
        <f t="shared" si="706"/>
        <v>1</v>
      </c>
      <c r="Z234" s="11">
        <f t="shared" si="706"/>
        <v>1</v>
      </c>
      <c r="AA234" s="11">
        <f t="shared" si="706"/>
        <v>1</v>
      </c>
      <c r="AB234" s="11">
        <f t="shared" si="706"/>
        <v>1</v>
      </c>
      <c r="AC234" s="11">
        <f t="shared" si="8"/>
        <v>7</v>
      </c>
      <c r="AD234" s="11">
        <f t="shared" si="9"/>
        <v>1</v>
      </c>
      <c r="AE234" s="11">
        <f t="shared" ref="AE234:AH234" si="707">IF(OR(BD234 = $AO$6, BD234 = $AS$6, BD234 = $AT$6, BD234 = $AU$6), 1, 0)</f>
        <v>1</v>
      </c>
      <c r="AF234" s="11">
        <f t="shared" si="707"/>
        <v>1</v>
      </c>
      <c r="AG234" s="11">
        <f t="shared" si="707"/>
        <v>1</v>
      </c>
      <c r="AH234" s="11">
        <f t="shared" si="707"/>
        <v>1</v>
      </c>
      <c r="AI234" s="11">
        <f t="shared" si="11"/>
        <v>4</v>
      </c>
      <c r="AJ234" s="11">
        <f t="shared" si="12"/>
        <v>12</v>
      </c>
      <c r="AK234" s="12">
        <f t="shared" si="13"/>
        <v>5</v>
      </c>
      <c r="AL234" s="13" t="str">
        <f t="shared" si="14"/>
        <v>excellent</v>
      </c>
      <c r="AM234" s="7"/>
      <c r="AN234" s="7"/>
    </row>
    <row r="235">
      <c r="A235" s="7" t="s">
        <v>490</v>
      </c>
      <c r="B235" s="7" t="s">
        <v>491</v>
      </c>
      <c r="C235" s="8" t="s">
        <v>413</v>
      </c>
      <c r="D235" s="7" t="s">
        <v>5</v>
      </c>
      <c r="E235" s="8" t="b">
        <f t="shared" ref="E235:K235" si="708">IF(IFERROR(SEARCH(E$1, $D235),0) &gt;= 1, TRUE,FALSE)</f>
        <v>0</v>
      </c>
      <c r="F235" s="8" t="b">
        <f t="shared" si="708"/>
        <v>1</v>
      </c>
      <c r="G235" s="8" t="b">
        <f t="shared" si="708"/>
        <v>0</v>
      </c>
      <c r="H235" s="8" t="b">
        <f t="shared" si="708"/>
        <v>0</v>
      </c>
      <c r="I235" s="8" t="b">
        <f t="shared" si="708"/>
        <v>0</v>
      </c>
      <c r="J235" s="8" t="b">
        <f t="shared" si="708"/>
        <v>0</v>
      </c>
      <c r="K235" s="8" t="b">
        <f t="shared" si="708"/>
        <v>0</v>
      </c>
      <c r="L235" s="9" t="b">
        <v>1</v>
      </c>
      <c r="M235" s="9" t="b">
        <v>0</v>
      </c>
      <c r="N235" s="9" t="b">
        <v>1</v>
      </c>
      <c r="O235" s="9" t="b">
        <v>0</v>
      </c>
      <c r="P235" s="7" t="str">
        <f t="shared" si="5"/>
        <v>Planetarium Brussel</v>
      </c>
      <c r="Q235" s="10">
        <v>8.0</v>
      </c>
      <c r="R235" s="9" t="b">
        <v>0</v>
      </c>
      <c r="S235" s="9" t="b">
        <v>0</v>
      </c>
      <c r="T235" s="7"/>
      <c r="U235" s="11">
        <f t="shared" si="6"/>
        <v>0</v>
      </c>
      <c r="V235" s="11">
        <f t="shared" ref="V235:AB235" si="709">IF(OR(AW235 = $AO$4, AW235 = $AQ$4), 1, 0)</f>
        <v>1</v>
      </c>
      <c r="W235" s="11">
        <f t="shared" si="709"/>
        <v>1</v>
      </c>
      <c r="X235" s="11">
        <f t="shared" si="709"/>
        <v>1</v>
      </c>
      <c r="Y235" s="11">
        <f t="shared" si="709"/>
        <v>1</v>
      </c>
      <c r="Z235" s="11">
        <f t="shared" si="709"/>
        <v>1</v>
      </c>
      <c r="AA235" s="11">
        <f t="shared" si="709"/>
        <v>1</v>
      </c>
      <c r="AB235" s="11">
        <f t="shared" si="709"/>
        <v>1</v>
      </c>
      <c r="AC235" s="11">
        <f t="shared" si="8"/>
        <v>7</v>
      </c>
      <c r="AD235" s="11">
        <f t="shared" si="9"/>
        <v>1</v>
      </c>
      <c r="AE235" s="11">
        <f t="shared" ref="AE235:AH235" si="710">IF(OR(BD235 = $AO$6, BD235 = $AS$6, BD235 = $AT$6, BD235 = $AU$6), 1, 0)</f>
        <v>1</v>
      </c>
      <c r="AF235" s="11">
        <f t="shared" si="710"/>
        <v>1</v>
      </c>
      <c r="AG235" s="11">
        <f t="shared" si="710"/>
        <v>1</v>
      </c>
      <c r="AH235" s="11">
        <f t="shared" si="710"/>
        <v>1</v>
      </c>
      <c r="AI235" s="11">
        <f t="shared" si="11"/>
        <v>4</v>
      </c>
      <c r="AJ235" s="11">
        <f t="shared" si="12"/>
        <v>12</v>
      </c>
      <c r="AK235" s="12">
        <f t="shared" si="13"/>
        <v>5</v>
      </c>
      <c r="AL235" s="13" t="str">
        <f t="shared" si="14"/>
        <v>excellent</v>
      </c>
      <c r="AM235" s="7"/>
      <c r="AN235" s="7"/>
    </row>
    <row r="236">
      <c r="A236" s="7" t="s">
        <v>492</v>
      </c>
      <c r="B236" s="7" t="s">
        <v>493</v>
      </c>
      <c r="C236" s="8" t="s">
        <v>413</v>
      </c>
      <c r="D236" s="7" t="s">
        <v>151</v>
      </c>
      <c r="E236" s="8" t="b">
        <f t="shared" ref="E236:K236" si="711">IF(IFERROR(SEARCH(E$1, $D236),0) &gt;= 1, TRUE,FALSE)</f>
        <v>1</v>
      </c>
      <c r="F236" s="8" t="b">
        <f t="shared" si="711"/>
        <v>0</v>
      </c>
      <c r="G236" s="8" t="b">
        <f t="shared" si="711"/>
        <v>0</v>
      </c>
      <c r="H236" s="8" t="b">
        <f t="shared" si="711"/>
        <v>0</v>
      </c>
      <c r="I236" s="8" t="b">
        <f t="shared" si="711"/>
        <v>1</v>
      </c>
      <c r="J236" s="8" t="b">
        <f t="shared" si="711"/>
        <v>0</v>
      </c>
      <c r="K236" s="8" t="b">
        <f t="shared" si="711"/>
        <v>0</v>
      </c>
      <c r="L236" s="9" t="b">
        <v>1</v>
      </c>
      <c r="M236" s="9" t="b">
        <v>0</v>
      </c>
      <c r="N236" s="9" t="b">
        <v>0</v>
      </c>
      <c r="O236" s="9" t="b">
        <v>0</v>
      </c>
      <c r="P236" s="7" t="str">
        <f t="shared" si="5"/>
        <v>Hallepoort</v>
      </c>
      <c r="Q236" s="10">
        <v>7.0</v>
      </c>
      <c r="R236" s="9" t="b">
        <v>0</v>
      </c>
      <c r="S236" s="9" t="b">
        <v>0</v>
      </c>
      <c r="T236" s="7"/>
      <c r="U236" s="11">
        <f t="shared" si="6"/>
        <v>0</v>
      </c>
      <c r="V236" s="11">
        <f t="shared" ref="V236:AB236" si="712">IF(OR(AW236 = $AO$4, AW236 = $AQ$4), 1, 0)</f>
        <v>1</v>
      </c>
      <c r="W236" s="11">
        <f t="shared" si="712"/>
        <v>1</v>
      </c>
      <c r="X236" s="11">
        <f t="shared" si="712"/>
        <v>1</v>
      </c>
      <c r="Y236" s="11">
        <f t="shared" si="712"/>
        <v>1</v>
      </c>
      <c r="Z236" s="11">
        <f t="shared" si="712"/>
        <v>1</v>
      </c>
      <c r="AA236" s="11">
        <f t="shared" si="712"/>
        <v>1</v>
      </c>
      <c r="AB236" s="11">
        <f t="shared" si="712"/>
        <v>1</v>
      </c>
      <c r="AC236" s="11">
        <f t="shared" si="8"/>
        <v>7</v>
      </c>
      <c r="AD236" s="11">
        <f t="shared" si="9"/>
        <v>1</v>
      </c>
      <c r="AE236" s="11">
        <f t="shared" ref="AE236:AH236" si="713">IF(OR(BD236 = $AO$6, BD236 = $AS$6, BD236 = $AT$6, BD236 = $AU$6), 1, 0)</f>
        <v>1</v>
      </c>
      <c r="AF236" s="11">
        <f t="shared" si="713"/>
        <v>1</v>
      </c>
      <c r="AG236" s="11">
        <f t="shared" si="713"/>
        <v>1</v>
      </c>
      <c r="AH236" s="11">
        <f t="shared" si="713"/>
        <v>1</v>
      </c>
      <c r="AI236" s="11">
        <f t="shared" si="11"/>
        <v>4</v>
      </c>
      <c r="AJ236" s="11">
        <f t="shared" si="12"/>
        <v>12</v>
      </c>
      <c r="AK236" s="12">
        <f t="shared" si="13"/>
        <v>5</v>
      </c>
      <c r="AL236" s="13" t="str">
        <f t="shared" si="14"/>
        <v>excellent</v>
      </c>
      <c r="AM236" s="7"/>
      <c r="AN236" s="7"/>
    </row>
    <row r="237">
      <c r="A237" s="7" t="s">
        <v>494</v>
      </c>
      <c r="B237" s="7" t="s">
        <v>495</v>
      </c>
      <c r="C237" s="8" t="s">
        <v>413</v>
      </c>
      <c r="D237" s="7" t="s">
        <v>9</v>
      </c>
      <c r="E237" s="8" t="b">
        <f t="shared" ref="E237:K237" si="714">IF(IFERROR(SEARCH(E$1, $D237),0) &gt;= 1, TRUE,FALSE)</f>
        <v>0</v>
      </c>
      <c r="F237" s="8" t="b">
        <f t="shared" si="714"/>
        <v>0</v>
      </c>
      <c r="G237" s="8" t="b">
        <f t="shared" si="714"/>
        <v>0</v>
      </c>
      <c r="H237" s="8" t="b">
        <f t="shared" si="714"/>
        <v>0</v>
      </c>
      <c r="I237" s="8" t="b">
        <f t="shared" si="714"/>
        <v>0</v>
      </c>
      <c r="J237" s="8" t="b">
        <f t="shared" si="714"/>
        <v>1</v>
      </c>
      <c r="K237" s="8" t="b">
        <f t="shared" si="714"/>
        <v>0</v>
      </c>
      <c r="L237" s="9" t="b">
        <v>1</v>
      </c>
      <c r="M237" s="9" t="b">
        <v>1</v>
      </c>
      <c r="N237" s="9" t="b">
        <v>1</v>
      </c>
      <c r="O237" s="9" t="b">
        <v>1</v>
      </c>
      <c r="P237" s="7" t="str">
        <f t="shared" si="5"/>
        <v>Centrum voor Hedendaagse Kunst</v>
      </c>
      <c r="Q237" s="10">
        <v>12.0</v>
      </c>
      <c r="R237" s="9" t="b">
        <v>0</v>
      </c>
      <c r="S237" s="9" t="b">
        <v>1</v>
      </c>
      <c r="T237" s="10">
        <v>12.0</v>
      </c>
      <c r="U237" s="11">
        <f t="shared" si="6"/>
        <v>0</v>
      </c>
      <c r="V237" s="11">
        <f t="shared" ref="V237:AB237" si="715">IF(OR(AW237 = $AO$4, AW237 = $AQ$4), 1, 0)</f>
        <v>1</v>
      </c>
      <c r="W237" s="11">
        <f t="shared" si="715"/>
        <v>1</v>
      </c>
      <c r="X237" s="11">
        <f t="shared" si="715"/>
        <v>1</v>
      </c>
      <c r="Y237" s="11">
        <f t="shared" si="715"/>
        <v>1</v>
      </c>
      <c r="Z237" s="11">
        <f t="shared" si="715"/>
        <v>1</v>
      </c>
      <c r="AA237" s="11">
        <f t="shared" si="715"/>
        <v>1</v>
      </c>
      <c r="AB237" s="11">
        <f t="shared" si="715"/>
        <v>1</v>
      </c>
      <c r="AC237" s="11">
        <f t="shared" si="8"/>
        <v>7</v>
      </c>
      <c r="AD237" s="11">
        <f t="shared" si="9"/>
        <v>1</v>
      </c>
      <c r="AE237" s="11">
        <f t="shared" ref="AE237:AH237" si="716">IF(OR(BD237 = $AO$6, BD237 = $AS$6, BD237 = $AT$6, BD237 = $AU$6), 1, 0)</f>
        <v>1</v>
      </c>
      <c r="AF237" s="11">
        <f t="shared" si="716"/>
        <v>1</v>
      </c>
      <c r="AG237" s="11">
        <f t="shared" si="716"/>
        <v>1</v>
      </c>
      <c r="AH237" s="11">
        <f t="shared" si="716"/>
        <v>1</v>
      </c>
      <c r="AI237" s="11">
        <f t="shared" si="11"/>
        <v>4</v>
      </c>
      <c r="AJ237" s="11">
        <f t="shared" si="12"/>
        <v>12</v>
      </c>
      <c r="AK237" s="12">
        <f t="shared" si="13"/>
        <v>5</v>
      </c>
      <c r="AL237" s="13" t="str">
        <f t="shared" si="14"/>
        <v>excellent</v>
      </c>
      <c r="AM237" s="7"/>
      <c r="AN237" s="7"/>
    </row>
    <row r="238">
      <c r="A238" s="7" t="s">
        <v>496</v>
      </c>
      <c r="B238" s="7"/>
      <c r="C238" s="8" t="s">
        <v>413</v>
      </c>
      <c r="D238" s="7" t="s">
        <v>497</v>
      </c>
      <c r="E238" s="8" t="b">
        <f t="shared" ref="E238:K238" si="717">IF(IFERROR(SEARCH(E$1, $D238),0) &gt;= 1, TRUE,FALSE)</f>
        <v>0</v>
      </c>
      <c r="F238" s="8" t="b">
        <f t="shared" si="717"/>
        <v>0</v>
      </c>
      <c r="G238" s="8" t="b">
        <f t="shared" si="717"/>
        <v>0</v>
      </c>
      <c r="H238" s="8" t="b">
        <f t="shared" si="717"/>
        <v>1</v>
      </c>
      <c r="I238" s="8" t="b">
        <f t="shared" si="717"/>
        <v>0</v>
      </c>
      <c r="J238" s="8" t="b">
        <f t="shared" si="717"/>
        <v>1</v>
      </c>
      <c r="K238" s="8" t="b">
        <f t="shared" si="717"/>
        <v>1</v>
      </c>
      <c r="L238" s="9" t="b">
        <v>1</v>
      </c>
      <c r="M238" s="9" t="b">
        <v>0</v>
      </c>
      <c r="N238" s="9" t="b">
        <v>0</v>
      </c>
      <c r="O238" s="9" t="b">
        <v>0</v>
      </c>
      <c r="P238" s="7" t="str">
        <f t="shared" si="5"/>
        <v>Wittockiana</v>
      </c>
      <c r="Q238" s="10">
        <v>7.0</v>
      </c>
      <c r="R238" s="9" t="b">
        <v>0</v>
      </c>
      <c r="S238" s="9" t="b">
        <v>0</v>
      </c>
      <c r="T238" s="7"/>
      <c r="U238" s="11">
        <f t="shared" si="6"/>
        <v>0</v>
      </c>
      <c r="V238" s="11">
        <f t="shared" ref="V238:AB238" si="718">IF(OR(AW238 = $AO$4, AW238 = $AQ$4), 1, 0)</f>
        <v>1</v>
      </c>
      <c r="W238" s="11">
        <f t="shared" si="718"/>
        <v>1</v>
      </c>
      <c r="X238" s="11">
        <f t="shared" si="718"/>
        <v>1</v>
      </c>
      <c r="Y238" s="11">
        <f t="shared" si="718"/>
        <v>1</v>
      </c>
      <c r="Z238" s="11">
        <f t="shared" si="718"/>
        <v>1</v>
      </c>
      <c r="AA238" s="11">
        <f t="shared" si="718"/>
        <v>1</v>
      </c>
      <c r="AB238" s="11">
        <f t="shared" si="718"/>
        <v>1</v>
      </c>
      <c r="AC238" s="11">
        <f t="shared" si="8"/>
        <v>7</v>
      </c>
      <c r="AD238" s="11">
        <f t="shared" si="9"/>
        <v>1</v>
      </c>
      <c r="AE238" s="11">
        <f t="shared" ref="AE238:AH238" si="719">IF(OR(BD238 = $AO$6, BD238 = $AS$6, BD238 = $AT$6, BD238 = $AU$6), 1, 0)</f>
        <v>1</v>
      </c>
      <c r="AF238" s="11">
        <f t="shared" si="719"/>
        <v>1</v>
      </c>
      <c r="AG238" s="11">
        <f t="shared" si="719"/>
        <v>1</v>
      </c>
      <c r="AH238" s="11">
        <f t="shared" si="719"/>
        <v>1</v>
      </c>
      <c r="AI238" s="11">
        <f t="shared" si="11"/>
        <v>4</v>
      </c>
      <c r="AJ238" s="11">
        <f t="shared" si="12"/>
        <v>12</v>
      </c>
      <c r="AK238" s="12">
        <f t="shared" si="13"/>
        <v>5</v>
      </c>
      <c r="AL238" s="13" t="str">
        <f t="shared" si="14"/>
        <v>excellent</v>
      </c>
      <c r="AM238" s="7"/>
      <c r="AN238" s="7"/>
    </row>
    <row r="239">
      <c r="A239" s="7" t="s">
        <v>498</v>
      </c>
      <c r="B239" s="7" t="s">
        <v>499</v>
      </c>
      <c r="C239" s="8" t="s">
        <v>500</v>
      </c>
      <c r="D239" s="7" t="s">
        <v>4</v>
      </c>
      <c r="E239" s="8" t="b">
        <f t="shared" ref="E239:K239" si="720">IF(IFERROR(SEARCH(E$1, $D239),0) &gt;= 1, TRUE,FALSE)</f>
        <v>1</v>
      </c>
      <c r="F239" s="8" t="b">
        <f t="shared" si="720"/>
        <v>0</v>
      </c>
      <c r="G239" s="8" t="b">
        <f t="shared" si="720"/>
        <v>0</v>
      </c>
      <c r="H239" s="8" t="b">
        <f t="shared" si="720"/>
        <v>0</v>
      </c>
      <c r="I239" s="8" t="b">
        <f t="shared" si="720"/>
        <v>0</v>
      </c>
      <c r="J239" s="8" t="b">
        <f t="shared" si="720"/>
        <v>0</v>
      </c>
      <c r="K239" s="8" t="b">
        <f t="shared" si="720"/>
        <v>0</v>
      </c>
      <c r="L239" s="9" t="b">
        <v>1</v>
      </c>
      <c r="M239" s="9" t="b">
        <v>0</v>
      </c>
      <c r="N239" s="9" t="b">
        <v>0</v>
      </c>
      <c r="O239" s="9" t="b">
        <v>0</v>
      </c>
      <c r="P239" s="7" t="str">
        <f t="shared" si="5"/>
        <v>Amsab-Instituut voor Sociale Geschiedenis</v>
      </c>
      <c r="Q239" s="10">
        <v>0.0</v>
      </c>
      <c r="R239" s="9" t="b">
        <v>0</v>
      </c>
      <c r="S239" s="9" t="b">
        <v>1</v>
      </c>
      <c r="T239" s="10">
        <v>0.0</v>
      </c>
      <c r="U239" s="11">
        <f t="shared" si="6"/>
        <v>0</v>
      </c>
      <c r="V239" s="11">
        <f t="shared" ref="V239:AB239" si="721">IF(OR(AW239 = $AO$4, AW239 = $AQ$4), 1, 0)</f>
        <v>1</v>
      </c>
      <c r="W239" s="11">
        <f t="shared" si="721"/>
        <v>1</v>
      </c>
      <c r="X239" s="11">
        <f t="shared" si="721"/>
        <v>1</v>
      </c>
      <c r="Y239" s="11">
        <f t="shared" si="721"/>
        <v>1</v>
      </c>
      <c r="Z239" s="11">
        <f t="shared" si="721"/>
        <v>1</v>
      </c>
      <c r="AA239" s="11">
        <f t="shared" si="721"/>
        <v>1</v>
      </c>
      <c r="AB239" s="11">
        <f t="shared" si="721"/>
        <v>1</v>
      </c>
      <c r="AC239" s="11">
        <f t="shared" si="8"/>
        <v>7</v>
      </c>
      <c r="AD239" s="11">
        <f t="shared" si="9"/>
        <v>1</v>
      </c>
      <c r="AE239" s="11">
        <f t="shared" ref="AE239:AH239" si="722">IF(OR(BD239 = $AO$6, BD239 = $AS$6, BD239 = $AT$6, BD239 = $AU$6), 1, 0)</f>
        <v>1</v>
      </c>
      <c r="AF239" s="11">
        <f t="shared" si="722"/>
        <v>1</v>
      </c>
      <c r="AG239" s="11">
        <f t="shared" si="722"/>
        <v>1</v>
      </c>
      <c r="AH239" s="11">
        <f t="shared" si="722"/>
        <v>1</v>
      </c>
      <c r="AI239" s="11">
        <f t="shared" si="11"/>
        <v>4</v>
      </c>
      <c r="AJ239" s="11">
        <f t="shared" si="12"/>
        <v>12</v>
      </c>
      <c r="AK239" s="12">
        <f t="shared" si="13"/>
        <v>5</v>
      </c>
      <c r="AL239" s="13" t="str">
        <f t="shared" si="14"/>
        <v>excellent</v>
      </c>
      <c r="AM239" s="7"/>
      <c r="AN239" s="7"/>
    </row>
    <row r="240">
      <c r="A240" s="7" t="s">
        <v>501</v>
      </c>
      <c r="B240" s="7" t="s">
        <v>502</v>
      </c>
      <c r="C240" s="8" t="s">
        <v>500</v>
      </c>
      <c r="D240" s="7" t="s">
        <v>503</v>
      </c>
      <c r="E240" s="8" t="b">
        <f t="shared" ref="E240:K240" si="723">IF(IFERROR(SEARCH(E$1, $D240),0) &gt;= 1, TRUE,FALSE)</f>
        <v>1</v>
      </c>
      <c r="F240" s="8" t="b">
        <f t="shared" si="723"/>
        <v>0</v>
      </c>
      <c r="G240" s="8" t="b">
        <f t="shared" si="723"/>
        <v>0</v>
      </c>
      <c r="H240" s="8" t="b">
        <f t="shared" si="723"/>
        <v>1</v>
      </c>
      <c r="I240" s="8" t="b">
        <f t="shared" si="723"/>
        <v>0</v>
      </c>
      <c r="J240" s="8" t="b">
        <f t="shared" si="723"/>
        <v>1</v>
      </c>
      <c r="K240" s="8" t="b">
        <f t="shared" si="723"/>
        <v>1</v>
      </c>
      <c r="L240" s="9" t="b">
        <v>1</v>
      </c>
      <c r="M240" s="9" t="b">
        <v>0</v>
      </c>
      <c r="N240" s="9" t="b">
        <v>1</v>
      </c>
      <c r="O240" s="9" t="b">
        <v>0</v>
      </c>
      <c r="P240" s="7" t="str">
        <f t="shared" si="5"/>
        <v>Curiosum | Een huis vol herinnering</v>
      </c>
      <c r="Q240" s="10">
        <v>8.0</v>
      </c>
      <c r="R240" s="9" t="b">
        <v>0</v>
      </c>
      <c r="S240" s="9" t="b">
        <v>0</v>
      </c>
      <c r="T240" s="7"/>
      <c r="U240" s="11">
        <f t="shared" si="6"/>
        <v>0</v>
      </c>
      <c r="V240" s="11">
        <f t="shared" ref="V240:AB240" si="724">IF(OR(AW240 = $AO$4, AW240 = $AQ$4), 1, 0)</f>
        <v>1</v>
      </c>
      <c r="W240" s="11">
        <f t="shared" si="724"/>
        <v>1</v>
      </c>
      <c r="X240" s="11">
        <f t="shared" si="724"/>
        <v>1</v>
      </c>
      <c r="Y240" s="11">
        <f t="shared" si="724"/>
        <v>1</v>
      </c>
      <c r="Z240" s="11">
        <f t="shared" si="724"/>
        <v>1</v>
      </c>
      <c r="AA240" s="11">
        <f t="shared" si="724"/>
        <v>1</v>
      </c>
      <c r="AB240" s="11">
        <f t="shared" si="724"/>
        <v>1</v>
      </c>
      <c r="AC240" s="11">
        <f t="shared" si="8"/>
        <v>7</v>
      </c>
      <c r="AD240" s="11">
        <f t="shared" si="9"/>
        <v>1</v>
      </c>
      <c r="AE240" s="11">
        <f t="shared" ref="AE240:AH240" si="725">IF(OR(BD240 = $AO$6, BD240 = $AS$6, BD240 = $AT$6, BD240 = $AU$6), 1, 0)</f>
        <v>1</v>
      </c>
      <c r="AF240" s="11">
        <f t="shared" si="725"/>
        <v>1</v>
      </c>
      <c r="AG240" s="11">
        <f t="shared" si="725"/>
        <v>1</v>
      </c>
      <c r="AH240" s="11">
        <f t="shared" si="725"/>
        <v>1</v>
      </c>
      <c r="AI240" s="11">
        <f t="shared" si="11"/>
        <v>4</v>
      </c>
      <c r="AJ240" s="11">
        <f t="shared" si="12"/>
        <v>12</v>
      </c>
      <c r="AK240" s="12">
        <f t="shared" si="13"/>
        <v>5</v>
      </c>
      <c r="AL240" s="13" t="str">
        <f t="shared" si="14"/>
        <v>excellent</v>
      </c>
      <c r="AM240" s="7"/>
      <c r="AN240" s="7"/>
    </row>
    <row r="241">
      <c r="A241" s="7" t="s">
        <v>504</v>
      </c>
      <c r="B241" s="7"/>
      <c r="C241" s="8" t="s">
        <v>500</v>
      </c>
      <c r="D241" s="7" t="s">
        <v>10</v>
      </c>
      <c r="E241" s="8" t="b">
        <f t="shared" ref="E241:K241" si="726">IF(IFERROR(SEARCH(E$1, $D241),0) &gt;= 1, TRUE,FALSE)</f>
        <v>0</v>
      </c>
      <c r="F241" s="8" t="b">
        <f t="shared" si="726"/>
        <v>0</v>
      </c>
      <c r="G241" s="8" t="b">
        <f t="shared" si="726"/>
        <v>0</v>
      </c>
      <c r="H241" s="8" t="b">
        <f t="shared" si="726"/>
        <v>0</v>
      </c>
      <c r="I241" s="8" t="b">
        <f t="shared" si="726"/>
        <v>0</v>
      </c>
      <c r="J241" s="8" t="b">
        <f t="shared" si="726"/>
        <v>0</v>
      </c>
      <c r="K241" s="8" t="b">
        <f t="shared" si="726"/>
        <v>1</v>
      </c>
      <c r="L241" s="9" t="b">
        <v>1</v>
      </c>
      <c r="M241" s="9" t="b">
        <v>0</v>
      </c>
      <c r="N241" s="9" t="b">
        <v>0</v>
      </c>
      <c r="O241" s="9" t="b">
        <v>0</v>
      </c>
      <c r="P241" s="7" t="str">
        <f t="shared" si="5"/>
        <v>Design Museum Gent</v>
      </c>
      <c r="Q241" s="10">
        <v>5.0</v>
      </c>
      <c r="R241" s="9" t="b">
        <v>1</v>
      </c>
      <c r="S241" s="9" t="b">
        <v>0</v>
      </c>
      <c r="T241" s="7"/>
      <c r="U241" s="11">
        <f t="shared" si="6"/>
        <v>0</v>
      </c>
      <c r="V241" s="11">
        <f t="shared" ref="V241:AB241" si="727">IF(OR(AW241 = $AO$4, AW241 = $AQ$4), 1, 0)</f>
        <v>1</v>
      </c>
      <c r="W241" s="11">
        <f t="shared" si="727"/>
        <v>1</v>
      </c>
      <c r="X241" s="11">
        <f t="shared" si="727"/>
        <v>1</v>
      </c>
      <c r="Y241" s="11">
        <f t="shared" si="727"/>
        <v>1</v>
      </c>
      <c r="Z241" s="11">
        <f t="shared" si="727"/>
        <v>1</v>
      </c>
      <c r="AA241" s="11">
        <f t="shared" si="727"/>
        <v>1</v>
      </c>
      <c r="AB241" s="11">
        <f t="shared" si="727"/>
        <v>1</v>
      </c>
      <c r="AC241" s="11">
        <f t="shared" si="8"/>
        <v>7</v>
      </c>
      <c r="AD241" s="11">
        <f t="shared" si="9"/>
        <v>1</v>
      </c>
      <c r="AE241" s="11">
        <f t="shared" ref="AE241:AH241" si="728">IF(OR(BD241 = $AO$6, BD241 = $AS$6, BD241 = $AT$6, BD241 = $AU$6), 1, 0)</f>
        <v>1</v>
      </c>
      <c r="AF241" s="11">
        <f t="shared" si="728"/>
        <v>1</v>
      </c>
      <c r="AG241" s="11">
        <f t="shared" si="728"/>
        <v>1</v>
      </c>
      <c r="AH241" s="11">
        <f t="shared" si="728"/>
        <v>1</v>
      </c>
      <c r="AI241" s="11">
        <f t="shared" si="11"/>
        <v>4</v>
      </c>
      <c r="AJ241" s="11">
        <f t="shared" si="12"/>
        <v>12</v>
      </c>
      <c r="AK241" s="12">
        <f t="shared" si="13"/>
        <v>5</v>
      </c>
      <c r="AL241" s="13" t="str">
        <f t="shared" si="14"/>
        <v>excellent</v>
      </c>
      <c r="AM241" s="7"/>
      <c r="AN241" s="7"/>
    </row>
    <row r="242">
      <c r="A242" s="7" t="s">
        <v>505</v>
      </c>
      <c r="B242" s="7" t="s">
        <v>506</v>
      </c>
      <c r="C242" s="8" t="s">
        <v>500</v>
      </c>
      <c r="D242" s="7" t="s">
        <v>114</v>
      </c>
      <c r="E242" s="8" t="b">
        <f t="shared" ref="E242:K242" si="729">IF(IFERROR(SEARCH(E$1, $D242),0) &gt;= 1, TRUE,FALSE)</f>
        <v>1</v>
      </c>
      <c r="F242" s="8" t="b">
        <f t="shared" si="729"/>
        <v>1</v>
      </c>
      <c r="G242" s="8" t="b">
        <f t="shared" si="729"/>
        <v>0</v>
      </c>
      <c r="H242" s="8" t="b">
        <f t="shared" si="729"/>
        <v>0</v>
      </c>
      <c r="I242" s="8" t="b">
        <f t="shared" si="729"/>
        <v>0</v>
      </c>
      <c r="J242" s="8" t="b">
        <f t="shared" si="729"/>
        <v>0</v>
      </c>
      <c r="K242" s="8" t="b">
        <f t="shared" si="729"/>
        <v>0</v>
      </c>
      <c r="L242" s="9" t="b">
        <v>1</v>
      </c>
      <c r="M242" s="9" t="b">
        <v>0</v>
      </c>
      <c r="N242" s="9" t="b">
        <v>0</v>
      </c>
      <c r="O242" s="9" t="b">
        <v>0</v>
      </c>
      <c r="P242" s="7" t="str">
        <f t="shared" si="5"/>
        <v>GUM | Gents Universiteitsmuseum</v>
      </c>
      <c r="Q242" s="10">
        <v>12.0</v>
      </c>
      <c r="R242" s="9" t="b">
        <v>0</v>
      </c>
      <c r="S242" s="9" t="b">
        <v>1</v>
      </c>
      <c r="T242" s="10">
        <v>12.0</v>
      </c>
      <c r="U242" s="11">
        <f t="shared" si="6"/>
        <v>0</v>
      </c>
      <c r="V242" s="11">
        <f t="shared" ref="V242:AB242" si="730">IF(OR(AW242 = $AO$4, AW242 = $AQ$4), 1, 0)</f>
        <v>1</v>
      </c>
      <c r="W242" s="11">
        <f t="shared" si="730"/>
        <v>1</v>
      </c>
      <c r="X242" s="11">
        <f t="shared" si="730"/>
        <v>1</v>
      </c>
      <c r="Y242" s="11">
        <f t="shared" si="730"/>
        <v>1</v>
      </c>
      <c r="Z242" s="11">
        <f t="shared" si="730"/>
        <v>1</v>
      </c>
      <c r="AA242" s="11">
        <f t="shared" si="730"/>
        <v>1</v>
      </c>
      <c r="AB242" s="11">
        <f t="shared" si="730"/>
        <v>1</v>
      </c>
      <c r="AC242" s="11">
        <f t="shared" si="8"/>
        <v>7</v>
      </c>
      <c r="AD242" s="11">
        <f t="shared" si="9"/>
        <v>1</v>
      </c>
      <c r="AE242" s="11">
        <f t="shared" ref="AE242:AH242" si="731">IF(OR(BD242 = $AO$6, BD242 = $AS$6, BD242 = $AT$6, BD242 = $AU$6), 1, 0)</f>
        <v>1</v>
      </c>
      <c r="AF242" s="11">
        <f t="shared" si="731"/>
        <v>1</v>
      </c>
      <c r="AG242" s="11">
        <f t="shared" si="731"/>
        <v>1</v>
      </c>
      <c r="AH242" s="11">
        <f t="shared" si="731"/>
        <v>1</v>
      </c>
      <c r="AI242" s="11">
        <f t="shared" si="11"/>
        <v>4</v>
      </c>
      <c r="AJ242" s="11">
        <f t="shared" si="12"/>
        <v>12</v>
      </c>
      <c r="AK242" s="12">
        <f t="shared" si="13"/>
        <v>5</v>
      </c>
      <c r="AL242" s="13" t="str">
        <f t="shared" si="14"/>
        <v>excellent</v>
      </c>
      <c r="AM242" s="7"/>
      <c r="AN242" s="7"/>
    </row>
    <row r="243">
      <c r="A243" s="7"/>
      <c r="B243" s="7" t="s">
        <v>507</v>
      </c>
      <c r="C243" s="8" t="s">
        <v>500</v>
      </c>
      <c r="D243" s="7" t="s">
        <v>9</v>
      </c>
      <c r="E243" s="8" t="b">
        <f t="shared" ref="E243:K243" si="732">IF(IFERROR(SEARCH(E$1, $D243),0) &gt;= 1, TRUE,FALSE)</f>
        <v>0</v>
      </c>
      <c r="F243" s="8" t="b">
        <f t="shared" si="732"/>
        <v>0</v>
      </c>
      <c r="G243" s="8" t="b">
        <f t="shared" si="732"/>
        <v>0</v>
      </c>
      <c r="H243" s="8" t="b">
        <f t="shared" si="732"/>
        <v>0</v>
      </c>
      <c r="I243" s="8" t="b">
        <f t="shared" si="732"/>
        <v>0</v>
      </c>
      <c r="J243" s="8" t="b">
        <f t="shared" si="732"/>
        <v>1</v>
      </c>
      <c r="K243" s="8" t="b">
        <f t="shared" si="732"/>
        <v>0</v>
      </c>
      <c r="L243" s="9" t="b">
        <v>1</v>
      </c>
      <c r="M243" s="9" t="b">
        <v>0</v>
      </c>
      <c r="N243" s="9" t="b">
        <v>0</v>
      </c>
      <c r="O243" s="9" t="b">
        <v>0</v>
      </c>
      <c r="P243" s="7" t="str">
        <f t="shared" si="5"/>
        <v>Herbert Foundation</v>
      </c>
      <c r="Q243" s="10">
        <v>12.0</v>
      </c>
      <c r="R243" s="9" t="b">
        <v>0</v>
      </c>
      <c r="S243" s="9" t="b">
        <v>0</v>
      </c>
      <c r="T243" s="7"/>
      <c r="U243" s="11">
        <f t="shared" si="6"/>
        <v>0</v>
      </c>
      <c r="V243" s="11">
        <f t="shared" ref="V243:AB243" si="733">IF(OR(AW243 = $AO$4, AW243 = $AQ$4), 1, 0)</f>
        <v>1</v>
      </c>
      <c r="W243" s="11">
        <f t="shared" si="733"/>
        <v>1</v>
      </c>
      <c r="X243" s="11">
        <f t="shared" si="733"/>
        <v>1</v>
      </c>
      <c r="Y243" s="11">
        <f t="shared" si="733"/>
        <v>1</v>
      </c>
      <c r="Z243" s="11">
        <f t="shared" si="733"/>
        <v>1</v>
      </c>
      <c r="AA243" s="11">
        <f t="shared" si="733"/>
        <v>1</v>
      </c>
      <c r="AB243" s="11">
        <f t="shared" si="733"/>
        <v>1</v>
      </c>
      <c r="AC243" s="11">
        <f t="shared" si="8"/>
        <v>7</v>
      </c>
      <c r="AD243" s="11">
        <f t="shared" si="9"/>
        <v>1</v>
      </c>
      <c r="AE243" s="11">
        <f t="shared" ref="AE243:AH243" si="734">IF(OR(BD243 = $AO$6, BD243 = $AS$6, BD243 = $AT$6, BD243 = $AU$6), 1, 0)</f>
        <v>1</v>
      </c>
      <c r="AF243" s="11">
        <f t="shared" si="734"/>
        <v>1</v>
      </c>
      <c r="AG243" s="11">
        <f t="shared" si="734"/>
        <v>1</v>
      </c>
      <c r="AH243" s="11">
        <f t="shared" si="734"/>
        <v>1</v>
      </c>
      <c r="AI243" s="11">
        <f t="shared" si="11"/>
        <v>4</v>
      </c>
      <c r="AJ243" s="11">
        <f t="shared" si="12"/>
        <v>12</v>
      </c>
      <c r="AK243" s="12">
        <f t="shared" si="13"/>
        <v>5</v>
      </c>
      <c r="AL243" s="13" t="str">
        <f t="shared" si="14"/>
        <v>excellent</v>
      </c>
      <c r="AM243" s="7"/>
      <c r="AN243" s="7"/>
    </row>
    <row r="244">
      <c r="A244" s="7" t="s">
        <v>508</v>
      </c>
      <c r="B244" s="7" t="s">
        <v>509</v>
      </c>
      <c r="C244" s="8" t="s">
        <v>500</v>
      </c>
      <c r="D244" s="7" t="s">
        <v>46</v>
      </c>
      <c r="E244" s="8" t="b">
        <f t="shared" ref="E244:K244" si="735">IF(IFERROR(SEARCH(E$1, $D244),0) &gt;= 1, TRUE,FALSE)</f>
        <v>1</v>
      </c>
      <c r="F244" s="8" t="b">
        <f t="shared" si="735"/>
        <v>0</v>
      </c>
      <c r="G244" s="8" t="b">
        <f t="shared" si="735"/>
        <v>0</v>
      </c>
      <c r="H244" s="8" t="b">
        <f t="shared" si="735"/>
        <v>0</v>
      </c>
      <c r="I244" s="8" t="b">
        <f t="shared" si="735"/>
        <v>0</v>
      </c>
      <c r="J244" s="8" t="b">
        <f t="shared" si="735"/>
        <v>0</v>
      </c>
      <c r="K244" s="8" t="b">
        <f t="shared" si="735"/>
        <v>1</v>
      </c>
      <c r="L244" s="9" t="b">
        <v>1</v>
      </c>
      <c r="M244" s="9" t="b">
        <v>1</v>
      </c>
      <c r="N244" s="9" t="b">
        <v>0</v>
      </c>
      <c r="O244" s="9" t="b">
        <v>0</v>
      </c>
      <c r="P244" s="7" t="str">
        <f t="shared" si="5"/>
        <v>Huis van Alijn</v>
      </c>
      <c r="Q244" s="10">
        <v>9.0</v>
      </c>
      <c r="R244" s="9" t="b">
        <v>0</v>
      </c>
      <c r="S244" s="9" t="b">
        <v>1</v>
      </c>
      <c r="T244" s="10">
        <v>9.0</v>
      </c>
      <c r="U244" s="11">
        <f t="shared" si="6"/>
        <v>0</v>
      </c>
      <c r="V244" s="11">
        <f t="shared" ref="V244:AB244" si="736">IF(OR(AW244 = $AO$4, AW244 = $AQ$4), 1, 0)</f>
        <v>1</v>
      </c>
      <c r="W244" s="11">
        <f t="shared" si="736"/>
        <v>1</v>
      </c>
      <c r="X244" s="11">
        <f t="shared" si="736"/>
        <v>1</v>
      </c>
      <c r="Y244" s="11">
        <f t="shared" si="736"/>
        <v>1</v>
      </c>
      <c r="Z244" s="11">
        <f t="shared" si="736"/>
        <v>1</v>
      </c>
      <c r="AA244" s="11">
        <f t="shared" si="736"/>
        <v>1</v>
      </c>
      <c r="AB244" s="11">
        <f t="shared" si="736"/>
        <v>1</v>
      </c>
      <c r="AC244" s="11">
        <f t="shared" si="8"/>
        <v>7</v>
      </c>
      <c r="AD244" s="11">
        <f t="shared" si="9"/>
        <v>1</v>
      </c>
      <c r="AE244" s="11">
        <f t="shared" ref="AE244:AH244" si="737">IF(OR(BD244 = $AO$6, BD244 = $AS$6, BD244 = $AT$6, BD244 = $AU$6), 1, 0)</f>
        <v>1</v>
      </c>
      <c r="AF244" s="11">
        <f t="shared" si="737"/>
        <v>1</v>
      </c>
      <c r="AG244" s="11">
        <f t="shared" si="737"/>
        <v>1</v>
      </c>
      <c r="AH244" s="11">
        <f t="shared" si="737"/>
        <v>1</v>
      </c>
      <c r="AI244" s="11">
        <f t="shared" si="11"/>
        <v>4</v>
      </c>
      <c r="AJ244" s="11">
        <f t="shared" si="12"/>
        <v>12</v>
      </c>
      <c r="AK244" s="12">
        <f t="shared" si="13"/>
        <v>5</v>
      </c>
      <c r="AL244" s="13" t="str">
        <f t="shared" si="14"/>
        <v>excellent</v>
      </c>
      <c r="AM244" s="7"/>
      <c r="AN244" s="7"/>
    </row>
    <row r="245">
      <c r="A245" s="7" t="s">
        <v>510</v>
      </c>
      <c r="B245" s="7" t="s">
        <v>511</v>
      </c>
      <c r="C245" s="8" t="s">
        <v>500</v>
      </c>
      <c r="D245" s="7" t="s">
        <v>114</v>
      </c>
      <c r="E245" s="8" t="b">
        <f t="shared" ref="E245:K245" si="738">IF(IFERROR(SEARCH(E$1, $D245),0) &gt;= 1, TRUE,FALSE)</f>
        <v>1</v>
      </c>
      <c r="F245" s="8" t="b">
        <f t="shared" si="738"/>
        <v>1</v>
      </c>
      <c r="G245" s="8" t="b">
        <f t="shared" si="738"/>
        <v>0</v>
      </c>
      <c r="H245" s="8" t="b">
        <f t="shared" si="738"/>
        <v>0</v>
      </c>
      <c r="I245" s="8" t="b">
        <f t="shared" si="738"/>
        <v>0</v>
      </c>
      <c r="J245" s="8" t="b">
        <f t="shared" si="738"/>
        <v>0</v>
      </c>
      <c r="K245" s="8" t="b">
        <f t="shared" si="738"/>
        <v>0</v>
      </c>
      <c r="L245" s="9" t="b">
        <v>0</v>
      </c>
      <c r="M245" s="9" t="b">
        <v>0</v>
      </c>
      <c r="N245" s="9" t="b">
        <v>0</v>
      </c>
      <c r="O245" s="9" t="b">
        <v>0</v>
      </c>
      <c r="P245" s="7" t="str">
        <f t="shared" si="5"/>
        <v>Industriemuseum</v>
      </c>
      <c r="Q245" s="10">
        <v>9.0</v>
      </c>
      <c r="R245" s="9" t="b">
        <v>0</v>
      </c>
      <c r="S245" s="9" t="b">
        <v>1</v>
      </c>
      <c r="T245" s="10">
        <v>9.0</v>
      </c>
      <c r="U245" s="11">
        <f t="shared" si="6"/>
        <v>0</v>
      </c>
      <c r="V245" s="11">
        <f t="shared" ref="V245:AB245" si="739">IF(OR(AW245 = $AO$4, AW245 = $AQ$4), 1, 0)</f>
        <v>1</v>
      </c>
      <c r="W245" s="11">
        <f t="shared" si="739"/>
        <v>1</v>
      </c>
      <c r="X245" s="11">
        <f t="shared" si="739"/>
        <v>1</v>
      </c>
      <c r="Y245" s="11">
        <f t="shared" si="739"/>
        <v>1</v>
      </c>
      <c r="Z245" s="11">
        <f t="shared" si="739"/>
        <v>1</v>
      </c>
      <c r="AA245" s="11">
        <f t="shared" si="739"/>
        <v>1</v>
      </c>
      <c r="AB245" s="11">
        <f t="shared" si="739"/>
        <v>1</v>
      </c>
      <c r="AC245" s="11">
        <f t="shared" si="8"/>
        <v>7</v>
      </c>
      <c r="AD245" s="11">
        <f t="shared" si="9"/>
        <v>1</v>
      </c>
      <c r="AE245" s="11">
        <f t="shared" ref="AE245:AH245" si="740">IF(OR(BD245 = $AO$6, BD245 = $AS$6, BD245 = $AT$6, BD245 = $AU$6), 1, 0)</f>
        <v>1</v>
      </c>
      <c r="AF245" s="11">
        <f t="shared" si="740"/>
        <v>1</v>
      </c>
      <c r="AG245" s="11">
        <f t="shared" si="740"/>
        <v>1</v>
      </c>
      <c r="AH245" s="11">
        <f t="shared" si="740"/>
        <v>1</v>
      </c>
      <c r="AI245" s="11">
        <f t="shared" si="11"/>
        <v>4</v>
      </c>
      <c r="AJ245" s="11">
        <f t="shared" si="12"/>
        <v>12</v>
      </c>
      <c r="AK245" s="12">
        <f t="shared" si="13"/>
        <v>5</v>
      </c>
      <c r="AL245" s="13" t="str">
        <f t="shared" si="14"/>
        <v>excellent</v>
      </c>
      <c r="AM245" s="7"/>
      <c r="AN245" s="7"/>
    </row>
    <row r="246">
      <c r="A246" s="7" t="s">
        <v>512</v>
      </c>
      <c r="B246" s="7" t="s">
        <v>513</v>
      </c>
      <c r="C246" s="8" t="s">
        <v>500</v>
      </c>
      <c r="D246" s="7" t="s">
        <v>114</v>
      </c>
      <c r="E246" s="8" t="b">
        <f t="shared" ref="E246:K246" si="741">IF(IFERROR(SEARCH(E$1, $D246),0) &gt;= 1, TRUE,FALSE)</f>
        <v>1</v>
      </c>
      <c r="F246" s="8" t="b">
        <f t="shared" si="741"/>
        <v>1</v>
      </c>
      <c r="G246" s="8" t="b">
        <f t="shared" si="741"/>
        <v>0</v>
      </c>
      <c r="H246" s="8" t="b">
        <f t="shared" si="741"/>
        <v>0</v>
      </c>
      <c r="I246" s="8" t="b">
        <f t="shared" si="741"/>
        <v>0</v>
      </c>
      <c r="J246" s="8" t="b">
        <f t="shared" si="741"/>
        <v>0</v>
      </c>
      <c r="K246" s="8" t="b">
        <f t="shared" si="741"/>
        <v>0</v>
      </c>
      <c r="L246" s="9" t="b">
        <v>1</v>
      </c>
      <c r="M246" s="9" t="b">
        <v>0</v>
      </c>
      <c r="N246" s="9" t="b">
        <v>1</v>
      </c>
      <c r="O246" s="9" t="b">
        <v>0</v>
      </c>
      <c r="P246" s="7" t="str">
        <f t="shared" si="5"/>
        <v>Mercatormuseum</v>
      </c>
      <c r="Q246" s="10">
        <v>8.0</v>
      </c>
      <c r="R246" s="9" t="b">
        <v>1</v>
      </c>
      <c r="S246" s="9" t="b">
        <v>0</v>
      </c>
      <c r="T246" s="7"/>
      <c r="U246" s="11">
        <f t="shared" si="6"/>
        <v>0</v>
      </c>
      <c r="V246" s="11">
        <f t="shared" ref="V246:AB246" si="742">IF(OR(AW246 = $AO$4, AW246 = $AQ$4), 1, 0)</f>
        <v>1</v>
      </c>
      <c r="W246" s="11">
        <f t="shared" si="742"/>
        <v>1</v>
      </c>
      <c r="X246" s="11">
        <f t="shared" si="742"/>
        <v>1</v>
      </c>
      <c r="Y246" s="11">
        <f t="shared" si="742"/>
        <v>1</v>
      </c>
      <c r="Z246" s="11">
        <f t="shared" si="742"/>
        <v>1</v>
      </c>
      <c r="AA246" s="11">
        <f t="shared" si="742"/>
        <v>1</v>
      </c>
      <c r="AB246" s="11">
        <f t="shared" si="742"/>
        <v>1</v>
      </c>
      <c r="AC246" s="11">
        <f t="shared" si="8"/>
        <v>7</v>
      </c>
      <c r="AD246" s="11">
        <f t="shared" si="9"/>
        <v>1</v>
      </c>
      <c r="AE246" s="11">
        <f t="shared" ref="AE246:AH246" si="743">IF(OR(BD246 = $AO$6, BD246 = $AS$6, BD246 = $AT$6, BD246 = $AU$6), 1, 0)</f>
        <v>1</v>
      </c>
      <c r="AF246" s="11">
        <f t="shared" si="743"/>
        <v>1</v>
      </c>
      <c r="AG246" s="11">
        <f t="shared" si="743"/>
        <v>1</v>
      </c>
      <c r="AH246" s="11">
        <f t="shared" si="743"/>
        <v>1</v>
      </c>
      <c r="AI246" s="11">
        <f t="shared" si="11"/>
        <v>4</v>
      </c>
      <c r="AJ246" s="11">
        <f t="shared" si="12"/>
        <v>12</v>
      </c>
      <c r="AK246" s="12">
        <f t="shared" si="13"/>
        <v>5</v>
      </c>
      <c r="AL246" s="13" t="str">
        <f t="shared" si="14"/>
        <v>excellent</v>
      </c>
      <c r="AM246" s="7"/>
      <c r="AN246" s="7"/>
    </row>
    <row r="247">
      <c r="A247" s="7" t="s">
        <v>514</v>
      </c>
      <c r="B247" s="7" t="s">
        <v>515</v>
      </c>
      <c r="C247" s="8" t="s">
        <v>500</v>
      </c>
      <c r="D247" s="7" t="s">
        <v>4</v>
      </c>
      <c r="E247" s="8" t="b">
        <f t="shared" ref="E247:K247" si="744">IF(IFERROR(SEARCH(E$1, $D247),0) &gt;= 1, TRUE,FALSE)</f>
        <v>1</v>
      </c>
      <c r="F247" s="8" t="b">
        <f t="shared" si="744"/>
        <v>0</v>
      </c>
      <c r="G247" s="8" t="b">
        <f t="shared" si="744"/>
        <v>0</v>
      </c>
      <c r="H247" s="8" t="b">
        <f t="shared" si="744"/>
        <v>0</v>
      </c>
      <c r="I247" s="8" t="b">
        <f t="shared" si="744"/>
        <v>0</v>
      </c>
      <c r="J247" s="8" t="b">
        <f t="shared" si="744"/>
        <v>0</v>
      </c>
      <c r="K247" s="8" t="b">
        <f t="shared" si="744"/>
        <v>0</v>
      </c>
      <c r="L247" s="9" t="b">
        <v>1</v>
      </c>
      <c r="M247" s="9" t="b">
        <v>0</v>
      </c>
      <c r="N247" s="9" t="b">
        <v>0</v>
      </c>
      <c r="O247" s="9" t="b">
        <v>0</v>
      </c>
      <c r="P247" s="7" t="str">
        <f t="shared" si="5"/>
        <v>MOU | Museum Oudenaarde</v>
      </c>
      <c r="Q247" s="10">
        <v>10.0</v>
      </c>
      <c r="R247" s="9" t="b">
        <v>0</v>
      </c>
      <c r="S247" s="9" t="b">
        <v>0</v>
      </c>
      <c r="T247" s="7"/>
      <c r="U247" s="11">
        <f t="shared" si="6"/>
        <v>0</v>
      </c>
      <c r="V247" s="11">
        <f t="shared" ref="V247:AB247" si="745">IF(OR(AW247 = $AO$4, AW247 = $AQ$4), 1, 0)</f>
        <v>1</v>
      </c>
      <c r="W247" s="11">
        <f t="shared" si="745"/>
        <v>1</v>
      </c>
      <c r="X247" s="11">
        <f t="shared" si="745"/>
        <v>1</v>
      </c>
      <c r="Y247" s="11">
        <f t="shared" si="745"/>
        <v>1</v>
      </c>
      <c r="Z247" s="11">
        <f t="shared" si="745"/>
        <v>1</v>
      </c>
      <c r="AA247" s="11">
        <f t="shared" si="745"/>
        <v>1</v>
      </c>
      <c r="AB247" s="11">
        <f t="shared" si="745"/>
        <v>1</v>
      </c>
      <c r="AC247" s="11">
        <f t="shared" si="8"/>
        <v>7</v>
      </c>
      <c r="AD247" s="11">
        <f t="shared" si="9"/>
        <v>1</v>
      </c>
      <c r="AE247" s="11">
        <f t="shared" ref="AE247:AH247" si="746">IF(OR(BD247 = $AO$6, BD247 = $AS$6, BD247 = $AT$6, BD247 = $AU$6), 1, 0)</f>
        <v>1</v>
      </c>
      <c r="AF247" s="11">
        <f t="shared" si="746"/>
        <v>1</v>
      </c>
      <c r="AG247" s="11">
        <f t="shared" si="746"/>
        <v>1</v>
      </c>
      <c r="AH247" s="11">
        <f t="shared" si="746"/>
        <v>1</v>
      </c>
      <c r="AI247" s="11">
        <f t="shared" si="11"/>
        <v>4</v>
      </c>
      <c r="AJ247" s="11">
        <f t="shared" si="12"/>
        <v>12</v>
      </c>
      <c r="AK247" s="12">
        <f t="shared" si="13"/>
        <v>5</v>
      </c>
      <c r="AL247" s="13" t="str">
        <f t="shared" si="14"/>
        <v>excellent</v>
      </c>
      <c r="AM247" s="7"/>
      <c r="AN247" s="7"/>
    </row>
    <row r="248">
      <c r="A248" s="7" t="s">
        <v>516</v>
      </c>
      <c r="B248" s="7" t="s">
        <v>517</v>
      </c>
      <c r="C248" s="8" t="s">
        <v>500</v>
      </c>
      <c r="D248" s="7" t="s">
        <v>9</v>
      </c>
      <c r="E248" s="8" t="b">
        <f t="shared" ref="E248:K248" si="747">IF(IFERROR(SEARCH(E$1, $D248),0) &gt;= 1, TRUE,FALSE)</f>
        <v>0</v>
      </c>
      <c r="F248" s="8" t="b">
        <f t="shared" si="747"/>
        <v>0</v>
      </c>
      <c r="G248" s="8" t="b">
        <f t="shared" si="747"/>
        <v>0</v>
      </c>
      <c r="H248" s="8" t="b">
        <f t="shared" si="747"/>
        <v>0</v>
      </c>
      <c r="I248" s="8" t="b">
        <f t="shared" si="747"/>
        <v>0</v>
      </c>
      <c r="J248" s="8" t="b">
        <f t="shared" si="747"/>
        <v>1</v>
      </c>
      <c r="K248" s="8" t="b">
        <f t="shared" si="747"/>
        <v>0</v>
      </c>
      <c r="L248" s="9" t="b">
        <v>1</v>
      </c>
      <c r="M248" s="9" t="b">
        <v>1</v>
      </c>
      <c r="N248" s="9" t="b">
        <v>0</v>
      </c>
      <c r="O248" s="9" t="b">
        <v>1</v>
      </c>
      <c r="P248" s="7" t="str">
        <f t="shared" si="5"/>
        <v>MSK | Museum voor Schone Kunsten Gent</v>
      </c>
      <c r="Q248" s="10">
        <v>22.0</v>
      </c>
      <c r="R248" s="9" t="b">
        <v>0</v>
      </c>
      <c r="S248" s="9" t="b">
        <v>1</v>
      </c>
      <c r="T248" s="10">
        <v>13.0</v>
      </c>
      <c r="U248" s="11">
        <f t="shared" si="6"/>
        <v>0</v>
      </c>
      <c r="V248" s="11">
        <f t="shared" ref="V248:AB248" si="748">IF(OR(AW248 = $AO$4, AW248 = $AQ$4), 1, 0)</f>
        <v>1</v>
      </c>
      <c r="W248" s="11">
        <f t="shared" si="748"/>
        <v>1</v>
      </c>
      <c r="X248" s="11">
        <f t="shared" si="748"/>
        <v>1</v>
      </c>
      <c r="Y248" s="11">
        <f t="shared" si="748"/>
        <v>1</v>
      </c>
      <c r="Z248" s="11">
        <f t="shared" si="748"/>
        <v>1</v>
      </c>
      <c r="AA248" s="11">
        <f t="shared" si="748"/>
        <v>1</v>
      </c>
      <c r="AB248" s="11">
        <f t="shared" si="748"/>
        <v>1</v>
      </c>
      <c r="AC248" s="11">
        <f t="shared" si="8"/>
        <v>7</v>
      </c>
      <c r="AD248" s="11">
        <f t="shared" si="9"/>
        <v>0</v>
      </c>
      <c r="AE248" s="11">
        <f t="shared" ref="AE248:AH248" si="749">IF(OR(BD248 = $AO$6, BD248 = $AS$6, BD248 = $AT$6, BD248 = $AU$6), 1, 0)</f>
        <v>1</v>
      </c>
      <c r="AF248" s="11">
        <f t="shared" si="749"/>
        <v>1</v>
      </c>
      <c r="AG248" s="11">
        <f t="shared" si="749"/>
        <v>1</v>
      </c>
      <c r="AH248" s="11">
        <f t="shared" si="749"/>
        <v>1</v>
      </c>
      <c r="AI248" s="11">
        <f t="shared" si="11"/>
        <v>4</v>
      </c>
      <c r="AJ248" s="11">
        <f t="shared" si="12"/>
        <v>11</v>
      </c>
      <c r="AK248" s="12">
        <f t="shared" si="13"/>
        <v>4.583333333</v>
      </c>
      <c r="AL248" s="13" t="str">
        <f t="shared" si="14"/>
        <v>excellent</v>
      </c>
      <c r="AM248" s="7"/>
      <c r="AN248" s="7"/>
    </row>
    <row r="249">
      <c r="A249" s="7" t="s">
        <v>518</v>
      </c>
      <c r="B249" s="7" t="s">
        <v>519</v>
      </c>
      <c r="C249" s="8" t="s">
        <v>500</v>
      </c>
      <c r="D249" s="7" t="s">
        <v>431</v>
      </c>
      <c r="E249" s="8" t="b">
        <f t="shared" ref="E249:K249" si="750">IF(IFERROR(SEARCH(E$1, $D249),0) &gt;= 1, TRUE,FALSE)</f>
        <v>1</v>
      </c>
      <c r="F249" s="8" t="b">
        <f t="shared" si="750"/>
        <v>0</v>
      </c>
      <c r="G249" s="8" t="b">
        <f t="shared" si="750"/>
        <v>1</v>
      </c>
      <c r="H249" s="8" t="b">
        <f t="shared" si="750"/>
        <v>0</v>
      </c>
      <c r="I249" s="8" t="b">
        <f t="shared" si="750"/>
        <v>0</v>
      </c>
      <c r="J249" s="8" t="b">
        <f t="shared" si="750"/>
        <v>1</v>
      </c>
      <c r="K249" s="8" t="b">
        <f t="shared" si="750"/>
        <v>0</v>
      </c>
      <c r="L249" s="9" t="b">
        <v>1</v>
      </c>
      <c r="M249" s="9" t="b">
        <v>0</v>
      </c>
      <c r="N249" s="9" t="b">
        <v>1</v>
      </c>
      <c r="O249" s="9" t="b">
        <v>0</v>
      </c>
      <c r="P249" s="7" t="str">
        <f t="shared" si="5"/>
        <v>mudel | Museum van Deinze en de Leiestreek</v>
      </c>
      <c r="Q249" s="10">
        <v>10.0</v>
      </c>
      <c r="R249" s="9" t="b">
        <v>1</v>
      </c>
      <c r="S249" s="9" t="b">
        <v>0</v>
      </c>
      <c r="T249" s="7"/>
      <c r="U249" s="11">
        <f t="shared" si="6"/>
        <v>0</v>
      </c>
      <c r="V249" s="11">
        <f t="shared" ref="V249:AB249" si="751">IF(OR(AW249 = $AO$4, AW249 = $AQ$4), 1, 0)</f>
        <v>1</v>
      </c>
      <c r="W249" s="11">
        <f t="shared" si="751"/>
        <v>1</v>
      </c>
      <c r="X249" s="11">
        <f t="shared" si="751"/>
        <v>1</v>
      </c>
      <c r="Y249" s="11">
        <f t="shared" si="751"/>
        <v>1</v>
      </c>
      <c r="Z249" s="11">
        <f t="shared" si="751"/>
        <v>1</v>
      </c>
      <c r="AA249" s="11">
        <f t="shared" si="751"/>
        <v>1</v>
      </c>
      <c r="AB249" s="11">
        <f t="shared" si="751"/>
        <v>1</v>
      </c>
      <c r="AC249" s="11">
        <f t="shared" si="8"/>
        <v>7</v>
      </c>
      <c r="AD249" s="11">
        <f t="shared" si="9"/>
        <v>1</v>
      </c>
      <c r="AE249" s="11">
        <f t="shared" ref="AE249:AH249" si="752">IF(OR(BD249 = $AO$6, BD249 = $AS$6, BD249 = $AT$6, BD249 = $AU$6), 1, 0)</f>
        <v>1</v>
      </c>
      <c r="AF249" s="11">
        <f t="shared" si="752"/>
        <v>1</v>
      </c>
      <c r="AG249" s="11">
        <f t="shared" si="752"/>
        <v>1</v>
      </c>
      <c r="AH249" s="11">
        <f t="shared" si="752"/>
        <v>1</v>
      </c>
      <c r="AI249" s="11">
        <f t="shared" si="11"/>
        <v>4</v>
      </c>
      <c r="AJ249" s="11">
        <f t="shared" si="12"/>
        <v>12</v>
      </c>
      <c r="AK249" s="12">
        <f t="shared" si="13"/>
        <v>5</v>
      </c>
      <c r="AL249" s="13" t="str">
        <f t="shared" si="14"/>
        <v>excellent</v>
      </c>
      <c r="AM249" s="7"/>
      <c r="AN249" s="7"/>
    </row>
    <row r="250">
      <c r="A250" s="7" t="s">
        <v>520</v>
      </c>
      <c r="B250" s="7" t="s">
        <v>521</v>
      </c>
      <c r="C250" s="8" t="s">
        <v>500</v>
      </c>
      <c r="D250" s="7" t="s">
        <v>9</v>
      </c>
      <c r="E250" s="8" t="b">
        <f t="shared" ref="E250:K250" si="753">IF(IFERROR(SEARCH(E$1, $D250),0) &gt;= 1, TRUE,FALSE)</f>
        <v>0</v>
      </c>
      <c r="F250" s="8" t="b">
        <f t="shared" si="753"/>
        <v>0</v>
      </c>
      <c r="G250" s="8" t="b">
        <f t="shared" si="753"/>
        <v>0</v>
      </c>
      <c r="H250" s="8" t="b">
        <f t="shared" si="753"/>
        <v>0</v>
      </c>
      <c r="I250" s="8" t="b">
        <f t="shared" si="753"/>
        <v>0</v>
      </c>
      <c r="J250" s="8" t="b">
        <f t="shared" si="753"/>
        <v>1</v>
      </c>
      <c r="K250" s="8" t="b">
        <f t="shared" si="753"/>
        <v>0</v>
      </c>
      <c r="L250" s="9" t="b">
        <v>1</v>
      </c>
      <c r="M250" s="9" t="b">
        <v>0</v>
      </c>
      <c r="N250" s="9" t="b">
        <v>1</v>
      </c>
      <c r="O250" s="9" t="b">
        <v>0</v>
      </c>
      <c r="P250" s="7" t="str">
        <f t="shared" si="5"/>
        <v>Museum Dhondt-Dhaenens</v>
      </c>
      <c r="Q250" s="10">
        <v>12.0</v>
      </c>
      <c r="R250" s="9" t="b">
        <v>0</v>
      </c>
      <c r="S250" s="9" t="b">
        <v>0</v>
      </c>
      <c r="T250" s="7"/>
      <c r="U250" s="11">
        <f t="shared" si="6"/>
        <v>0</v>
      </c>
      <c r="V250" s="11">
        <f t="shared" ref="V250:AB250" si="754">IF(OR(AW250 = $AO$4, AW250 = $AQ$4), 1, 0)</f>
        <v>1</v>
      </c>
      <c r="W250" s="11">
        <f t="shared" si="754"/>
        <v>1</v>
      </c>
      <c r="X250" s="11">
        <f t="shared" si="754"/>
        <v>1</v>
      </c>
      <c r="Y250" s="11">
        <f t="shared" si="754"/>
        <v>1</v>
      </c>
      <c r="Z250" s="11">
        <f t="shared" si="754"/>
        <v>1</v>
      </c>
      <c r="AA250" s="11">
        <f t="shared" si="754"/>
        <v>1</v>
      </c>
      <c r="AB250" s="11">
        <f t="shared" si="754"/>
        <v>1</v>
      </c>
      <c r="AC250" s="11">
        <f t="shared" si="8"/>
        <v>7</v>
      </c>
      <c r="AD250" s="11">
        <f t="shared" si="9"/>
        <v>1</v>
      </c>
      <c r="AE250" s="11">
        <f t="shared" ref="AE250:AH250" si="755">IF(OR(BD250 = $AO$6, BD250 = $AS$6, BD250 = $AT$6, BD250 = $AU$6), 1, 0)</f>
        <v>1</v>
      </c>
      <c r="AF250" s="11">
        <f t="shared" si="755"/>
        <v>1</v>
      </c>
      <c r="AG250" s="11">
        <f t="shared" si="755"/>
        <v>1</v>
      </c>
      <c r="AH250" s="11">
        <f t="shared" si="755"/>
        <v>1</v>
      </c>
      <c r="AI250" s="11">
        <f t="shared" si="11"/>
        <v>4</v>
      </c>
      <c r="AJ250" s="11">
        <f t="shared" si="12"/>
        <v>12</v>
      </c>
      <c r="AK250" s="12">
        <f t="shared" si="13"/>
        <v>5</v>
      </c>
      <c r="AL250" s="13" t="str">
        <f t="shared" si="14"/>
        <v>excellent</v>
      </c>
      <c r="AM250" s="7"/>
      <c r="AN250" s="7"/>
    </row>
    <row r="251">
      <c r="A251" s="7" t="s">
        <v>522</v>
      </c>
      <c r="B251" s="7" t="s">
        <v>523</v>
      </c>
      <c r="C251" s="8" t="s">
        <v>500</v>
      </c>
      <c r="D251" s="7" t="s">
        <v>171</v>
      </c>
      <c r="E251" s="8" t="b">
        <f t="shared" ref="E251:K251" si="756">IF(IFERROR(SEARCH(E$1, $D251),0) &gt;= 1, TRUE,FALSE)</f>
        <v>1</v>
      </c>
      <c r="F251" s="8" t="b">
        <f t="shared" si="756"/>
        <v>1</v>
      </c>
      <c r="G251" s="8" t="b">
        <f t="shared" si="756"/>
        <v>0</v>
      </c>
      <c r="H251" s="8" t="b">
        <f t="shared" si="756"/>
        <v>0</v>
      </c>
      <c r="I251" s="8" t="b">
        <f t="shared" si="756"/>
        <v>1</v>
      </c>
      <c r="J251" s="8" t="b">
        <f t="shared" si="756"/>
        <v>1</v>
      </c>
      <c r="K251" s="8" t="b">
        <f t="shared" si="756"/>
        <v>0</v>
      </c>
      <c r="L251" s="9" t="b">
        <v>1</v>
      </c>
      <c r="M251" s="9" t="b">
        <v>1</v>
      </c>
      <c r="N251" s="9" t="b">
        <v>1</v>
      </c>
      <c r="O251" s="9" t="b">
        <v>0</v>
      </c>
      <c r="P251" s="7" t="str">
        <f t="shared" si="5"/>
        <v>Museum Dr. Guislain</v>
      </c>
      <c r="Q251" s="10">
        <v>10.0</v>
      </c>
      <c r="R251" s="9" t="b">
        <v>0</v>
      </c>
      <c r="S251" s="9" t="b">
        <v>1</v>
      </c>
      <c r="T251" s="10">
        <v>10.0</v>
      </c>
      <c r="U251" s="11">
        <f t="shared" si="6"/>
        <v>0</v>
      </c>
      <c r="V251" s="11">
        <f t="shared" ref="V251:AB251" si="757">IF(OR(AW251 = $AO$4, AW251 = $AQ$4), 1, 0)</f>
        <v>1</v>
      </c>
      <c r="W251" s="11">
        <f t="shared" si="757"/>
        <v>1</v>
      </c>
      <c r="X251" s="11">
        <f t="shared" si="757"/>
        <v>1</v>
      </c>
      <c r="Y251" s="11">
        <f t="shared" si="757"/>
        <v>1</v>
      </c>
      <c r="Z251" s="11">
        <f t="shared" si="757"/>
        <v>1</v>
      </c>
      <c r="AA251" s="11">
        <f t="shared" si="757"/>
        <v>1</v>
      </c>
      <c r="AB251" s="11">
        <f t="shared" si="757"/>
        <v>1</v>
      </c>
      <c r="AC251" s="11">
        <f t="shared" si="8"/>
        <v>7</v>
      </c>
      <c r="AD251" s="11">
        <f t="shared" si="9"/>
        <v>1</v>
      </c>
      <c r="AE251" s="11">
        <f t="shared" ref="AE251:AH251" si="758">IF(OR(BD251 = $AO$6, BD251 = $AS$6, BD251 = $AT$6, BD251 = $AU$6), 1, 0)</f>
        <v>1</v>
      </c>
      <c r="AF251" s="11">
        <f t="shared" si="758"/>
        <v>1</v>
      </c>
      <c r="AG251" s="11">
        <f t="shared" si="758"/>
        <v>1</v>
      </c>
      <c r="AH251" s="11">
        <f t="shared" si="758"/>
        <v>1</v>
      </c>
      <c r="AI251" s="11">
        <f t="shared" si="11"/>
        <v>4</v>
      </c>
      <c r="AJ251" s="11">
        <f t="shared" si="12"/>
        <v>12</v>
      </c>
      <c r="AK251" s="12">
        <f t="shared" si="13"/>
        <v>5</v>
      </c>
      <c r="AL251" s="13" t="str">
        <f t="shared" si="14"/>
        <v>excellent</v>
      </c>
      <c r="AM251" s="7"/>
      <c r="AN251" s="7"/>
    </row>
    <row r="252">
      <c r="A252" s="7" t="s">
        <v>524</v>
      </c>
      <c r="B252" s="7" t="s">
        <v>525</v>
      </c>
      <c r="C252" s="8" t="s">
        <v>500</v>
      </c>
      <c r="D252" s="7" t="s">
        <v>9</v>
      </c>
      <c r="E252" s="8" t="b">
        <f t="shared" ref="E252:K252" si="759">IF(IFERROR(SEARCH(E$1, $D252),0) &gt;= 1, TRUE,FALSE)</f>
        <v>0</v>
      </c>
      <c r="F252" s="8" t="b">
        <f t="shared" si="759"/>
        <v>0</v>
      </c>
      <c r="G252" s="8" t="b">
        <f t="shared" si="759"/>
        <v>0</v>
      </c>
      <c r="H252" s="8" t="b">
        <f t="shared" si="759"/>
        <v>0</v>
      </c>
      <c r="I252" s="8" t="b">
        <f t="shared" si="759"/>
        <v>0</v>
      </c>
      <c r="J252" s="8" t="b">
        <f t="shared" si="759"/>
        <v>1</v>
      </c>
      <c r="K252" s="8" t="b">
        <f t="shared" si="759"/>
        <v>0</v>
      </c>
      <c r="L252" s="9" t="b">
        <v>1</v>
      </c>
      <c r="M252" s="9" t="b">
        <v>0</v>
      </c>
      <c r="N252" s="9" t="b">
        <v>0</v>
      </c>
      <c r="O252" s="9" t="b">
        <v>0</v>
      </c>
      <c r="P252" s="7" t="str">
        <f t="shared" si="5"/>
        <v>Gemeentelijk museum Gevaert-Minne</v>
      </c>
      <c r="Q252" s="10">
        <v>5.0</v>
      </c>
      <c r="R252" s="9" t="b">
        <v>0</v>
      </c>
      <c r="S252" s="9" t="b">
        <v>1</v>
      </c>
      <c r="T252" s="10">
        <v>5.0</v>
      </c>
      <c r="U252" s="11">
        <f t="shared" si="6"/>
        <v>0</v>
      </c>
      <c r="V252" s="11">
        <f t="shared" ref="V252:AB252" si="760">IF(OR(AW252 = $AO$4, AW252 = $AQ$4), 1, 0)</f>
        <v>1</v>
      </c>
      <c r="W252" s="11">
        <f t="shared" si="760"/>
        <v>1</v>
      </c>
      <c r="X252" s="11">
        <f t="shared" si="760"/>
        <v>1</v>
      </c>
      <c r="Y252" s="11">
        <f t="shared" si="760"/>
        <v>1</v>
      </c>
      <c r="Z252" s="11">
        <f t="shared" si="760"/>
        <v>1</v>
      </c>
      <c r="AA252" s="11">
        <f t="shared" si="760"/>
        <v>1</v>
      </c>
      <c r="AB252" s="11">
        <f t="shared" si="760"/>
        <v>1</v>
      </c>
      <c r="AC252" s="11">
        <f t="shared" si="8"/>
        <v>7</v>
      </c>
      <c r="AD252" s="11">
        <f t="shared" si="9"/>
        <v>1</v>
      </c>
      <c r="AE252" s="11">
        <f t="shared" ref="AE252:AH252" si="761">IF(OR(BD252 = $AO$6, BD252 = $AS$6, BD252 = $AT$6, BD252 = $AU$6), 1, 0)</f>
        <v>1</v>
      </c>
      <c r="AF252" s="11">
        <f t="shared" si="761"/>
        <v>1</v>
      </c>
      <c r="AG252" s="11">
        <f t="shared" si="761"/>
        <v>1</v>
      </c>
      <c r="AH252" s="11">
        <f t="shared" si="761"/>
        <v>1</v>
      </c>
      <c r="AI252" s="11">
        <f t="shared" si="11"/>
        <v>4</v>
      </c>
      <c r="AJ252" s="11">
        <f t="shared" si="12"/>
        <v>12</v>
      </c>
      <c r="AK252" s="12">
        <f t="shared" si="13"/>
        <v>5</v>
      </c>
      <c r="AL252" s="13" t="str">
        <f t="shared" si="14"/>
        <v>excellent</v>
      </c>
      <c r="AM252" s="7"/>
      <c r="AN252" s="7"/>
    </row>
    <row r="253">
      <c r="A253" s="7" t="s">
        <v>526</v>
      </c>
      <c r="B253" s="7" t="s">
        <v>527</v>
      </c>
      <c r="C253" s="8" t="s">
        <v>500</v>
      </c>
      <c r="D253" s="7" t="s">
        <v>9</v>
      </c>
      <c r="E253" s="8" t="b">
        <f t="shared" ref="E253:K253" si="762">IF(IFERROR(SEARCH(E$1, $D253),0) &gt;= 1, TRUE,FALSE)</f>
        <v>0</v>
      </c>
      <c r="F253" s="8" t="b">
        <f t="shared" si="762"/>
        <v>0</v>
      </c>
      <c r="G253" s="8" t="b">
        <f t="shared" si="762"/>
        <v>0</v>
      </c>
      <c r="H253" s="8" t="b">
        <f t="shared" si="762"/>
        <v>0</v>
      </c>
      <c r="I253" s="8" t="b">
        <f t="shared" si="762"/>
        <v>0</v>
      </c>
      <c r="J253" s="8" t="b">
        <f t="shared" si="762"/>
        <v>1</v>
      </c>
      <c r="K253" s="8" t="b">
        <f t="shared" si="762"/>
        <v>0</v>
      </c>
      <c r="L253" s="9" t="b">
        <v>1</v>
      </c>
      <c r="M253" s="9" t="b">
        <v>0</v>
      </c>
      <c r="N253" s="9" t="b">
        <v>0</v>
      </c>
      <c r="O253" s="9" t="b">
        <v>0</v>
      </c>
      <c r="P253" s="7" t="str">
        <f t="shared" si="5"/>
        <v>Gemeentelijk museum Gust De Smet</v>
      </c>
      <c r="Q253" s="10">
        <v>5.0</v>
      </c>
      <c r="R253" s="9" t="b">
        <v>0</v>
      </c>
      <c r="S253" s="9" t="b">
        <v>0</v>
      </c>
      <c r="T253" s="7"/>
      <c r="U253" s="11">
        <f t="shared" si="6"/>
        <v>0</v>
      </c>
      <c r="V253" s="11">
        <f t="shared" ref="V253:AB253" si="763">IF(OR(AW253 = $AO$4, AW253 = $AQ$4), 1, 0)</f>
        <v>1</v>
      </c>
      <c r="W253" s="11">
        <f t="shared" si="763"/>
        <v>1</v>
      </c>
      <c r="X253" s="11">
        <f t="shared" si="763"/>
        <v>1</v>
      </c>
      <c r="Y253" s="11">
        <f t="shared" si="763"/>
        <v>1</v>
      </c>
      <c r="Z253" s="11">
        <f t="shared" si="763"/>
        <v>1</v>
      </c>
      <c r="AA253" s="11">
        <f t="shared" si="763"/>
        <v>1</v>
      </c>
      <c r="AB253" s="11">
        <f t="shared" si="763"/>
        <v>1</v>
      </c>
      <c r="AC253" s="11">
        <f t="shared" si="8"/>
        <v>7</v>
      </c>
      <c r="AD253" s="11">
        <f t="shared" si="9"/>
        <v>1</v>
      </c>
      <c r="AE253" s="11">
        <f t="shared" ref="AE253:AH253" si="764">IF(OR(BD253 = $AO$6, BD253 = $AS$6, BD253 = $AT$6, BD253 = $AU$6), 1, 0)</f>
        <v>1</v>
      </c>
      <c r="AF253" s="11">
        <f t="shared" si="764"/>
        <v>1</v>
      </c>
      <c r="AG253" s="11">
        <f t="shared" si="764"/>
        <v>1</v>
      </c>
      <c r="AH253" s="11">
        <f t="shared" si="764"/>
        <v>1</v>
      </c>
      <c r="AI253" s="11">
        <f t="shared" si="11"/>
        <v>4</v>
      </c>
      <c r="AJ253" s="11">
        <f t="shared" si="12"/>
        <v>12</v>
      </c>
      <c r="AK253" s="12">
        <f t="shared" si="13"/>
        <v>5</v>
      </c>
      <c r="AL253" s="13" t="str">
        <f t="shared" si="14"/>
        <v>excellent</v>
      </c>
      <c r="AM253" s="7"/>
      <c r="AN253" s="7"/>
    </row>
    <row r="254">
      <c r="A254" s="7" t="s">
        <v>528</v>
      </c>
      <c r="B254" s="7" t="s">
        <v>529</v>
      </c>
      <c r="C254" s="8" t="s">
        <v>500</v>
      </c>
      <c r="D254" s="7" t="s">
        <v>4</v>
      </c>
      <c r="E254" s="8" t="b">
        <f t="shared" ref="E254:K254" si="765">IF(IFERROR(SEARCH(E$1, $D254),0) &gt;= 1, TRUE,FALSE)</f>
        <v>1</v>
      </c>
      <c r="F254" s="8" t="b">
        <f t="shared" si="765"/>
        <v>0</v>
      </c>
      <c r="G254" s="8" t="b">
        <f t="shared" si="765"/>
        <v>0</v>
      </c>
      <c r="H254" s="8" t="b">
        <f t="shared" si="765"/>
        <v>0</v>
      </c>
      <c r="I254" s="8" t="b">
        <f t="shared" si="765"/>
        <v>0</v>
      </c>
      <c r="J254" s="8" t="b">
        <f t="shared" si="765"/>
        <v>0</v>
      </c>
      <c r="K254" s="8" t="b">
        <f t="shared" si="765"/>
        <v>0</v>
      </c>
      <c r="L254" s="9" t="b">
        <v>1</v>
      </c>
      <c r="M254" s="9" t="b">
        <v>1</v>
      </c>
      <c r="N254" s="9" t="b">
        <v>1</v>
      </c>
      <c r="O254" s="9" t="b">
        <v>0</v>
      </c>
      <c r="P254" s="7" t="str">
        <f t="shared" si="5"/>
        <v>Provinciale Erfgoedsite Ename</v>
      </c>
      <c r="Q254" s="10">
        <v>8.0</v>
      </c>
      <c r="R254" s="9" t="b">
        <v>0</v>
      </c>
      <c r="S254" s="9" t="b">
        <v>0</v>
      </c>
      <c r="T254" s="7"/>
      <c r="U254" s="11">
        <f t="shared" si="6"/>
        <v>0</v>
      </c>
      <c r="V254" s="11">
        <f t="shared" ref="V254:AB254" si="766">IF(OR(AW254 = $AO$4, AW254 = $AQ$4), 1, 0)</f>
        <v>1</v>
      </c>
      <c r="W254" s="11">
        <f t="shared" si="766"/>
        <v>1</v>
      </c>
      <c r="X254" s="11">
        <f t="shared" si="766"/>
        <v>1</v>
      </c>
      <c r="Y254" s="11">
        <f t="shared" si="766"/>
        <v>1</v>
      </c>
      <c r="Z254" s="11">
        <f t="shared" si="766"/>
        <v>1</v>
      </c>
      <c r="AA254" s="11">
        <f t="shared" si="766"/>
        <v>1</v>
      </c>
      <c r="AB254" s="11">
        <f t="shared" si="766"/>
        <v>1</v>
      </c>
      <c r="AC254" s="11">
        <f t="shared" si="8"/>
        <v>7</v>
      </c>
      <c r="AD254" s="11">
        <f t="shared" si="9"/>
        <v>1</v>
      </c>
      <c r="AE254" s="11">
        <f t="shared" ref="AE254:AH254" si="767">IF(OR(BD254 = $AO$6, BD254 = $AS$6, BD254 = $AT$6, BD254 = $AU$6), 1, 0)</f>
        <v>1</v>
      </c>
      <c r="AF254" s="11">
        <f t="shared" si="767"/>
        <v>1</v>
      </c>
      <c r="AG254" s="11">
        <f t="shared" si="767"/>
        <v>1</v>
      </c>
      <c r="AH254" s="11">
        <f t="shared" si="767"/>
        <v>1</v>
      </c>
      <c r="AI254" s="11">
        <f t="shared" si="11"/>
        <v>4</v>
      </c>
      <c r="AJ254" s="11">
        <f t="shared" si="12"/>
        <v>12</v>
      </c>
      <c r="AK254" s="12">
        <f t="shared" si="13"/>
        <v>5</v>
      </c>
      <c r="AL254" s="13" t="str">
        <f t="shared" si="14"/>
        <v>excellent</v>
      </c>
      <c r="AM254" s="7"/>
      <c r="AN254" s="7"/>
    </row>
    <row r="255">
      <c r="A255" s="7" t="s">
        <v>530</v>
      </c>
      <c r="B255" s="7" t="s">
        <v>531</v>
      </c>
      <c r="C255" s="8" t="s">
        <v>500</v>
      </c>
      <c r="D255" s="7" t="s">
        <v>4</v>
      </c>
      <c r="E255" s="8" t="b">
        <f t="shared" ref="E255:K255" si="768">IF(IFERROR(SEARCH(E$1, $D255),0) &gt;= 1, TRUE,FALSE)</f>
        <v>1</v>
      </c>
      <c r="F255" s="8" t="b">
        <f t="shared" si="768"/>
        <v>0</v>
      </c>
      <c r="G255" s="8" t="b">
        <f t="shared" si="768"/>
        <v>0</v>
      </c>
      <c r="H255" s="8" t="b">
        <f t="shared" si="768"/>
        <v>0</v>
      </c>
      <c r="I255" s="8" t="b">
        <f t="shared" si="768"/>
        <v>0</v>
      </c>
      <c r="J255" s="8" t="b">
        <f t="shared" si="768"/>
        <v>0</v>
      </c>
      <c r="K255" s="8" t="b">
        <f t="shared" si="768"/>
        <v>0</v>
      </c>
      <c r="L255" s="9" t="b">
        <v>0</v>
      </c>
      <c r="M255" s="9" t="b">
        <v>1</v>
      </c>
      <c r="N255" s="9" t="b">
        <v>1</v>
      </c>
      <c r="O255" s="9" t="b">
        <v>0</v>
      </c>
      <c r="P255" s="7" t="str">
        <f t="shared" si="5"/>
        <v>Provinciale Erfgoedsite Scheepswerven Baasrode</v>
      </c>
      <c r="Q255" s="10">
        <v>8.0</v>
      </c>
      <c r="R255" s="9" t="b">
        <v>0</v>
      </c>
      <c r="S255" s="9" t="b">
        <v>0</v>
      </c>
      <c r="T255" s="7"/>
      <c r="U255" s="11">
        <f t="shared" si="6"/>
        <v>0</v>
      </c>
      <c r="V255" s="11">
        <f t="shared" ref="V255:AB255" si="769">IF(OR(AW255 = $AO$4, AW255 = $AQ$4), 1, 0)</f>
        <v>1</v>
      </c>
      <c r="W255" s="11">
        <f t="shared" si="769"/>
        <v>1</v>
      </c>
      <c r="X255" s="11">
        <f t="shared" si="769"/>
        <v>1</v>
      </c>
      <c r="Y255" s="11">
        <f t="shared" si="769"/>
        <v>1</v>
      </c>
      <c r="Z255" s="11">
        <f t="shared" si="769"/>
        <v>1</v>
      </c>
      <c r="AA255" s="11">
        <f t="shared" si="769"/>
        <v>1</v>
      </c>
      <c r="AB255" s="11">
        <f t="shared" si="769"/>
        <v>1</v>
      </c>
      <c r="AC255" s="11">
        <f t="shared" si="8"/>
        <v>7</v>
      </c>
      <c r="AD255" s="11">
        <f t="shared" si="9"/>
        <v>1</v>
      </c>
      <c r="AE255" s="11">
        <f t="shared" ref="AE255:AH255" si="770">IF(OR(BD255 = $AO$6, BD255 = $AS$6, BD255 = $AT$6, BD255 = $AU$6), 1, 0)</f>
        <v>1</v>
      </c>
      <c r="AF255" s="11">
        <f t="shared" si="770"/>
        <v>1</v>
      </c>
      <c r="AG255" s="11">
        <f t="shared" si="770"/>
        <v>1</v>
      </c>
      <c r="AH255" s="11">
        <f t="shared" si="770"/>
        <v>1</v>
      </c>
      <c r="AI255" s="11">
        <f t="shared" si="11"/>
        <v>4</v>
      </c>
      <c r="AJ255" s="11">
        <f t="shared" si="12"/>
        <v>12</v>
      </c>
      <c r="AK255" s="12">
        <f t="shared" si="13"/>
        <v>5</v>
      </c>
      <c r="AL255" s="13" t="str">
        <f t="shared" si="14"/>
        <v>excellent</v>
      </c>
      <c r="AM255" s="7"/>
      <c r="AN255" s="7"/>
    </row>
    <row r="256">
      <c r="A256" s="7" t="s">
        <v>532</v>
      </c>
      <c r="B256" s="7" t="s">
        <v>533</v>
      </c>
      <c r="C256" s="8" t="s">
        <v>500</v>
      </c>
      <c r="D256" s="7" t="s">
        <v>4</v>
      </c>
      <c r="E256" s="8" t="b">
        <f t="shared" ref="E256:K256" si="771">IF(IFERROR(SEARCH(E$1, $D256),0) &gt;= 1, TRUE,FALSE)</f>
        <v>1</v>
      </c>
      <c r="F256" s="8" t="b">
        <f t="shared" si="771"/>
        <v>0</v>
      </c>
      <c r="G256" s="8" t="b">
        <f t="shared" si="771"/>
        <v>0</v>
      </c>
      <c r="H256" s="8" t="b">
        <f t="shared" si="771"/>
        <v>0</v>
      </c>
      <c r="I256" s="8" t="b">
        <f t="shared" si="771"/>
        <v>0</v>
      </c>
      <c r="J256" s="8" t="b">
        <f t="shared" si="771"/>
        <v>0</v>
      </c>
      <c r="K256" s="8" t="b">
        <f t="shared" si="771"/>
        <v>0</v>
      </c>
      <c r="L256" s="9" t="b">
        <v>0</v>
      </c>
      <c r="M256" s="9" t="b">
        <v>0</v>
      </c>
      <c r="N256" s="9" t="b">
        <v>1</v>
      </c>
      <c r="O256" s="9" t="b">
        <v>0</v>
      </c>
      <c r="P256" s="7" t="str">
        <f t="shared" si="5"/>
        <v>Provinciale Erfgoedsite Archeocentrum Velzeke</v>
      </c>
      <c r="Q256" s="10">
        <v>8.0</v>
      </c>
      <c r="R256" s="9" t="b">
        <v>0</v>
      </c>
      <c r="S256" s="9" t="b">
        <v>1</v>
      </c>
      <c r="T256" s="10">
        <v>8.0</v>
      </c>
      <c r="U256" s="11">
        <f t="shared" si="6"/>
        <v>0</v>
      </c>
      <c r="V256" s="11">
        <f t="shared" ref="V256:AB256" si="772">IF(OR(AW256 = $AO$4, AW256 = $AQ$4), 1, 0)</f>
        <v>1</v>
      </c>
      <c r="W256" s="11">
        <f t="shared" si="772"/>
        <v>1</v>
      </c>
      <c r="X256" s="11">
        <f t="shared" si="772"/>
        <v>1</v>
      </c>
      <c r="Y256" s="11">
        <f t="shared" si="772"/>
        <v>1</v>
      </c>
      <c r="Z256" s="11">
        <f t="shared" si="772"/>
        <v>1</v>
      </c>
      <c r="AA256" s="11">
        <f t="shared" si="772"/>
        <v>1</v>
      </c>
      <c r="AB256" s="11">
        <f t="shared" si="772"/>
        <v>1</v>
      </c>
      <c r="AC256" s="11">
        <f t="shared" si="8"/>
        <v>7</v>
      </c>
      <c r="AD256" s="11">
        <f t="shared" si="9"/>
        <v>1</v>
      </c>
      <c r="AE256" s="11">
        <f t="shared" ref="AE256:AH256" si="773">IF(OR(BD256 = $AO$6, BD256 = $AS$6, BD256 = $AT$6, BD256 = $AU$6), 1, 0)</f>
        <v>1</v>
      </c>
      <c r="AF256" s="11">
        <f t="shared" si="773"/>
        <v>1</v>
      </c>
      <c r="AG256" s="11">
        <f t="shared" si="773"/>
        <v>1</v>
      </c>
      <c r="AH256" s="11">
        <f t="shared" si="773"/>
        <v>1</v>
      </c>
      <c r="AI256" s="11">
        <f t="shared" si="11"/>
        <v>4</v>
      </c>
      <c r="AJ256" s="11">
        <f t="shared" si="12"/>
        <v>12</v>
      </c>
      <c r="AK256" s="12">
        <f t="shared" si="13"/>
        <v>5</v>
      </c>
      <c r="AL256" s="13" t="str">
        <f t="shared" si="14"/>
        <v>excellent</v>
      </c>
      <c r="AM256" s="7"/>
      <c r="AN256" s="7"/>
    </row>
    <row r="257">
      <c r="A257" s="7" t="s">
        <v>534</v>
      </c>
      <c r="B257" s="7" t="s">
        <v>535</v>
      </c>
      <c r="C257" s="8" t="s">
        <v>500</v>
      </c>
      <c r="D257" s="7" t="s">
        <v>9</v>
      </c>
      <c r="E257" s="8" t="b">
        <f t="shared" ref="E257:K257" si="774">IF(IFERROR(SEARCH(E$1, $D257),0) &gt;= 1, TRUE,FALSE)</f>
        <v>0</v>
      </c>
      <c r="F257" s="8" t="b">
        <f t="shared" si="774"/>
        <v>0</v>
      </c>
      <c r="G257" s="8" t="b">
        <f t="shared" si="774"/>
        <v>0</v>
      </c>
      <c r="H257" s="8" t="b">
        <f t="shared" si="774"/>
        <v>0</v>
      </c>
      <c r="I257" s="8" t="b">
        <f t="shared" si="774"/>
        <v>0</v>
      </c>
      <c r="J257" s="8" t="b">
        <f t="shared" si="774"/>
        <v>1</v>
      </c>
      <c r="K257" s="8" t="b">
        <f t="shared" si="774"/>
        <v>0</v>
      </c>
      <c r="L257" s="9" t="b">
        <v>1</v>
      </c>
      <c r="M257" s="9" t="b">
        <v>0</v>
      </c>
      <c r="N257" s="9" t="b">
        <v>1</v>
      </c>
      <c r="O257" s="9" t="b">
        <v>0</v>
      </c>
      <c r="P257" s="7" t="str">
        <f t="shared" si="5"/>
        <v>Roger Raveelmuseum</v>
      </c>
      <c r="Q257" s="10">
        <v>10.0</v>
      </c>
      <c r="R257" s="9" t="b">
        <v>1</v>
      </c>
      <c r="S257" s="9" t="b">
        <v>0</v>
      </c>
      <c r="T257" s="7"/>
      <c r="U257" s="11">
        <f t="shared" si="6"/>
        <v>0</v>
      </c>
      <c r="V257" s="11">
        <f t="shared" ref="V257:AB257" si="775">IF(OR(AW257 = $AO$4, AW257 = $AQ$4), 1, 0)</f>
        <v>1</v>
      </c>
      <c r="W257" s="11">
        <f t="shared" si="775"/>
        <v>1</v>
      </c>
      <c r="X257" s="11">
        <f t="shared" si="775"/>
        <v>1</v>
      </c>
      <c r="Y257" s="11">
        <f t="shared" si="775"/>
        <v>1</v>
      </c>
      <c r="Z257" s="11">
        <f t="shared" si="775"/>
        <v>1</v>
      </c>
      <c r="AA257" s="11">
        <f t="shared" si="775"/>
        <v>1</v>
      </c>
      <c r="AB257" s="11">
        <f t="shared" si="775"/>
        <v>1</v>
      </c>
      <c r="AC257" s="11">
        <f t="shared" si="8"/>
        <v>7</v>
      </c>
      <c r="AD257" s="11">
        <f t="shared" si="9"/>
        <v>1</v>
      </c>
      <c r="AE257" s="11">
        <f t="shared" ref="AE257:AH257" si="776">IF(OR(BD257 = $AO$6, BD257 = $AS$6, BD257 = $AT$6, BD257 = $AU$6), 1, 0)</f>
        <v>1</v>
      </c>
      <c r="AF257" s="11">
        <f t="shared" si="776"/>
        <v>1</v>
      </c>
      <c r="AG257" s="11">
        <f t="shared" si="776"/>
        <v>1</v>
      </c>
      <c r="AH257" s="11">
        <f t="shared" si="776"/>
        <v>1</v>
      </c>
      <c r="AI257" s="11">
        <f t="shared" si="11"/>
        <v>4</v>
      </c>
      <c r="AJ257" s="11">
        <f t="shared" si="12"/>
        <v>12</v>
      </c>
      <c r="AK257" s="12">
        <f t="shared" si="13"/>
        <v>5</v>
      </c>
      <c r="AL257" s="13" t="str">
        <f t="shared" si="14"/>
        <v>excellent</v>
      </c>
      <c r="AM257" s="7"/>
      <c r="AN257" s="7"/>
    </row>
    <row r="258">
      <c r="A258" s="7" t="s">
        <v>536</v>
      </c>
      <c r="B258" s="7" t="s">
        <v>537</v>
      </c>
      <c r="C258" s="8" t="s">
        <v>500</v>
      </c>
      <c r="D258" s="7" t="s">
        <v>164</v>
      </c>
      <c r="E258" s="8" t="b">
        <f t="shared" ref="E258:K258" si="777">IF(IFERROR(SEARCH(E$1, $D258),0) &gt;= 1, TRUE,FALSE)</f>
        <v>1</v>
      </c>
      <c r="F258" s="8" t="b">
        <f t="shared" si="777"/>
        <v>0</v>
      </c>
      <c r="G258" s="8" t="b">
        <f t="shared" si="777"/>
        <v>0</v>
      </c>
      <c r="H258" s="8" t="b">
        <f t="shared" si="777"/>
        <v>1</v>
      </c>
      <c r="I258" s="8" t="b">
        <f t="shared" si="777"/>
        <v>0</v>
      </c>
      <c r="J258" s="8" t="b">
        <f t="shared" si="777"/>
        <v>0</v>
      </c>
      <c r="K258" s="8" t="b">
        <f t="shared" si="777"/>
        <v>0</v>
      </c>
      <c r="L258" s="9" t="b">
        <v>1</v>
      </c>
      <c r="M258" s="9" t="b">
        <v>1</v>
      </c>
      <c r="N258" s="9" t="b">
        <v>1</v>
      </c>
      <c r="O258" s="9" t="b">
        <v>0</v>
      </c>
      <c r="P258" s="7" t="str">
        <f t="shared" si="5"/>
        <v>Sint-Pietersabdij Gent</v>
      </c>
      <c r="Q258" s="10">
        <v>0.0</v>
      </c>
      <c r="R258" s="9" t="b">
        <v>0</v>
      </c>
      <c r="S258" s="9" t="b">
        <v>1</v>
      </c>
      <c r="T258" s="10">
        <v>13.0</v>
      </c>
      <c r="U258" s="11">
        <f t="shared" si="6"/>
        <v>0</v>
      </c>
      <c r="V258" s="11">
        <f t="shared" ref="V258:AB258" si="778">IF(OR(AW258 = $AO$4, AW258 = $AQ$4), 1, 0)</f>
        <v>1</v>
      </c>
      <c r="W258" s="11">
        <f t="shared" si="778"/>
        <v>1</v>
      </c>
      <c r="X258" s="11">
        <f t="shared" si="778"/>
        <v>1</v>
      </c>
      <c r="Y258" s="11">
        <f t="shared" si="778"/>
        <v>1</v>
      </c>
      <c r="Z258" s="11">
        <f t="shared" si="778"/>
        <v>1</v>
      </c>
      <c r="AA258" s="11">
        <f t="shared" si="778"/>
        <v>1</v>
      </c>
      <c r="AB258" s="11">
        <f t="shared" si="778"/>
        <v>1</v>
      </c>
      <c r="AC258" s="11">
        <f t="shared" si="8"/>
        <v>7</v>
      </c>
      <c r="AD258" s="11">
        <f t="shared" si="9"/>
        <v>1</v>
      </c>
      <c r="AE258" s="11">
        <f t="shared" ref="AE258:AH258" si="779">IF(OR(BD258 = $AO$6, BD258 = $AS$6, BD258 = $AT$6, BD258 = $AU$6), 1, 0)</f>
        <v>1</v>
      </c>
      <c r="AF258" s="11">
        <f t="shared" si="779"/>
        <v>1</v>
      </c>
      <c r="AG258" s="11">
        <f t="shared" si="779"/>
        <v>1</v>
      </c>
      <c r="AH258" s="11">
        <f t="shared" si="779"/>
        <v>1</v>
      </c>
      <c r="AI258" s="11">
        <f t="shared" si="11"/>
        <v>4</v>
      </c>
      <c r="AJ258" s="11">
        <f t="shared" si="12"/>
        <v>12</v>
      </c>
      <c r="AK258" s="12">
        <f t="shared" si="13"/>
        <v>5</v>
      </c>
      <c r="AL258" s="13" t="str">
        <f t="shared" si="14"/>
        <v>excellent</v>
      </c>
      <c r="AM258" s="7"/>
      <c r="AN258" s="7"/>
    </row>
    <row r="259">
      <c r="A259" s="7" t="s">
        <v>538</v>
      </c>
      <c r="B259" s="7"/>
      <c r="C259" s="8" t="s">
        <v>500</v>
      </c>
      <c r="D259" s="7" t="s">
        <v>9</v>
      </c>
      <c r="E259" s="8" t="b">
        <f t="shared" ref="E259:K259" si="780">IF(IFERROR(SEARCH(E$1, $D259),0) &gt;= 1, TRUE,FALSE)</f>
        <v>0</v>
      </c>
      <c r="F259" s="8" t="b">
        <f t="shared" si="780"/>
        <v>0</v>
      </c>
      <c r="G259" s="8" t="b">
        <f t="shared" si="780"/>
        <v>0</v>
      </c>
      <c r="H259" s="8" t="b">
        <f t="shared" si="780"/>
        <v>0</v>
      </c>
      <c r="I259" s="8" t="b">
        <f t="shared" si="780"/>
        <v>0</v>
      </c>
      <c r="J259" s="8" t="b">
        <f t="shared" si="780"/>
        <v>1</v>
      </c>
      <c r="K259" s="8" t="b">
        <f t="shared" si="780"/>
        <v>0</v>
      </c>
      <c r="L259" s="9" t="b">
        <v>1</v>
      </c>
      <c r="M259" s="9" t="b">
        <v>1</v>
      </c>
      <c r="N259" s="9" t="b">
        <v>1</v>
      </c>
      <c r="O259" s="9" t="b">
        <v>1</v>
      </c>
      <c r="P259" s="7" t="str">
        <f t="shared" si="5"/>
        <v>S.M.A.K.</v>
      </c>
      <c r="Q259" s="10">
        <v>15.0</v>
      </c>
      <c r="R259" s="9" t="b">
        <v>0</v>
      </c>
      <c r="S259" s="9" t="b">
        <v>1</v>
      </c>
      <c r="T259" s="10">
        <v>18.0</v>
      </c>
      <c r="U259" s="11">
        <f t="shared" si="6"/>
        <v>0</v>
      </c>
      <c r="V259" s="11">
        <f t="shared" ref="V259:AB259" si="781">IF(OR(AW259 = $AO$4, AW259 = $AQ$4), 1, 0)</f>
        <v>1</v>
      </c>
      <c r="W259" s="11">
        <f t="shared" si="781"/>
        <v>1</v>
      </c>
      <c r="X259" s="11">
        <f t="shared" si="781"/>
        <v>1</v>
      </c>
      <c r="Y259" s="11">
        <f t="shared" si="781"/>
        <v>1</v>
      </c>
      <c r="Z259" s="11">
        <f t="shared" si="781"/>
        <v>1</v>
      </c>
      <c r="AA259" s="11">
        <f t="shared" si="781"/>
        <v>1</v>
      </c>
      <c r="AB259" s="11">
        <f t="shared" si="781"/>
        <v>1</v>
      </c>
      <c r="AC259" s="11">
        <f t="shared" si="8"/>
        <v>7</v>
      </c>
      <c r="AD259" s="11">
        <f t="shared" si="9"/>
        <v>1</v>
      </c>
      <c r="AE259" s="11">
        <f t="shared" ref="AE259:AH259" si="782">IF(OR(BD259 = $AO$6, BD259 = $AS$6, BD259 = $AT$6, BD259 = $AU$6), 1, 0)</f>
        <v>1</v>
      </c>
      <c r="AF259" s="11">
        <f t="shared" si="782"/>
        <v>1</v>
      </c>
      <c r="AG259" s="11">
        <f t="shared" si="782"/>
        <v>1</v>
      </c>
      <c r="AH259" s="11">
        <f t="shared" si="782"/>
        <v>1</v>
      </c>
      <c r="AI259" s="11">
        <f t="shared" si="11"/>
        <v>4</v>
      </c>
      <c r="AJ259" s="11">
        <f t="shared" si="12"/>
        <v>12</v>
      </c>
      <c r="AK259" s="12">
        <f t="shared" si="13"/>
        <v>5</v>
      </c>
      <c r="AL259" s="13" t="str">
        <f t="shared" si="14"/>
        <v>excellent</v>
      </c>
      <c r="AM259" s="7"/>
      <c r="AN259" s="7"/>
    </row>
    <row r="260">
      <c r="A260" s="7" t="s">
        <v>539</v>
      </c>
      <c r="B260" s="7" t="s">
        <v>540</v>
      </c>
      <c r="C260" s="8" t="s">
        <v>500</v>
      </c>
      <c r="D260" s="7" t="s">
        <v>4</v>
      </c>
      <c r="E260" s="8" t="b">
        <f t="shared" ref="E260:K260" si="783">IF(IFERROR(SEARCH(E$1, $D260),0) &gt;= 1, TRUE,FALSE)</f>
        <v>1</v>
      </c>
      <c r="F260" s="8" t="b">
        <f t="shared" si="783"/>
        <v>0</v>
      </c>
      <c r="G260" s="8" t="b">
        <f t="shared" si="783"/>
        <v>0</v>
      </c>
      <c r="H260" s="8" t="b">
        <f t="shared" si="783"/>
        <v>0</v>
      </c>
      <c r="I260" s="8" t="b">
        <f t="shared" si="783"/>
        <v>0</v>
      </c>
      <c r="J260" s="8" t="b">
        <f t="shared" si="783"/>
        <v>0</v>
      </c>
      <c r="K260" s="8" t="b">
        <f t="shared" si="783"/>
        <v>0</v>
      </c>
      <c r="L260" s="9" t="b">
        <v>1</v>
      </c>
      <c r="M260" s="9" t="b">
        <v>1</v>
      </c>
      <c r="N260" s="9" t="b">
        <v>0</v>
      </c>
      <c r="O260" s="9" t="b">
        <v>1</v>
      </c>
      <c r="P260" s="7" t="str">
        <f t="shared" si="5"/>
        <v>STAM | Stadsmuseum Gent</v>
      </c>
      <c r="Q260" s="10">
        <v>11.0</v>
      </c>
      <c r="R260" s="9" t="b">
        <v>0</v>
      </c>
      <c r="S260" s="9" t="b">
        <v>1</v>
      </c>
      <c r="T260" s="10">
        <v>11.0</v>
      </c>
      <c r="U260" s="11">
        <f t="shared" si="6"/>
        <v>0</v>
      </c>
      <c r="V260" s="11">
        <f t="shared" ref="V260:AB260" si="784">IF(OR(AW260 = $AO$4, AW260 = $AQ$4), 1, 0)</f>
        <v>1</v>
      </c>
      <c r="W260" s="11">
        <f t="shared" si="784"/>
        <v>1</v>
      </c>
      <c r="X260" s="11">
        <f t="shared" si="784"/>
        <v>1</v>
      </c>
      <c r="Y260" s="11">
        <f t="shared" si="784"/>
        <v>1</v>
      </c>
      <c r="Z260" s="11">
        <f t="shared" si="784"/>
        <v>1</v>
      </c>
      <c r="AA260" s="11">
        <f t="shared" si="784"/>
        <v>1</v>
      </c>
      <c r="AB260" s="11">
        <f t="shared" si="784"/>
        <v>1</v>
      </c>
      <c r="AC260" s="11">
        <f t="shared" si="8"/>
        <v>7</v>
      </c>
      <c r="AD260" s="11">
        <f t="shared" si="9"/>
        <v>1</v>
      </c>
      <c r="AE260" s="11">
        <f t="shared" ref="AE260:AH260" si="785">IF(OR(BD260 = $AO$6, BD260 = $AS$6, BD260 = $AT$6, BD260 = $AU$6), 1, 0)</f>
        <v>1</v>
      </c>
      <c r="AF260" s="11">
        <f t="shared" si="785"/>
        <v>1</v>
      </c>
      <c r="AG260" s="11">
        <f t="shared" si="785"/>
        <v>1</v>
      </c>
      <c r="AH260" s="11">
        <f t="shared" si="785"/>
        <v>1</v>
      </c>
      <c r="AI260" s="11">
        <f t="shared" si="11"/>
        <v>4</v>
      </c>
      <c r="AJ260" s="11">
        <f t="shared" si="12"/>
        <v>12</v>
      </c>
      <c r="AK260" s="12">
        <f t="shared" si="13"/>
        <v>5</v>
      </c>
      <c r="AL260" s="13" t="str">
        <f t="shared" si="14"/>
        <v>excellent</v>
      </c>
      <c r="AM260" s="7"/>
      <c r="AN260" s="7"/>
    </row>
    <row r="261">
      <c r="A261" s="7" t="s">
        <v>541</v>
      </c>
      <c r="B261" s="7" t="s">
        <v>542</v>
      </c>
      <c r="C261" s="8" t="s">
        <v>500</v>
      </c>
      <c r="D261" s="7" t="s">
        <v>102</v>
      </c>
      <c r="E261" s="8" t="b">
        <f t="shared" ref="E261:K261" si="786">IF(IFERROR(SEARCH(E$1, $D261),0) &gt;= 1, TRUE,FALSE)</f>
        <v>1</v>
      </c>
      <c r="F261" s="8" t="b">
        <f t="shared" si="786"/>
        <v>0</v>
      </c>
      <c r="G261" s="8" t="b">
        <f t="shared" si="786"/>
        <v>0</v>
      </c>
      <c r="H261" s="8" t="b">
        <f t="shared" si="786"/>
        <v>0</v>
      </c>
      <c r="I261" s="8" t="b">
        <f t="shared" si="786"/>
        <v>0</v>
      </c>
      <c r="J261" s="8" t="b">
        <f t="shared" si="786"/>
        <v>1</v>
      </c>
      <c r="K261" s="8" t="b">
        <f t="shared" si="786"/>
        <v>0</v>
      </c>
      <c r="L261" s="9" t="b">
        <v>0</v>
      </c>
      <c r="M261" s="9" t="b">
        <v>0</v>
      </c>
      <c r="N261" s="9" t="b">
        <v>0</v>
      </c>
      <c r="O261" s="9" t="b">
        <v>0</v>
      </c>
      <c r="P261" s="7" t="str">
        <f t="shared" si="5"/>
        <v>‘t Gasthuys | Stedelijk Museum Aalst</v>
      </c>
      <c r="Q261" s="10">
        <v>0.0</v>
      </c>
      <c r="R261" s="9" t="b">
        <v>0</v>
      </c>
      <c r="S261" s="9" t="b">
        <v>0</v>
      </c>
      <c r="T261" s="7"/>
      <c r="U261" s="11">
        <f t="shared" si="6"/>
        <v>0</v>
      </c>
      <c r="V261" s="11">
        <f t="shared" ref="V261:AB261" si="787">IF(OR(AW261 = $AO$4, AW261 = $AQ$4), 1, 0)</f>
        <v>1</v>
      </c>
      <c r="W261" s="11">
        <f t="shared" si="787"/>
        <v>1</v>
      </c>
      <c r="X261" s="11">
        <f t="shared" si="787"/>
        <v>1</v>
      </c>
      <c r="Y261" s="11">
        <f t="shared" si="787"/>
        <v>1</v>
      </c>
      <c r="Z261" s="11">
        <f t="shared" si="787"/>
        <v>1</v>
      </c>
      <c r="AA261" s="11">
        <f t="shared" si="787"/>
        <v>1</v>
      </c>
      <c r="AB261" s="11">
        <f t="shared" si="787"/>
        <v>1</v>
      </c>
      <c r="AC261" s="11">
        <f t="shared" si="8"/>
        <v>7</v>
      </c>
      <c r="AD261" s="11">
        <f t="shared" si="9"/>
        <v>1</v>
      </c>
      <c r="AE261" s="11">
        <f t="shared" ref="AE261:AH261" si="788">IF(OR(BD261 = $AO$6, BD261 = $AS$6, BD261 = $AT$6, BD261 = $AU$6), 1, 0)</f>
        <v>1</v>
      </c>
      <c r="AF261" s="11">
        <f t="shared" si="788"/>
        <v>1</v>
      </c>
      <c r="AG261" s="11">
        <f t="shared" si="788"/>
        <v>1</v>
      </c>
      <c r="AH261" s="11">
        <f t="shared" si="788"/>
        <v>1</v>
      </c>
      <c r="AI261" s="11">
        <f t="shared" si="11"/>
        <v>4</v>
      </c>
      <c r="AJ261" s="11">
        <f t="shared" si="12"/>
        <v>12</v>
      </c>
      <c r="AK261" s="12">
        <f t="shared" si="13"/>
        <v>5</v>
      </c>
      <c r="AL261" s="13" t="str">
        <f t="shared" si="14"/>
        <v>excellent</v>
      </c>
      <c r="AM261" s="7"/>
      <c r="A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16"/>
      <c r="AL262" s="16"/>
      <c r="AM262" s="7"/>
      <c r="A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 t="s">
        <v>543</v>
      </c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16"/>
      <c r="AL263" s="16"/>
      <c r="AM263" s="7"/>
      <c r="A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 t="s">
        <v>544</v>
      </c>
      <c r="AJ264" s="11">
        <f>SUM(MAX(U2:U261),MAX(AC2:AC261), MAX(AD2:AD261), MAX(AI2:AI261))</f>
        <v>12</v>
      </c>
      <c r="AK264" s="16"/>
      <c r="AL264" s="16"/>
      <c r="AM264" s="7"/>
      <c r="A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16"/>
      <c r="AL265" s="16"/>
      <c r="AM265" s="7"/>
      <c r="A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7"/>
      <c r="AL266" s="16"/>
      <c r="AM266" s="7"/>
      <c r="AN266" s="7"/>
    </row>
  </sheetData>
  <dataValidations>
    <dataValidation type="list" allowBlank="1" showErrorMessage="1" sqref="AN7">
      <formula1>"excellent,good,subpar,no match,no preference"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545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  <c r="N1" s="1" t="s">
        <v>558</v>
      </c>
      <c r="O1" s="1" t="s">
        <v>559</v>
      </c>
      <c r="P1" s="1" t="s">
        <v>560</v>
      </c>
      <c r="Q1" s="1" t="s">
        <v>15</v>
      </c>
      <c r="R1" s="2" t="s">
        <v>561</v>
      </c>
      <c r="S1" s="1" t="s">
        <v>562</v>
      </c>
      <c r="T1" s="1" t="s">
        <v>563</v>
      </c>
      <c r="U1" s="2" t="s">
        <v>564</v>
      </c>
    </row>
    <row r="2">
      <c r="A2" s="7" t="s">
        <v>29</v>
      </c>
      <c r="B2" s="7" t="s">
        <v>30</v>
      </c>
      <c r="C2" s="7" t="s">
        <v>31</v>
      </c>
      <c r="D2" s="7" t="s">
        <v>4</v>
      </c>
      <c r="E2" s="8" t="b">
        <f t="shared" ref="E2:K2" si="1">IF(IFERROR(SEARCH(E$1, $D2),0) &gt;= 1, TRUE,FALSE)</f>
        <v>0</v>
      </c>
      <c r="F2" s="8" t="b">
        <f t="shared" si="1"/>
        <v>0</v>
      </c>
      <c r="G2" s="8" t="b">
        <f t="shared" si="1"/>
        <v>0</v>
      </c>
      <c r="H2" s="8" t="b">
        <f t="shared" si="1"/>
        <v>0</v>
      </c>
      <c r="I2" s="8" t="b">
        <f t="shared" si="1"/>
        <v>0</v>
      </c>
      <c r="J2" s="8" t="b">
        <f t="shared" si="1"/>
        <v>0</v>
      </c>
      <c r="K2" s="8" t="b">
        <f t="shared" si="1"/>
        <v>0</v>
      </c>
      <c r="L2" s="9" t="s">
        <v>565</v>
      </c>
      <c r="M2" s="9" t="b">
        <v>1</v>
      </c>
      <c r="N2" s="9" t="b">
        <v>0</v>
      </c>
      <c r="O2" s="9" t="b">
        <v>1</v>
      </c>
      <c r="P2" s="9" t="b">
        <v>0</v>
      </c>
      <c r="Q2" s="7" t="str">
        <f t="shared" ref="Q2:Q259" si="3">IF(ISBLANK(A2),B2,A2)</f>
        <v>Archeologisch museum van de Boven-Maas</v>
      </c>
      <c r="R2" s="10">
        <v>3.5</v>
      </c>
      <c r="S2" s="9" t="b">
        <v>0</v>
      </c>
      <c r="T2" s="9" t="b">
        <v>0</v>
      </c>
      <c r="U2" s="7"/>
    </row>
    <row r="3">
      <c r="A3" s="7" t="s">
        <v>34</v>
      </c>
      <c r="B3" s="7" t="str">
        <f>IFERROR(__xludf.DUMMYFUNCTION("SPLIT(A3, "" - "", FALSE,FALSE)"),"Citadel van Namen / Bezoekerscentrum Terra Nova en toeristentreintje")</f>
        <v>Citadel van Namen / Bezoekerscentrum Terra Nova en toeristentreintje</v>
      </c>
      <c r="C3" s="7" t="s">
        <v>31</v>
      </c>
      <c r="D3" s="7" t="s">
        <v>4</v>
      </c>
      <c r="E3" s="8" t="b">
        <f t="shared" ref="E3:K3" si="2">IF(IFERROR(SEARCH(E$1, $D3),0) &gt;= 1, TRUE,FALSE)</f>
        <v>0</v>
      </c>
      <c r="F3" s="8" t="b">
        <f t="shared" si="2"/>
        <v>0</v>
      </c>
      <c r="G3" s="8" t="b">
        <f t="shared" si="2"/>
        <v>0</v>
      </c>
      <c r="H3" s="8" t="b">
        <f t="shared" si="2"/>
        <v>0</v>
      </c>
      <c r="I3" s="8" t="b">
        <f t="shared" si="2"/>
        <v>0</v>
      </c>
      <c r="J3" s="8" t="b">
        <f t="shared" si="2"/>
        <v>0</v>
      </c>
      <c r="K3" s="8" t="b">
        <f t="shared" si="2"/>
        <v>0</v>
      </c>
      <c r="L3" s="9" t="s">
        <v>566</v>
      </c>
      <c r="M3" s="9" t="b">
        <v>1</v>
      </c>
      <c r="N3" s="9" t="b">
        <v>1</v>
      </c>
      <c r="O3" s="9" t="b">
        <v>0</v>
      </c>
      <c r="P3" s="9" t="b">
        <v>0</v>
      </c>
      <c r="Q3" s="7" t="str">
        <f t="shared" si="3"/>
        <v>Citadel van Namen / Bezoekerscentrum Terra Nova en toeristentreintje</v>
      </c>
      <c r="R3" s="10">
        <v>6.0</v>
      </c>
      <c r="S3" s="9" t="b">
        <v>0</v>
      </c>
      <c r="T3" s="9" t="b">
        <v>0</v>
      </c>
      <c r="U3" s="7"/>
    </row>
    <row r="4">
      <c r="A4" s="7" t="s">
        <v>37</v>
      </c>
      <c r="B4" s="7" t="s">
        <v>38</v>
      </c>
      <c r="C4" s="7" t="s">
        <v>31</v>
      </c>
      <c r="D4" s="7" t="s">
        <v>5</v>
      </c>
      <c r="E4" s="8" t="b">
        <f t="shared" ref="E4:K4" si="4">IF(IFERROR(SEARCH(E$1, $D4),0) &gt;= 1, TRUE,FALSE)</f>
        <v>0</v>
      </c>
      <c r="F4" s="8" t="b">
        <f t="shared" si="4"/>
        <v>0</v>
      </c>
      <c r="G4" s="8" t="b">
        <f t="shared" si="4"/>
        <v>0</v>
      </c>
      <c r="H4" s="8" t="b">
        <f t="shared" si="4"/>
        <v>0</v>
      </c>
      <c r="I4" s="8" t="b">
        <f t="shared" si="4"/>
        <v>0</v>
      </c>
      <c r="J4" s="8" t="b">
        <f t="shared" si="4"/>
        <v>0</v>
      </c>
      <c r="K4" s="8" t="b">
        <f t="shared" si="4"/>
        <v>0</v>
      </c>
      <c r="L4" s="9" t="s">
        <v>567</v>
      </c>
      <c r="M4" s="9" t="b">
        <v>1</v>
      </c>
      <c r="N4" s="9" t="b">
        <v>1</v>
      </c>
      <c r="O4" s="9" t="b">
        <v>1</v>
      </c>
      <c r="P4" s="9" t="b">
        <v>0</v>
      </c>
      <c r="Q4" s="7" t="str">
        <f t="shared" si="3"/>
        <v>NAM-IP Computermuseum</v>
      </c>
      <c r="R4" s="14">
        <v>8.0</v>
      </c>
      <c r="S4" s="9" t="b">
        <v>0</v>
      </c>
      <c r="T4" s="9" t="b">
        <v>0</v>
      </c>
      <c r="U4" s="7"/>
    </row>
    <row r="5">
      <c r="A5" s="7" t="s">
        <v>41</v>
      </c>
      <c r="B5" s="7" t="s">
        <v>42</v>
      </c>
      <c r="C5" s="7" t="s">
        <v>31</v>
      </c>
      <c r="D5" s="7" t="s">
        <v>4</v>
      </c>
      <c r="E5" s="8" t="b">
        <f t="shared" ref="E5:K5" si="5">IF(IFERROR(SEARCH(E$1, $D5),0) &gt;= 1, TRUE,FALSE)</f>
        <v>0</v>
      </c>
      <c r="F5" s="8" t="b">
        <f t="shared" si="5"/>
        <v>0</v>
      </c>
      <c r="G5" s="8" t="b">
        <f t="shared" si="5"/>
        <v>0</v>
      </c>
      <c r="H5" s="8" t="b">
        <f t="shared" si="5"/>
        <v>0</v>
      </c>
      <c r="I5" s="8" t="b">
        <f t="shared" si="5"/>
        <v>0</v>
      </c>
      <c r="J5" s="8" t="b">
        <f t="shared" si="5"/>
        <v>0</v>
      </c>
      <c r="K5" s="8" t="b">
        <f t="shared" si="5"/>
        <v>0</v>
      </c>
      <c r="L5" s="9" t="s">
        <v>557</v>
      </c>
      <c r="M5" s="9" t="b">
        <v>1</v>
      </c>
      <c r="N5" s="9" t="b">
        <v>0</v>
      </c>
      <c r="O5" s="9" t="b">
        <v>0</v>
      </c>
      <c r="P5" s="9" t="b">
        <v>0</v>
      </c>
      <c r="Q5" s="7" t="str">
        <f t="shared" si="3"/>
        <v>Ecomuseum van de Viroin</v>
      </c>
      <c r="R5" s="10">
        <v>4.0</v>
      </c>
      <c r="S5" s="9" t="b">
        <v>0</v>
      </c>
      <c r="T5" s="9" t="b">
        <v>1</v>
      </c>
      <c r="U5" s="10">
        <v>4.0</v>
      </c>
    </row>
    <row r="6">
      <c r="A6" s="7" t="s">
        <v>44</v>
      </c>
      <c r="B6" s="7" t="s">
        <v>45</v>
      </c>
      <c r="C6" s="7" t="s">
        <v>31</v>
      </c>
      <c r="D6" s="7" t="s">
        <v>46</v>
      </c>
      <c r="E6" s="8" t="b">
        <f t="shared" ref="E6:K6" si="6">IF(IFERROR(SEARCH(E$1, $D6),0) &gt;= 1, TRUE,FALSE)</f>
        <v>0</v>
      </c>
      <c r="F6" s="8" t="b">
        <f t="shared" si="6"/>
        <v>0</v>
      </c>
      <c r="G6" s="8" t="b">
        <f t="shared" si="6"/>
        <v>0</v>
      </c>
      <c r="H6" s="8" t="b">
        <f t="shared" si="6"/>
        <v>0</v>
      </c>
      <c r="I6" s="8" t="b">
        <f t="shared" si="6"/>
        <v>0</v>
      </c>
      <c r="J6" s="8" t="b">
        <f t="shared" si="6"/>
        <v>0</v>
      </c>
      <c r="K6" s="8" t="b">
        <f t="shared" si="6"/>
        <v>0</v>
      </c>
      <c r="L6" s="9" t="s">
        <v>557</v>
      </c>
      <c r="M6" s="9" t="b">
        <v>1</v>
      </c>
      <c r="N6" s="9" t="b">
        <v>0</v>
      </c>
      <c r="O6" s="9" t="b">
        <v>0</v>
      </c>
      <c r="P6" s="9" t="b">
        <v>0</v>
      </c>
      <c r="Q6" s="7" t="str">
        <f t="shared" si="3"/>
        <v>Andenne Museum</v>
      </c>
      <c r="R6" s="10">
        <v>10.0</v>
      </c>
      <c r="S6" s="9" t="b">
        <v>0</v>
      </c>
      <c r="T6" s="9" t="b">
        <v>0</v>
      </c>
      <c r="U6" s="7"/>
    </row>
    <row r="7">
      <c r="A7" s="7"/>
      <c r="B7" s="7" t="s">
        <v>49</v>
      </c>
      <c r="C7" s="7" t="s">
        <v>31</v>
      </c>
      <c r="D7" s="7" t="s">
        <v>9</v>
      </c>
      <c r="E7" s="8" t="b">
        <f t="shared" ref="E7:K7" si="7">IF(IFERROR(SEARCH(E$1, $D7),0) &gt;= 1, TRUE,FALSE)</f>
        <v>0</v>
      </c>
      <c r="F7" s="8" t="b">
        <f t="shared" si="7"/>
        <v>0</v>
      </c>
      <c r="G7" s="8" t="b">
        <f t="shared" si="7"/>
        <v>0</v>
      </c>
      <c r="H7" s="8" t="b">
        <f t="shared" si="7"/>
        <v>0</v>
      </c>
      <c r="I7" s="8" t="b">
        <f t="shared" si="7"/>
        <v>0</v>
      </c>
      <c r="J7" s="8" t="b">
        <f t="shared" si="7"/>
        <v>0</v>
      </c>
      <c r="K7" s="8" t="b">
        <f t="shared" si="7"/>
        <v>0</v>
      </c>
      <c r="L7" s="9" t="s">
        <v>568</v>
      </c>
      <c r="M7" s="9" t="b">
        <v>1</v>
      </c>
      <c r="N7" s="9" t="b">
        <v>0</v>
      </c>
      <c r="O7" s="9" t="b">
        <v>0</v>
      </c>
      <c r="P7" s="9" t="b">
        <v>1</v>
      </c>
      <c r="Q7" s="7" t="str">
        <f t="shared" si="3"/>
        <v>Le Delta</v>
      </c>
      <c r="R7" s="10">
        <v>5.0</v>
      </c>
      <c r="S7" s="9" t="b">
        <v>0</v>
      </c>
      <c r="T7" s="9" t="b">
        <v>1</v>
      </c>
      <c r="U7" s="10">
        <v>5.0</v>
      </c>
    </row>
    <row r="8">
      <c r="A8" s="7"/>
      <c r="B8" s="7" t="s">
        <v>52</v>
      </c>
      <c r="C8" s="7" t="s">
        <v>31</v>
      </c>
      <c r="D8" s="7" t="s">
        <v>53</v>
      </c>
      <c r="E8" s="8" t="b">
        <f t="shared" ref="E8:K8" si="8">IF(IFERROR(SEARCH(E$1, $D8),0) &gt;= 1, TRUE,FALSE)</f>
        <v>0</v>
      </c>
      <c r="F8" s="8" t="b">
        <f t="shared" si="8"/>
        <v>0</v>
      </c>
      <c r="G8" s="8" t="b">
        <f t="shared" si="8"/>
        <v>0</v>
      </c>
      <c r="H8" s="8" t="b">
        <f t="shared" si="8"/>
        <v>0</v>
      </c>
      <c r="I8" s="8" t="b">
        <f t="shared" si="8"/>
        <v>0</v>
      </c>
      <c r="J8" s="8" t="b">
        <f t="shared" si="8"/>
        <v>0</v>
      </c>
      <c r="K8" s="8" t="b">
        <f t="shared" si="8"/>
        <v>0</v>
      </c>
      <c r="L8" s="9" t="s">
        <v>557</v>
      </c>
      <c r="M8" s="9" t="b">
        <v>1</v>
      </c>
      <c r="N8" s="9" t="b">
        <v>0</v>
      </c>
      <c r="O8" s="9" t="b">
        <v>0</v>
      </c>
      <c r="P8" s="9" t="b">
        <v>0</v>
      </c>
      <c r="Q8" s="7" t="str">
        <f t="shared" si="3"/>
        <v>Le Pavillon</v>
      </c>
      <c r="R8" s="10">
        <v>10.0</v>
      </c>
      <c r="S8" s="9" t="b">
        <v>0</v>
      </c>
      <c r="T8" s="9" t="b">
        <v>1</v>
      </c>
      <c r="U8" s="10">
        <v>10.0</v>
      </c>
    </row>
    <row r="9">
      <c r="A9" s="7"/>
      <c r="B9" s="7" t="s">
        <v>54</v>
      </c>
      <c r="C9" s="7" t="s">
        <v>31</v>
      </c>
      <c r="D9" s="7" t="s">
        <v>4</v>
      </c>
      <c r="E9" s="8" t="b">
        <f t="shared" ref="E9:K9" si="9">IF(IFERROR(SEARCH(E$1, $D9),0) &gt;= 1, TRUE,FALSE)</f>
        <v>0</v>
      </c>
      <c r="F9" s="8" t="b">
        <f t="shared" si="9"/>
        <v>0</v>
      </c>
      <c r="G9" s="8" t="b">
        <f t="shared" si="9"/>
        <v>0</v>
      </c>
      <c r="H9" s="8" t="b">
        <f t="shared" si="9"/>
        <v>0</v>
      </c>
      <c r="I9" s="8" t="b">
        <f t="shared" si="9"/>
        <v>0</v>
      </c>
      <c r="J9" s="8" t="b">
        <f t="shared" si="9"/>
        <v>0</v>
      </c>
      <c r="K9" s="8" t="b">
        <f t="shared" si="9"/>
        <v>0</v>
      </c>
      <c r="L9" s="9" t="s">
        <v>569</v>
      </c>
      <c r="M9" s="9" t="b">
        <v>1</v>
      </c>
      <c r="N9" s="9" t="b">
        <v>0</v>
      </c>
      <c r="O9" s="9" t="b">
        <v>1</v>
      </c>
      <c r="P9" s="9" t="b">
        <v>0</v>
      </c>
      <c r="Q9" s="7" t="str">
        <f t="shared" si="3"/>
        <v>Maison du patrimoine médiéval mosan</v>
      </c>
      <c r="R9" s="10">
        <v>6.0</v>
      </c>
      <c r="S9" s="9" t="b">
        <v>0</v>
      </c>
      <c r="T9" s="9" t="b">
        <v>1</v>
      </c>
      <c r="U9" s="10">
        <v>6.0</v>
      </c>
    </row>
    <row r="10">
      <c r="A10" s="7" t="s">
        <v>55</v>
      </c>
      <c r="B10" s="7" t="s">
        <v>56</v>
      </c>
      <c r="C10" s="7" t="s">
        <v>31</v>
      </c>
      <c r="D10" s="7" t="s">
        <v>4</v>
      </c>
      <c r="E10" s="8" t="b">
        <f t="shared" ref="E10:K10" si="10">IF(IFERROR(SEARCH(E$1, $D10),0) &gt;= 1, TRUE,FALSE)</f>
        <v>0</v>
      </c>
      <c r="F10" s="8" t="b">
        <f t="shared" si="10"/>
        <v>0</v>
      </c>
      <c r="G10" s="8" t="b">
        <f t="shared" si="10"/>
        <v>0</v>
      </c>
      <c r="H10" s="8" t="b">
        <f t="shared" si="10"/>
        <v>0</v>
      </c>
      <c r="I10" s="8" t="b">
        <f t="shared" si="10"/>
        <v>0</v>
      </c>
      <c r="J10" s="8" t="b">
        <f t="shared" si="10"/>
        <v>0</v>
      </c>
      <c r="K10" s="8" t="b">
        <f t="shared" si="10"/>
        <v>0</v>
      </c>
      <c r="L10" s="9" t="s">
        <v>567</v>
      </c>
      <c r="M10" s="9" t="b">
        <v>1</v>
      </c>
      <c r="N10" s="9" t="b">
        <v>1</v>
      </c>
      <c r="O10" s="9" t="b">
        <v>1</v>
      </c>
      <c r="P10" s="9" t="b">
        <v>0</v>
      </c>
      <c r="Q10" s="7" t="str">
        <f t="shared" si="3"/>
        <v>Archeopark van Rochefort</v>
      </c>
      <c r="R10" s="10">
        <v>8.0</v>
      </c>
      <c r="S10" s="9" t="b">
        <v>0</v>
      </c>
      <c r="T10" s="9" t="b">
        <v>0</v>
      </c>
      <c r="U10" s="7"/>
    </row>
    <row r="11">
      <c r="A11" s="7" t="s">
        <v>57</v>
      </c>
      <c r="B11" s="7" t="s">
        <v>58</v>
      </c>
      <c r="C11" s="7" t="s">
        <v>31</v>
      </c>
      <c r="D11" s="7" t="s">
        <v>46</v>
      </c>
      <c r="E11" s="8" t="b">
        <f t="shared" ref="E11:K11" si="11">IF(IFERROR(SEARCH(E$1, $D11),0) &gt;= 1, TRUE,FALSE)</f>
        <v>0</v>
      </c>
      <c r="F11" s="8" t="b">
        <f t="shared" si="11"/>
        <v>0</v>
      </c>
      <c r="G11" s="8" t="b">
        <f t="shared" si="11"/>
        <v>0</v>
      </c>
      <c r="H11" s="8" t="b">
        <f t="shared" si="11"/>
        <v>0</v>
      </c>
      <c r="I11" s="8" t="b">
        <f t="shared" si="11"/>
        <v>0</v>
      </c>
      <c r="J11" s="8" t="b">
        <f t="shared" si="11"/>
        <v>0</v>
      </c>
      <c r="K11" s="8" t="b">
        <f t="shared" si="11"/>
        <v>0</v>
      </c>
      <c r="L11" s="9" t="s">
        <v>557</v>
      </c>
      <c r="M11" s="9" t="b">
        <v>1</v>
      </c>
      <c r="N11" s="9" t="b">
        <v>0</v>
      </c>
      <c r="O11" s="9" t="b">
        <v>0</v>
      </c>
      <c r="P11" s="9" t="b">
        <v>0</v>
      </c>
      <c r="Q11" s="7" t="str">
        <f t="shared" si="3"/>
        <v>MusAfrica Namen</v>
      </c>
      <c r="R11" s="10">
        <v>8.0</v>
      </c>
      <c r="S11" s="9" t="b">
        <v>0</v>
      </c>
      <c r="T11" s="9" t="b">
        <v>0</v>
      </c>
      <c r="U11" s="7"/>
    </row>
    <row r="12">
      <c r="A12" s="7" t="s">
        <v>59</v>
      </c>
      <c r="B12" s="7" t="s">
        <v>60</v>
      </c>
      <c r="C12" s="7" t="s">
        <v>31</v>
      </c>
      <c r="D12" s="7" t="s">
        <v>61</v>
      </c>
      <c r="E12" s="8" t="b">
        <f t="shared" ref="E12:K12" si="12">IF(IFERROR(SEARCH(E$1, $D12),0) &gt;= 1, TRUE,FALSE)</f>
        <v>0</v>
      </c>
      <c r="F12" s="8" t="b">
        <f t="shared" si="12"/>
        <v>0</v>
      </c>
      <c r="G12" s="8" t="b">
        <f t="shared" si="12"/>
        <v>0</v>
      </c>
      <c r="H12" s="8" t="b">
        <f t="shared" si="12"/>
        <v>0</v>
      </c>
      <c r="I12" s="8" t="b">
        <f t="shared" si="12"/>
        <v>0</v>
      </c>
      <c r="J12" s="8" t="b">
        <f t="shared" si="12"/>
        <v>0</v>
      </c>
      <c r="K12" s="8" t="b">
        <f t="shared" si="12"/>
        <v>0</v>
      </c>
      <c r="L12" s="9" t="s">
        <v>557</v>
      </c>
      <c r="M12" s="9" t="b">
        <v>1</v>
      </c>
      <c r="N12" s="9" t="b">
        <v>0</v>
      </c>
      <c r="O12" s="9" t="b">
        <v>0</v>
      </c>
      <c r="P12" s="9" t="b">
        <v>0</v>
      </c>
      <c r="Q12" s="7" t="str">
        <f t="shared" si="3"/>
        <v>Aardbeimuseum</v>
      </c>
      <c r="R12" s="10">
        <v>6.0</v>
      </c>
      <c r="S12" s="9" t="b">
        <v>0</v>
      </c>
      <c r="T12" s="9" t="b">
        <v>0</v>
      </c>
      <c r="U12" s="7"/>
    </row>
    <row r="13">
      <c r="A13" s="7"/>
      <c r="B13" s="7" t="s">
        <v>62</v>
      </c>
      <c r="C13" s="7" t="s">
        <v>31</v>
      </c>
      <c r="D13" s="7" t="s">
        <v>4</v>
      </c>
      <c r="E13" s="8" t="b">
        <f t="shared" ref="E13:K13" si="13">IF(IFERROR(SEARCH(E$1, $D13),0) &gt;= 1, TRUE,FALSE)</f>
        <v>0</v>
      </c>
      <c r="F13" s="8" t="b">
        <f t="shared" si="13"/>
        <v>0</v>
      </c>
      <c r="G13" s="8" t="b">
        <f t="shared" si="13"/>
        <v>0</v>
      </c>
      <c r="H13" s="8" t="b">
        <f t="shared" si="13"/>
        <v>0</v>
      </c>
      <c r="I13" s="8" t="b">
        <f t="shared" si="13"/>
        <v>0</v>
      </c>
      <c r="J13" s="8" t="b">
        <f t="shared" si="13"/>
        <v>0</v>
      </c>
      <c r="K13" s="8" t="b">
        <f t="shared" si="13"/>
        <v>0</v>
      </c>
      <c r="L13" s="9" t="s">
        <v>557</v>
      </c>
      <c r="M13" s="9" t="b">
        <v>1</v>
      </c>
      <c r="N13" s="9" t="b">
        <v>0</v>
      </c>
      <c r="O13" s="9" t="b">
        <v>0</v>
      </c>
      <c r="P13" s="9" t="b">
        <v>0</v>
      </c>
      <c r="Q13" s="7" t="str">
        <f t="shared" si="3"/>
        <v>Musée du Malgré-Tout</v>
      </c>
      <c r="R13" s="10">
        <v>5.0</v>
      </c>
      <c r="S13" s="9" t="b">
        <v>0</v>
      </c>
      <c r="T13" s="9" t="b">
        <v>0</v>
      </c>
      <c r="U13" s="7"/>
    </row>
    <row r="14">
      <c r="A14" s="7" t="s">
        <v>63</v>
      </c>
      <c r="B14" s="7" t="s">
        <v>64</v>
      </c>
      <c r="C14" s="7" t="s">
        <v>31</v>
      </c>
      <c r="D14" s="7" t="s">
        <v>9</v>
      </c>
      <c r="E14" s="8" t="b">
        <f t="shared" ref="E14:K14" si="14">IF(IFERROR(SEARCH(E$1, $D14),0) &gt;= 1, TRUE,FALSE)</f>
        <v>0</v>
      </c>
      <c r="F14" s="8" t="b">
        <f t="shared" si="14"/>
        <v>0</v>
      </c>
      <c r="G14" s="8" t="b">
        <f t="shared" si="14"/>
        <v>0</v>
      </c>
      <c r="H14" s="8" t="b">
        <f t="shared" si="14"/>
        <v>0</v>
      </c>
      <c r="I14" s="8" t="b">
        <f t="shared" si="14"/>
        <v>0</v>
      </c>
      <c r="J14" s="8" t="b">
        <f t="shared" si="14"/>
        <v>0</v>
      </c>
      <c r="K14" s="8" t="b">
        <f t="shared" si="14"/>
        <v>0</v>
      </c>
      <c r="L14" s="9" t="s">
        <v>557</v>
      </c>
      <c r="M14" s="9" t="b">
        <v>1</v>
      </c>
      <c r="N14" s="9" t="b">
        <v>0</v>
      </c>
      <c r="O14" s="9" t="b">
        <v>0</v>
      </c>
      <c r="P14" s="9" t="b">
        <v>0</v>
      </c>
      <c r="Q14" s="7" t="str">
        <f t="shared" si="3"/>
        <v>Museum van het Klein Formaat</v>
      </c>
      <c r="R14" s="10">
        <v>5.0</v>
      </c>
      <c r="S14" s="9" t="b">
        <v>0</v>
      </c>
      <c r="T14" s="9" t="b">
        <v>1</v>
      </c>
      <c r="U14" s="10">
        <v>5.0</v>
      </c>
    </row>
    <row r="15">
      <c r="A15" s="7" t="s">
        <v>65</v>
      </c>
      <c r="B15" s="7" t="s">
        <v>66</v>
      </c>
      <c r="C15" s="7" t="s">
        <v>31</v>
      </c>
      <c r="D15" s="7" t="s">
        <v>9</v>
      </c>
      <c r="E15" s="8" t="b">
        <f t="shared" ref="E15:K15" si="15">IF(IFERROR(SEARCH(E$1, $D15),0) &gt;= 1, TRUE,FALSE)</f>
        <v>0</v>
      </c>
      <c r="F15" s="8" t="b">
        <f t="shared" si="15"/>
        <v>0</v>
      </c>
      <c r="G15" s="8" t="b">
        <f t="shared" si="15"/>
        <v>0</v>
      </c>
      <c r="H15" s="8" t="b">
        <f t="shared" si="15"/>
        <v>0</v>
      </c>
      <c r="I15" s="8" t="b">
        <f t="shared" si="15"/>
        <v>0</v>
      </c>
      <c r="J15" s="8" t="b">
        <f t="shared" si="15"/>
        <v>0</v>
      </c>
      <c r="K15" s="8" t="b">
        <f t="shared" si="15"/>
        <v>0</v>
      </c>
      <c r="L15" s="9" t="s">
        <v>557</v>
      </c>
      <c r="M15" s="9" t="b">
        <v>1</v>
      </c>
      <c r="N15" s="9" t="b">
        <v>0</v>
      </c>
      <c r="O15" s="9" t="b">
        <v>0</v>
      </c>
      <c r="P15" s="9" t="b">
        <v>0</v>
      </c>
      <c r="Q15" s="7" t="str">
        <f t="shared" si="3"/>
        <v>Félicien Rops Museum</v>
      </c>
      <c r="R15" s="10">
        <v>0.0</v>
      </c>
      <c r="S15" s="9" t="b">
        <v>0</v>
      </c>
      <c r="T15" s="9" t="b">
        <v>1</v>
      </c>
      <c r="U15" s="10">
        <v>8.0</v>
      </c>
    </row>
    <row r="16">
      <c r="A16" s="7" t="s">
        <v>67</v>
      </c>
      <c r="B16" s="7" t="s">
        <v>68</v>
      </c>
      <c r="C16" s="7" t="s">
        <v>31</v>
      </c>
      <c r="D16" s="7" t="s">
        <v>9</v>
      </c>
      <c r="E16" s="8" t="b">
        <f t="shared" ref="E16:K16" si="16">IF(IFERROR(SEARCH(E$1, $D16),0) &gt;= 1, TRUE,FALSE)</f>
        <v>0</v>
      </c>
      <c r="F16" s="8" t="b">
        <f t="shared" si="16"/>
        <v>0</v>
      </c>
      <c r="G16" s="8" t="b">
        <f t="shared" si="16"/>
        <v>0</v>
      </c>
      <c r="H16" s="8" t="b">
        <f t="shared" si="16"/>
        <v>0</v>
      </c>
      <c r="I16" s="8" t="b">
        <f t="shared" si="16"/>
        <v>0</v>
      </c>
      <c r="J16" s="8" t="b">
        <f t="shared" si="16"/>
        <v>0</v>
      </c>
      <c r="K16" s="8" t="b">
        <f t="shared" si="16"/>
        <v>0</v>
      </c>
      <c r="L16" s="9" t="s">
        <v>11</v>
      </c>
      <c r="M16" s="9" t="b">
        <v>1</v>
      </c>
      <c r="N16" s="9" t="b">
        <v>0</v>
      </c>
      <c r="O16" s="9" t="b">
        <v>0</v>
      </c>
      <c r="P16" s="9" t="b">
        <v>0</v>
      </c>
      <c r="Q16" s="7" t="str">
        <f t="shared" si="3"/>
        <v>Museum voor Oude Kunsten</v>
      </c>
      <c r="R16" s="10">
        <v>5.0</v>
      </c>
      <c r="S16" s="9" t="b">
        <v>0</v>
      </c>
      <c r="T16" s="9" t="b">
        <v>1</v>
      </c>
      <c r="U16" s="10">
        <v>8.0</v>
      </c>
    </row>
    <row r="17">
      <c r="A17" s="7" t="s">
        <v>69</v>
      </c>
      <c r="B17" s="7" t="s">
        <v>70</v>
      </c>
      <c r="C17" s="7" t="s">
        <v>71</v>
      </c>
      <c r="D17" s="7" t="s">
        <v>72</v>
      </c>
      <c r="E17" s="8" t="b">
        <f t="shared" ref="E17:K17" si="17">IF(IFERROR(SEARCH(E$1, $D17),0) &gt;= 1, TRUE,FALSE)</f>
        <v>0</v>
      </c>
      <c r="F17" s="8" t="b">
        <f t="shared" si="17"/>
        <v>0</v>
      </c>
      <c r="G17" s="8" t="b">
        <f t="shared" si="17"/>
        <v>0</v>
      </c>
      <c r="H17" s="8" t="b">
        <f t="shared" si="17"/>
        <v>0</v>
      </c>
      <c r="I17" s="8" t="b">
        <f t="shared" si="17"/>
        <v>1</v>
      </c>
      <c r="J17" s="8" t="b">
        <f t="shared" si="17"/>
        <v>0</v>
      </c>
      <c r="K17" s="8" t="b">
        <f t="shared" si="17"/>
        <v>0</v>
      </c>
      <c r="L17" s="9" t="s">
        <v>569</v>
      </c>
      <c r="M17" s="9" t="b">
        <v>1</v>
      </c>
      <c r="N17" s="9" t="b">
        <v>0</v>
      </c>
      <c r="O17" s="9" t="b">
        <v>1</v>
      </c>
      <c r="P17" s="9" t="b">
        <v>0</v>
      </c>
      <c r="Q17" s="7" t="str">
        <f t="shared" si="3"/>
        <v>Abdijmuseum Ten Duinen</v>
      </c>
      <c r="R17" s="10">
        <v>10.0</v>
      </c>
      <c r="S17" s="9" t="b">
        <v>0</v>
      </c>
      <c r="T17" s="9" t="b">
        <v>1</v>
      </c>
      <c r="U17" s="10">
        <v>10.0</v>
      </c>
    </row>
    <row r="18">
      <c r="A18" s="7" t="s">
        <v>73</v>
      </c>
      <c r="B18" s="7" t="s">
        <v>74</v>
      </c>
      <c r="C18" s="7" t="s">
        <v>71</v>
      </c>
      <c r="D18" s="7" t="s">
        <v>75</v>
      </c>
      <c r="E18" s="8" t="b">
        <f t="shared" ref="E18:K18" si="18">IF(IFERROR(SEARCH(E$1, $D18),0) &gt;= 1, TRUE,FALSE)</f>
        <v>0</v>
      </c>
      <c r="F18" s="8" t="b">
        <f t="shared" si="18"/>
        <v>0</v>
      </c>
      <c r="G18" s="8" t="b">
        <f t="shared" si="18"/>
        <v>0</v>
      </c>
      <c r="H18" s="8" t="b">
        <f t="shared" si="18"/>
        <v>0</v>
      </c>
      <c r="I18" s="8" t="b">
        <f t="shared" si="18"/>
        <v>1</v>
      </c>
      <c r="J18" s="8" t="b">
        <f t="shared" si="18"/>
        <v>0</v>
      </c>
      <c r="K18" s="8" t="b">
        <f t="shared" si="18"/>
        <v>0</v>
      </c>
      <c r="L18" s="9" t="s">
        <v>566</v>
      </c>
      <c r="M18" s="9" t="b">
        <v>1</v>
      </c>
      <c r="N18" s="9" t="b">
        <v>1</v>
      </c>
      <c r="O18" s="9" t="b">
        <v>0</v>
      </c>
      <c r="P18" s="9" t="b">
        <v>0</v>
      </c>
      <c r="Q18" s="7" t="str">
        <f t="shared" si="3"/>
        <v>Adornesdomein</v>
      </c>
      <c r="R18" s="10">
        <v>10.0</v>
      </c>
      <c r="S18" s="9" t="b">
        <v>0</v>
      </c>
      <c r="T18" s="9" t="b">
        <v>0</v>
      </c>
      <c r="U18" s="7"/>
    </row>
    <row r="19">
      <c r="A19" s="7" t="s">
        <v>76</v>
      </c>
      <c r="B19" s="7"/>
      <c r="C19" s="7" t="s">
        <v>71</v>
      </c>
      <c r="D19" s="7" t="s">
        <v>77</v>
      </c>
      <c r="E19" s="8" t="b">
        <f t="shared" ref="E19:K19" si="19">IF(IFERROR(SEARCH(E$1, $D19),0) &gt;= 1, TRUE,FALSE)</f>
        <v>0</v>
      </c>
      <c r="F19" s="8" t="b">
        <f t="shared" si="19"/>
        <v>0</v>
      </c>
      <c r="G19" s="8" t="b">
        <f t="shared" si="19"/>
        <v>0</v>
      </c>
      <c r="H19" s="8" t="b">
        <f t="shared" si="19"/>
        <v>0</v>
      </c>
      <c r="I19" s="8" t="b">
        <f t="shared" si="19"/>
        <v>1</v>
      </c>
      <c r="J19" s="8" t="b">
        <f t="shared" si="19"/>
        <v>0</v>
      </c>
      <c r="K19" s="8" t="b">
        <f t="shared" si="19"/>
        <v>0</v>
      </c>
      <c r="L19" s="9" t="s">
        <v>570</v>
      </c>
      <c r="M19" s="9" t="b">
        <v>1</v>
      </c>
      <c r="N19" s="9" t="b">
        <v>1</v>
      </c>
      <c r="O19" s="9" t="b">
        <v>1</v>
      </c>
      <c r="P19" s="9" t="b">
        <v>1</v>
      </c>
      <c r="Q19" s="7" t="str">
        <f t="shared" si="3"/>
        <v>Atlantikwall Raversyde</v>
      </c>
      <c r="R19" s="10">
        <v>10.0</v>
      </c>
      <c r="S19" s="9" t="b">
        <v>0</v>
      </c>
      <c r="T19" s="9" t="b">
        <v>1</v>
      </c>
      <c r="U19" s="10">
        <v>10.0</v>
      </c>
    </row>
    <row r="20">
      <c r="A20" s="7" t="s">
        <v>78</v>
      </c>
      <c r="B20" s="7" t="s">
        <v>79</v>
      </c>
      <c r="C20" s="7" t="s">
        <v>71</v>
      </c>
      <c r="D20" s="7" t="s">
        <v>4</v>
      </c>
      <c r="E20" s="8" t="b">
        <f t="shared" ref="E20:K20" si="20">IF(IFERROR(SEARCH(E$1, $D20),0) &gt;= 1, TRUE,FALSE)</f>
        <v>0</v>
      </c>
      <c r="F20" s="8" t="b">
        <f t="shared" si="20"/>
        <v>0</v>
      </c>
      <c r="G20" s="8" t="b">
        <f t="shared" si="20"/>
        <v>0</v>
      </c>
      <c r="H20" s="8" t="b">
        <f t="shared" si="20"/>
        <v>0</v>
      </c>
      <c r="I20" s="8" t="b">
        <f t="shared" si="20"/>
        <v>0</v>
      </c>
      <c r="J20" s="8" t="b">
        <f t="shared" si="20"/>
        <v>0</v>
      </c>
      <c r="K20" s="8" t="b">
        <f t="shared" si="20"/>
        <v>0</v>
      </c>
      <c r="L20" s="9" t="s">
        <v>570</v>
      </c>
      <c r="M20" s="9" t="b">
        <v>1</v>
      </c>
      <c r="N20" s="9" t="b">
        <v>1</v>
      </c>
      <c r="O20" s="9" t="b">
        <v>1</v>
      </c>
      <c r="P20" s="9" t="b">
        <v>1</v>
      </c>
      <c r="Q20" s="7" t="str">
        <f t="shared" si="3"/>
        <v>Bakkerijmuseum</v>
      </c>
      <c r="R20" s="10">
        <v>8.0</v>
      </c>
      <c r="S20" s="9" t="b">
        <v>0</v>
      </c>
      <c r="T20" s="9" t="b">
        <v>0</v>
      </c>
      <c r="U20" s="7"/>
    </row>
    <row r="21">
      <c r="A21" s="7" t="s">
        <v>80</v>
      </c>
      <c r="B21" s="7" t="s">
        <v>81</v>
      </c>
      <c r="C21" s="7" t="s">
        <v>71</v>
      </c>
      <c r="D21" s="7" t="s">
        <v>72</v>
      </c>
      <c r="E21" s="8" t="b">
        <f t="shared" ref="E21:K21" si="21">IF(IFERROR(SEARCH(E$1, $D21),0) &gt;= 1, TRUE,FALSE)</f>
        <v>0</v>
      </c>
      <c r="F21" s="8" t="b">
        <f t="shared" si="21"/>
        <v>0</v>
      </c>
      <c r="G21" s="8" t="b">
        <f t="shared" si="21"/>
        <v>0</v>
      </c>
      <c r="H21" s="8" t="b">
        <f t="shared" si="21"/>
        <v>0</v>
      </c>
      <c r="I21" s="8" t="b">
        <f t="shared" si="21"/>
        <v>1</v>
      </c>
      <c r="J21" s="8" t="b">
        <f t="shared" si="21"/>
        <v>0</v>
      </c>
      <c r="K21" s="8" t="b">
        <f t="shared" si="21"/>
        <v>0</v>
      </c>
      <c r="L21" s="7"/>
      <c r="M21" s="9" t="b">
        <v>0</v>
      </c>
      <c r="N21" s="9" t="b">
        <v>0</v>
      </c>
      <c r="O21" s="9" t="b">
        <v>0</v>
      </c>
      <c r="P21" s="9" t="b">
        <v>0</v>
      </c>
      <c r="Q21" s="7" t="str">
        <f t="shared" si="3"/>
        <v>Belfort van Brugge</v>
      </c>
      <c r="R21" s="10">
        <v>15.0</v>
      </c>
      <c r="S21" s="9" t="b">
        <v>0</v>
      </c>
      <c r="T21" s="9" t="b">
        <v>0</v>
      </c>
      <c r="U21" s="7"/>
    </row>
    <row r="22">
      <c r="A22" s="7" t="s">
        <v>82</v>
      </c>
      <c r="B22" s="7" t="s">
        <v>83</v>
      </c>
      <c r="C22" s="7" t="s">
        <v>71</v>
      </c>
      <c r="D22" s="7" t="s">
        <v>4</v>
      </c>
      <c r="E22" s="8" t="b">
        <f t="shared" ref="E22:K22" si="22">IF(IFERROR(SEARCH(E$1, $D22),0) &gt;= 1, TRUE,FALSE)</f>
        <v>0</v>
      </c>
      <c r="F22" s="8" t="b">
        <f t="shared" si="22"/>
        <v>0</v>
      </c>
      <c r="G22" s="8" t="b">
        <f t="shared" si="22"/>
        <v>0</v>
      </c>
      <c r="H22" s="8" t="b">
        <f t="shared" si="22"/>
        <v>0</v>
      </c>
      <c r="I22" s="8" t="b">
        <f t="shared" si="22"/>
        <v>0</v>
      </c>
      <c r="J22" s="8" t="b">
        <f t="shared" si="22"/>
        <v>0</v>
      </c>
      <c r="K22" s="8" t="b">
        <f t="shared" si="22"/>
        <v>0</v>
      </c>
      <c r="L22" s="9" t="s">
        <v>557</v>
      </c>
      <c r="M22" s="9" t="b">
        <v>1</v>
      </c>
      <c r="N22" s="9" t="b">
        <v>0</v>
      </c>
      <c r="O22" s="9" t="b">
        <v>0</v>
      </c>
      <c r="P22" s="9" t="b">
        <v>0</v>
      </c>
      <c r="Q22" s="7" t="str">
        <f t="shared" si="3"/>
        <v>Belle Epoque Centrum</v>
      </c>
      <c r="R22" s="10">
        <v>5.0</v>
      </c>
      <c r="S22" s="9" t="b">
        <v>0</v>
      </c>
      <c r="T22" s="9" t="b">
        <v>0</v>
      </c>
      <c r="U22" s="7"/>
    </row>
    <row r="23">
      <c r="A23" s="7" t="s">
        <v>84</v>
      </c>
      <c r="B23" s="7" t="s">
        <v>85</v>
      </c>
      <c r="C23" s="7" t="s">
        <v>71</v>
      </c>
      <c r="D23" s="7" t="s">
        <v>86</v>
      </c>
      <c r="E23" s="8" t="b">
        <f t="shared" ref="E23:K23" si="23">IF(IFERROR(SEARCH(E$1, $D23),0) &gt;= 1, TRUE,FALSE)</f>
        <v>0</v>
      </c>
      <c r="F23" s="8" t="b">
        <f t="shared" si="23"/>
        <v>0</v>
      </c>
      <c r="G23" s="8" t="b">
        <f t="shared" si="23"/>
        <v>0</v>
      </c>
      <c r="H23" s="8" t="b">
        <f t="shared" si="23"/>
        <v>0</v>
      </c>
      <c r="I23" s="8" t="b">
        <f t="shared" si="23"/>
        <v>0</v>
      </c>
      <c r="J23" s="8" t="b">
        <f t="shared" si="23"/>
        <v>0</v>
      </c>
      <c r="K23" s="8" t="b">
        <f t="shared" si="23"/>
        <v>0</v>
      </c>
      <c r="L23" s="7"/>
      <c r="M23" s="9" t="b">
        <v>0</v>
      </c>
      <c r="N23" s="9" t="b">
        <v>0</v>
      </c>
      <c r="O23" s="9" t="b">
        <v>0</v>
      </c>
      <c r="P23" s="9" t="b">
        <v>0</v>
      </c>
      <c r="Q23" s="7" t="str">
        <f t="shared" si="3"/>
        <v>Brugse Vrije</v>
      </c>
      <c r="R23" s="10">
        <v>3.0</v>
      </c>
      <c r="S23" s="9" t="b">
        <v>0</v>
      </c>
      <c r="T23" s="9" t="b">
        <v>0</v>
      </c>
      <c r="U23" s="7"/>
    </row>
    <row r="24">
      <c r="A24" s="7" t="s">
        <v>87</v>
      </c>
      <c r="B24" s="7" t="s">
        <v>88</v>
      </c>
      <c r="C24" s="7" t="s">
        <v>71</v>
      </c>
      <c r="D24" s="7" t="s">
        <v>4</v>
      </c>
      <c r="E24" s="8" t="b">
        <f t="shared" ref="E24:K24" si="24">IF(IFERROR(SEARCH(E$1, $D24),0) &gt;= 1, TRUE,FALSE)</f>
        <v>0</v>
      </c>
      <c r="F24" s="8" t="b">
        <f t="shared" si="24"/>
        <v>0</v>
      </c>
      <c r="G24" s="8" t="b">
        <f t="shared" si="24"/>
        <v>0</v>
      </c>
      <c r="H24" s="8" t="b">
        <f t="shared" si="24"/>
        <v>0</v>
      </c>
      <c r="I24" s="8" t="b">
        <f t="shared" si="24"/>
        <v>0</v>
      </c>
      <c r="J24" s="8" t="b">
        <f t="shared" si="24"/>
        <v>0</v>
      </c>
      <c r="K24" s="8" t="b">
        <f t="shared" si="24"/>
        <v>0</v>
      </c>
      <c r="L24" s="9" t="s">
        <v>571</v>
      </c>
      <c r="M24" s="9" t="b">
        <v>0</v>
      </c>
      <c r="N24" s="9" t="b">
        <v>0</v>
      </c>
      <c r="O24" s="9" t="b">
        <v>1</v>
      </c>
      <c r="P24" s="9" t="b">
        <v>0</v>
      </c>
      <c r="Q24" s="7" t="str">
        <f t="shared" si="3"/>
        <v>Dodengang</v>
      </c>
      <c r="R24" s="10">
        <v>6.0</v>
      </c>
      <c r="S24" s="9" t="b">
        <v>0</v>
      </c>
      <c r="T24" s="9" t="b">
        <v>0</v>
      </c>
      <c r="U24" s="7"/>
    </row>
    <row r="25">
      <c r="A25" s="7"/>
      <c r="B25" s="7" t="s">
        <v>89</v>
      </c>
      <c r="C25" s="7" t="s">
        <v>71</v>
      </c>
      <c r="D25" s="7" t="s">
        <v>90</v>
      </c>
      <c r="E25" s="8" t="b">
        <f t="shared" ref="E25:K25" si="25">IF(IFERROR(SEARCH(E$1, $D25),0) &gt;= 1, TRUE,FALSE)</f>
        <v>0</v>
      </c>
      <c r="F25" s="8" t="b">
        <f t="shared" si="25"/>
        <v>0</v>
      </c>
      <c r="G25" s="8" t="b">
        <f t="shared" si="25"/>
        <v>1</v>
      </c>
      <c r="H25" s="8" t="b">
        <f t="shared" si="25"/>
        <v>0</v>
      </c>
      <c r="I25" s="8" t="b">
        <f t="shared" si="25"/>
        <v>1</v>
      </c>
      <c r="J25" s="8" t="b">
        <f t="shared" si="25"/>
        <v>0</v>
      </c>
      <c r="K25" s="8" t="b">
        <f t="shared" si="25"/>
        <v>0</v>
      </c>
      <c r="L25" s="9" t="s">
        <v>569</v>
      </c>
      <c r="M25" s="9" t="b">
        <v>1</v>
      </c>
      <c r="N25" s="9" t="b">
        <v>0</v>
      </c>
      <c r="O25" s="9" t="b">
        <v>1</v>
      </c>
      <c r="P25" s="9" t="b">
        <v>0</v>
      </c>
      <c r="Q25" s="7" t="str">
        <f t="shared" si="3"/>
        <v>Eperon d’Or</v>
      </c>
      <c r="R25" s="10">
        <v>8.0</v>
      </c>
      <c r="S25" s="9" t="b">
        <v>0</v>
      </c>
      <c r="T25" s="9" t="b">
        <v>1</v>
      </c>
      <c r="U25" s="10">
        <v>8.0</v>
      </c>
    </row>
    <row r="26">
      <c r="A26" s="7" t="s">
        <v>91</v>
      </c>
      <c r="B26" s="7" t="s">
        <v>92</v>
      </c>
      <c r="C26" s="7" t="s">
        <v>71</v>
      </c>
      <c r="D26" s="7" t="s">
        <v>7</v>
      </c>
      <c r="E26" s="8" t="b">
        <f t="shared" ref="E26:K26" si="26">IF(IFERROR(SEARCH(E$1, $D26),0) &gt;= 1, TRUE,FALSE)</f>
        <v>0</v>
      </c>
      <c r="F26" s="8" t="b">
        <f t="shared" si="26"/>
        <v>0</v>
      </c>
      <c r="G26" s="8" t="b">
        <f t="shared" si="26"/>
        <v>0</v>
      </c>
      <c r="H26" s="8" t="b">
        <f t="shared" si="26"/>
        <v>1</v>
      </c>
      <c r="I26" s="8" t="b">
        <f t="shared" si="26"/>
        <v>0</v>
      </c>
      <c r="J26" s="8" t="b">
        <f t="shared" si="26"/>
        <v>0</v>
      </c>
      <c r="K26" s="8" t="b">
        <f t="shared" si="26"/>
        <v>0</v>
      </c>
      <c r="L26" s="7"/>
      <c r="M26" s="9" t="b">
        <v>0</v>
      </c>
      <c r="N26" s="9" t="b">
        <v>0</v>
      </c>
      <c r="O26" s="9" t="b">
        <v>0</v>
      </c>
      <c r="P26" s="9" t="b">
        <v>0</v>
      </c>
      <c r="Q26" s="7" t="str">
        <f t="shared" si="3"/>
        <v>Gezellehuis</v>
      </c>
      <c r="R26" s="10">
        <v>0.0</v>
      </c>
      <c r="S26" s="9" t="b">
        <v>0</v>
      </c>
      <c r="T26" s="9" t="b">
        <v>0</v>
      </c>
      <c r="U26" s="7"/>
    </row>
    <row r="27">
      <c r="A27" s="7" t="s">
        <v>93</v>
      </c>
      <c r="B27" s="7" t="s">
        <v>94</v>
      </c>
      <c r="C27" s="7" t="s">
        <v>71</v>
      </c>
      <c r="D27" s="7" t="s">
        <v>9</v>
      </c>
      <c r="E27" s="8" t="b">
        <f t="shared" ref="E27:K27" si="27">IF(IFERROR(SEARCH(E$1, $D27),0) &gt;= 1, TRUE,FALSE)</f>
        <v>0</v>
      </c>
      <c r="F27" s="8" t="b">
        <f t="shared" si="27"/>
        <v>0</v>
      </c>
      <c r="G27" s="8" t="b">
        <f t="shared" si="27"/>
        <v>0</v>
      </c>
      <c r="H27" s="8" t="b">
        <f t="shared" si="27"/>
        <v>0</v>
      </c>
      <c r="I27" s="8" t="b">
        <f t="shared" si="27"/>
        <v>0</v>
      </c>
      <c r="J27" s="8" t="b">
        <f t="shared" si="27"/>
        <v>0</v>
      </c>
      <c r="K27" s="8" t="b">
        <f t="shared" si="27"/>
        <v>0</v>
      </c>
      <c r="L27" s="9" t="s">
        <v>557</v>
      </c>
      <c r="M27" s="9" t="b">
        <v>1</v>
      </c>
      <c r="N27" s="9" t="b">
        <v>0</v>
      </c>
      <c r="O27" s="9" t="b">
        <v>0</v>
      </c>
      <c r="P27" s="9" t="b">
        <v>0</v>
      </c>
      <c r="Q27" s="7" t="str">
        <f t="shared" si="3"/>
        <v>Groeningemuseum</v>
      </c>
      <c r="R27" s="10">
        <v>15.0</v>
      </c>
      <c r="S27" s="9" t="b">
        <v>0</v>
      </c>
      <c r="T27" s="9" t="b">
        <v>0</v>
      </c>
      <c r="U27" s="7"/>
    </row>
    <row r="28">
      <c r="A28" s="7" t="s">
        <v>95</v>
      </c>
      <c r="B28" s="7" t="s">
        <v>96</v>
      </c>
      <c r="C28" s="7" t="s">
        <v>71</v>
      </c>
      <c r="D28" s="7" t="s">
        <v>75</v>
      </c>
      <c r="E28" s="8" t="b">
        <f t="shared" ref="E28:K28" si="28">IF(IFERROR(SEARCH(E$1, $D28),0) &gt;= 1, TRUE,FALSE)</f>
        <v>0</v>
      </c>
      <c r="F28" s="8" t="b">
        <f t="shared" si="28"/>
        <v>0</v>
      </c>
      <c r="G28" s="8" t="b">
        <f t="shared" si="28"/>
        <v>0</v>
      </c>
      <c r="H28" s="8" t="b">
        <f t="shared" si="28"/>
        <v>0</v>
      </c>
      <c r="I28" s="8" t="b">
        <f t="shared" si="28"/>
        <v>1</v>
      </c>
      <c r="J28" s="8" t="b">
        <f t="shared" si="28"/>
        <v>0</v>
      </c>
      <c r="K28" s="8" t="b">
        <f t="shared" si="28"/>
        <v>0</v>
      </c>
      <c r="L28" s="7"/>
      <c r="M28" s="9" t="b">
        <v>0</v>
      </c>
      <c r="N28" s="9" t="b">
        <v>0</v>
      </c>
      <c r="O28" s="9" t="b">
        <v>0</v>
      </c>
      <c r="P28" s="9" t="b">
        <v>0</v>
      </c>
      <c r="Q28" s="7" t="str">
        <f t="shared" si="3"/>
        <v>Gruuthusemuseum</v>
      </c>
      <c r="R28" s="10">
        <v>15.0</v>
      </c>
      <c r="S28" s="9" t="b">
        <v>0</v>
      </c>
      <c r="T28" s="9" t="b">
        <v>0</v>
      </c>
      <c r="U28" s="7"/>
    </row>
    <row r="29">
      <c r="A29" s="7" t="s">
        <v>97</v>
      </c>
      <c r="B29" s="7" t="s">
        <v>98</v>
      </c>
      <c r="C29" s="7" t="s">
        <v>71</v>
      </c>
      <c r="D29" s="7" t="s">
        <v>9</v>
      </c>
      <c r="E29" s="8" t="b">
        <f t="shared" ref="E29:K29" si="29">IF(IFERROR(SEARCH(E$1, $D29),0) &gt;= 1, TRUE,FALSE)</f>
        <v>0</v>
      </c>
      <c r="F29" s="8" t="b">
        <f t="shared" si="29"/>
        <v>0</v>
      </c>
      <c r="G29" s="8" t="b">
        <f t="shared" si="29"/>
        <v>0</v>
      </c>
      <c r="H29" s="8" t="b">
        <f t="shared" si="29"/>
        <v>0</v>
      </c>
      <c r="I29" s="8" t="b">
        <f t="shared" si="29"/>
        <v>0</v>
      </c>
      <c r="J29" s="8" t="b">
        <f t="shared" si="29"/>
        <v>0</v>
      </c>
      <c r="K29" s="8" t="b">
        <f t="shared" si="29"/>
        <v>0</v>
      </c>
      <c r="L29" s="9" t="s">
        <v>557</v>
      </c>
      <c r="M29" s="9" t="b">
        <v>1</v>
      </c>
      <c r="N29" s="9" t="b">
        <v>0</v>
      </c>
      <c r="O29" s="9" t="b">
        <v>0</v>
      </c>
      <c r="P29" s="9" t="b">
        <v>0</v>
      </c>
      <c r="Q29" s="7" t="str">
        <f t="shared" si="3"/>
        <v>Het James Ensorhuis</v>
      </c>
      <c r="R29" s="10">
        <v>13.0</v>
      </c>
      <c r="S29" s="9" t="b">
        <v>0</v>
      </c>
      <c r="T29" s="9" t="b">
        <v>1</v>
      </c>
      <c r="U29" s="10">
        <v>13.0</v>
      </c>
    </row>
    <row r="30">
      <c r="A30" s="7" t="s">
        <v>99</v>
      </c>
      <c r="B30" s="7"/>
      <c r="C30" s="7" t="s">
        <v>71</v>
      </c>
      <c r="D30" s="7" t="s">
        <v>100</v>
      </c>
      <c r="E30" s="8" t="b">
        <f t="shared" ref="E30:K30" si="30">IF(IFERROR(SEARCH(E$1, $D30),0) &gt;= 1, TRUE,FALSE)</f>
        <v>0</v>
      </c>
      <c r="F30" s="8" t="b">
        <f t="shared" si="30"/>
        <v>0</v>
      </c>
      <c r="G30" s="8" t="b">
        <f t="shared" si="30"/>
        <v>0</v>
      </c>
      <c r="H30" s="8" t="b">
        <f t="shared" si="30"/>
        <v>1</v>
      </c>
      <c r="I30" s="8" t="b">
        <f t="shared" si="30"/>
        <v>1</v>
      </c>
      <c r="J30" s="8" t="b">
        <f t="shared" si="30"/>
        <v>0</v>
      </c>
      <c r="K30" s="8" t="b">
        <f t="shared" si="30"/>
        <v>0</v>
      </c>
      <c r="L30" s="9" t="s">
        <v>569</v>
      </c>
      <c r="M30" s="9" t="b">
        <v>1</v>
      </c>
      <c r="N30" s="9" t="b">
        <v>0</v>
      </c>
      <c r="O30" s="9" t="b">
        <v>1</v>
      </c>
      <c r="P30" s="9" t="b">
        <v>0</v>
      </c>
      <c r="Q30" s="7" t="str">
        <f t="shared" si="3"/>
        <v>Het Lijsternest | Streuvelshuis &amp; Schrijversresidentie</v>
      </c>
      <c r="R30" s="10">
        <v>3.0</v>
      </c>
      <c r="S30" s="9" t="b">
        <v>1</v>
      </c>
      <c r="T30" s="9" t="b">
        <v>0</v>
      </c>
      <c r="U30" s="7"/>
    </row>
    <row r="31">
      <c r="A31" s="7" t="s">
        <v>101</v>
      </c>
      <c r="B31" s="7"/>
      <c r="C31" s="7" t="s">
        <v>71</v>
      </c>
      <c r="D31" s="7" t="s">
        <v>102</v>
      </c>
      <c r="E31" s="8" t="b">
        <f t="shared" ref="E31:K31" si="31">IF(IFERROR(SEARCH(E$1, $D31),0) &gt;= 1, TRUE,FALSE)</f>
        <v>0</v>
      </c>
      <c r="F31" s="8" t="b">
        <f t="shared" si="31"/>
        <v>0</v>
      </c>
      <c r="G31" s="8" t="b">
        <f t="shared" si="31"/>
        <v>0</v>
      </c>
      <c r="H31" s="8" t="b">
        <f t="shared" si="31"/>
        <v>0</v>
      </c>
      <c r="I31" s="8" t="b">
        <f t="shared" si="31"/>
        <v>0</v>
      </c>
      <c r="J31" s="8" t="b">
        <f t="shared" si="31"/>
        <v>0</v>
      </c>
      <c r="K31" s="8" t="b">
        <f t="shared" si="31"/>
        <v>0</v>
      </c>
      <c r="L31" s="9" t="s">
        <v>557</v>
      </c>
      <c r="M31" s="9" t="b">
        <v>1</v>
      </c>
      <c r="N31" s="9" t="b">
        <v>0</v>
      </c>
      <c r="O31" s="9" t="b">
        <v>0</v>
      </c>
      <c r="P31" s="9" t="b">
        <v>0</v>
      </c>
      <c r="Q31" s="7" t="str">
        <f t="shared" si="3"/>
        <v>HEY Museum</v>
      </c>
      <c r="R31" s="10">
        <v>10.0</v>
      </c>
      <c r="S31" s="9" t="b">
        <v>0</v>
      </c>
      <c r="T31" s="9" t="b">
        <v>0</v>
      </c>
      <c r="U31" s="7"/>
    </row>
    <row r="32">
      <c r="A32" s="7" t="s">
        <v>103</v>
      </c>
      <c r="B32" s="7" t="s">
        <v>104</v>
      </c>
      <c r="C32" s="7" t="s">
        <v>71</v>
      </c>
      <c r="D32" s="7" t="s">
        <v>4</v>
      </c>
      <c r="E32" s="8" t="b">
        <f t="shared" ref="E32:K32" si="32">IF(IFERROR(SEARCH(E$1, $D32),0) &gt;= 1, TRUE,FALSE)</f>
        <v>0</v>
      </c>
      <c r="F32" s="8" t="b">
        <f t="shared" si="32"/>
        <v>0</v>
      </c>
      <c r="G32" s="8" t="b">
        <f t="shared" si="32"/>
        <v>0</v>
      </c>
      <c r="H32" s="8" t="b">
        <f t="shared" si="32"/>
        <v>0</v>
      </c>
      <c r="I32" s="8" t="b">
        <f t="shared" si="32"/>
        <v>0</v>
      </c>
      <c r="J32" s="8" t="b">
        <f t="shared" si="32"/>
        <v>0</v>
      </c>
      <c r="K32" s="8" t="b">
        <f t="shared" si="32"/>
        <v>0</v>
      </c>
      <c r="L32" s="9" t="s">
        <v>566</v>
      </c>
      <c r="M32" s="9" t="b">
        <v>1</v>
      </c>
      <c r="N32" s="9" t="b">
        <v>1</v>
      </c>
      <c r="O32" s="9" t="b">
        <v>0</v>
      </c>
      <c r="P32" s="9" t="b">
        <v>0</v>
      </c>
      <c r="Q32" s="7" t="str">
        <f t="shared" si="3"/>
        <v>Hopmuseum Poperinge</v>
      </c>
      <c r="R32" s="10">
        <v>7.0</v>
      </c>
      <c r="S32" s="9" t="b">
        <v>0</v>
      </c>
      <c r="T32" s="9" t="b">
        <v>0</v>
      </c>
      <c r="U32" s="7"/>
    </row>
    <row r="33">
      <c r="A33" s="7" t="s">
        <v>105</v>
      </c>
      <c r="B33" s="7" t="s">
        <v>106</v>
      </c>
      <c r="C33" s="7" t="s">
        <v>71</v>
      </c>
      <c r="D33" s="7" t="s">
        <v>4</v>
      </c>
      <c r="E33" s="8" t="b">
        <f t="shared" ref="E33:K33" si="33">IF(IFERROR(SEARCH(E$1, $D33),0) &gt;= 1, TRUE,FALSE)</f>
        <v>0</v>
      </c>
      <c r="F33" s="8" t="b">
        <f t="shared" si="33"/>
        <v>0</v>
      </c>
      <c r="G33" s="8" t="b">
        <f t="shared" si="33"/>
        <v>0</v>
      </c>
      <c r="H33" s="8" t="b">
        <f t="shared" si="33"/>
        <v>0</v>
      </c>
      <c r="I33" s="8" t="b">
        <f t="shared" si="33"/>
        <v>0</v>
      </c>
      <c r="J33" s="8" t="b">
        <f t="shared" si="33"/>
        <v>0</v>
      </c>
      <c r="K33" s="8" t="b">
        <f t="shared" si="33"/>
        <v>0</v>
      </c>
      <c r="L33" s="9" t="s">
        <v>566</v>
      </c>
      <c r="M33" s="9" t="b">
        <v>1</v>
      </c>
      <c r="N33" s="9" t="b">
        <v>1</v>
      </c>
      <c r="O33" s="9" t="b">
        <v>0</v>
      </c>
      <c r="P33" s="9" t="b">
        <v>0</v>
      </c>
      <c r="Q33" s="7" t="str">
        <f t="shared" si="3"/>
        <v>In Flanders Fields Museum</v>
      </c>
      <c r="R33" s="10">
        <v>12.0</v>
      </c>
      <c r="S33" s="9" t="b">
        <v>0</v>
      </c>
      <c r="T33" s="9" t="b">
        <v>1</v>
      </c>
      <c r="U33" s="10">
        <v>12.0</v>
      </c>
    </row>
    <row r="34">
      <c r="A34" s="7" t="s">
        <v>107</v>
      </c>
      <c r="B34" s="7" t="s">
        <v>108</v>
      </c>
      <c r="C34" s="7" t="s">
        <v>71</v>
      </c>
      <c r="D34" s="7" t="s">
        <v>109</v>
      </c>
      <c r="E34" s="8" t="b">
        <f t="shared" ref="E34:K34" si="34">IF(IFERROR(SEARCH(E$1, $D34),0) &gt;= 1, TRUE,FALSE)</f>
        <v>0</v>
      </c>
      <c r="F34" s="8" t="b">
        <f t="shared" si="34"/>
        <v>0</v>
      </c>
      <c r="G34" s="8" t="b">
        <f t="shared" si="34"/>
        <v>1</v>
      </c>
      <c r="H34" s="8" t="b">
        <f t="shared" si="34"/>
        <v>0</v>
      </c>
      <c r="I34" s="8" t="b">
        <f t="shared" si="34"/>
        <v>0</v>
      </c>
      <c r="J34" s="8" t="b">
        <f t="shared" si="34"/>
        <v>0</v>
      </c>
      <c r="K34" s="8" t="b">
        <f t="shared" si="34"/>
        <v>0</v>
      </c>
      <c r="L34" s="9" t="s">
        <v>557</v>
      </c>
      <c r="M34" s="9" t="b">
        <v>1</v>
      </c>
      <c r="N34" s="9" t="b">
        <v>0</v>
      </c>
      <c r="O34" s="9" t="b">
        <v>0</v>
      </c>
      <c r="P34" s="9" t="b">
        <v>0</v>
      </c>
      <c r="Q34" s="7" t="str">
        <f t="shared" si="3"/>
        <v>Kantmuseum Brugge</v>
      </c>
      <c r="R34" s="10">
        <v>8.0</v>
      </c>
      <c r="S34" s="9" t="b">
        <v>0</v>
      </c>
      <c r="T34" s="9" t="b">
        <v>0</v>
      </c>
      <c r="U34" s="7"/>
    </row>
    <row r="35">
      <c r="A35" s="7" t="s">
        <v>110</v>
      </c>
      <c r="B35" s="7" t="s">
        <v>111</v>
      </c>
      <c r="C35" s="7" t="s">
        <v>71</v>
      </c>
      <c r="D35" s="7" t="s">
        <v>102</v>
      </c>
      <c r="E35" s="8" t="b">
        <f t="shared" ref="E35:K35" si="35">IF(IFERROR(SEARCH(E$1, $D35),0) &gt;= 1, TRUE,FALSE)</f>
        <v>0</v>
      </c>
      <c r="F35" s="8" t="b">
        <f t="shared" si="35"/>
        <v>0</v>
      </c>
      <c r="G35" s="8" t="b">
        <f t="shared" si="35"/>
        <v>0</v>
      </c>
      <c r="H35" s="8" t="b">
        <f t="shared" si="35"/>
        <v>0</v>
      </c>
      <c r="I35" s="8" t="b">
        <f t="shared" si="35"/>
        <v>0</v>
      </c>
      <c r="J35" s="8" t="b">
        <f t="shared" si="35"/>
        <v>0</v>
      </c>
      <c r="K35" s="8" t="b">
        <f t="shared" si="35"/>
        <v>0</v>
      </c>
      <c r="L35" s="9" t="s">
        <v>569</v>
      </c>
      <c r="M35" s="9" t="b">
        <v>1</v>
      </c>
      <c r="N35" s="9" t="b">
        <v>0</v>
      </c>
      <c r="O35" s="9" t="b">
        <v>1</v>
      </c>
      <c r="P35" s="9" t="b">
        <v>0</v>
      </c>
      <c r="Q35" s="7" t="str">
        <f t="shared" si="3"/>
        <v>Kasteel van Loppem</v>
      </c>
      <c r="R35" s="10">
        <v>9.0</v>
      </c>
      <c r="S35" s="9" t="b">
        <v>0</v>
      </c>
      <c r="T35" s="9" t="b">
        <v>0</v>
      </c>
      <c r="U35" s="7"/>
    </row>
    <row r="36">
      <c r="A36" s="7" t="s">
        <v>112</v>
      </c>
      <c r="B36" s="7" t="s">
        <v>113</v>
      </c>
      <c r="C36" s="7" t="s">
        <v>71</v>
      </c>
      <c r="D36" s="7" t="s">
        <v>114</v>
      </c>
      <c r="E36" s="8" t="b">
        <f t="shared" ref="E36:K36" si="36">IF(IFERROR(SEARCH(E$1, $D36),0) &gt;= 1, TRUE,FALSE)</f>
        <v>0</v>
      </c>
      <c r="F36" s="8" t="b">
        <f t="shared" si="36"/>
        <v>0</v>
      </c>
      <c r="G36" s="8" t="b">
        <f t="shared" si="36"/>
        <v>0</v>
      </c>
      <c r="H36" s="8" t="b">
        <f t="shared" si="36"/>
        <v>0</v>
      </c>
      <c r="I36" s="8" t="b">
        <f t="shared" si="36"/>
        <v>0</v>
      </c>
      <c r="J36" s="8" t="b">
        <f t="shared" si="36"/>
        <v>0</v>
      </c>
      <c r="K36" s="8" t="b">
        <f t="shared" si="36"/>
        <v>0</v>
      </c>
      <c r="L36" s="9" t="s">
        <v>572</v>
      </c>
      <c r="M36" s="9" t="b">
        <v>1</v>
      </c>
      <c r="N36" s="9" t="b">
        <v>1</v>
      </c>
      <c r="O36" s="9" t="b">
        <v>0</v>
      </c>
      <c r="P36" s="9" t="b">
        <v>1</v>
      </c>
      <c r="Q36" s="7" t="str">
        <f t="shared" si="3"/>
        <v>KOERS | Museum van de Wielersport</v>
      </c>
      <c r="R36" s="10">
        <v>9.0</v>
      </c>
      <c r="S36" s="9" t="b">
        <v>0</v>
      </c>
      <c r="T36" s="9" t="b">
        <v>0</v>
      </c>
      <c r="U36" s="7"/>
    </row>
    <row r="37">
      <c r="A37" s="7" t="s">
        <v>115</v>
      </c>
      <c r="B37" s="7" t="s">
        <v>116</v>
      </c>
      <c r="C37" s="8" t="s">
        <v>71</v>
      </c>
      <c r="D37" s="7" t="s">
        <v>4</v>
      </c>
      <c r="E37" s="8" t="b">
        <f t="shared" ref="E37:K37" si="37">IF(IFERROR(SEARCH(E$1, $D37),0) &gt;= 1, TRUE,FALSE)</f>
        <v>0</v>
      </c>
      <c r="F37" s="8" t="b">
        <f t="shared" si="37"/>
        <v>0</v>
      </c>
      <c r="G37" s="8" t="b">
        <f t="shared" si="37"/>
        <v>0</v>
      </c>
      <c r="H37" s="8" t="b">
        <f t="shared" si="37"/>
        <v>0</v>
      </c>
      <c r="I37" s="8" t="b">
        <f t="shared" si="37"/>
        <v>0</v>
      </c>
      <c r="J37" s="8" t="b">
        <f t="shared" si="37"/>
        <v>0</v>
      </c>
      <c r="K37" s="8" t="b">
        <f t="shared" si="37"/>
        <v>0</v>
      </c>
      <c r="L37" s="9" t="s">
        <v>567</v>
      </c>
      <c r="M37" s="9" t="b">
        <v>1</v>
      </c>
      <c r="N37" s="9" t="b">
        <v>1</v>
      </c>
      <c r="O37" s="9" t="b">
        <v>1</v>
      </c>
      <c r="P37" s="9" t="b">
        <v>0</v>
      </c>
      <c r="Q37" s="7" t="str">
        <f t="shared" si="3"/>
        <v>Museum aan de IJzer</v>
      </c>
      <c r="R37" s="10">
        <v>9.5</v>
      </c>
      <c r="S37" s="9" t="b">
        <v>0</v>
      </c>
      <c r="T37" s="9" t="b">
        <v>1</v>
      </c>
      <c r="U37" s="10">
        <v>9.5</v>
      </c>
    </row>
    <row r="38">
      <c r="A38" s="7" t="s">
        <v>117</v>
      </c>
      <c r="B38" s="7" t="s">
        <v>118</v>
      </c>
      <c r="C38" s="8" t="s">
        <v>71</v>
      </c>
      <c r="D38" s="7" t="s">
        <v>77</v>
      </c>
      <c r="E38" s="8" t="b">
        <f t="shared" ref="E38:K38" si="38">IF(IFERROR(SEARCH(E$1, $D38),0) &gt;= 1, TRUE,FALSE)</f>
        <v>0</v>
      </c>
      <c r="F38" s="8" t="b">
        <f t="shared" si="38"/>
        <v>0</v>
      </c>
      <c r="G38" s="8" t="b">
        <f t="shared" si="38"/>
        <v>0</v>
      </c>
      <c r="H38" s="8" t="b">
        <f t="shared" si="38"/>
        <v>0</v>
      </c>
      <c r="I38" s="8" t="b">
        <f t="shared" si="38"/>
        <v>1</v>
      </c>
      <c r="J38" s="8" t="b">
        <f t="shared" si="38"/>
        <v>0</v>
      </c>
      <c r="K38" s="8" t="b">
        <f t="shared" si="38"/>
        <v>0</v>
      </c>
      <c r="L38" s="9" t="s">
        <v>557</v>
      </c>
      <c r="M38" s="9" t="b">
        <v>1</v>
      </c>
      <c r="N38" s="9" t="b">
        <v>0</v>
      </c>
      <c r="O38" s="9" t="b">
        <v>0</v>
      </c>
      <c r="P38" s="9" t="b">
        <v>0</v>
      </c>
      <c r="Q38" s="7" t="str">
        <f t="shared" si="3"/>
        <v>Museum Sint-Janshospitaal</v>
      </c>
      <c r="R38" s="10">
        <v>15.0</v>
      </c>
      <c r="S38" s="9" t="b">
        <v>0</v>
      </c>
      <c r="T38" s="9" t="b">
        <v>1</v>
      </c>
      <c r="U38" s="10">
        <v>15.0</v>
      </c>
    </row>
    <row r="39">
      <c r="A39" s="7" t="s">
        <v>119</v>
      </c>
      <c r="B39" s="7" t="s">
        <v>120</v>
      </c>
      <c r="C39" s="8" t="s">
        <v>71</v>
      </c>
      <c r="D39" s="7" t="s">
        <v>9</v>
      </c>
      <c r="E39" s="8" t="b">
        <f t="shared" ref="E39:K39" si="39">IF(IFERROR(SEARCH(E$1, $D39),0) &gt;= 1, TRUE,FALSE)</f>
        <v>0</v>
      </c>
      <c r="F39" s="8" t="b">
        <f t="shared" si="39"/>
        <v>0</v>
      </c>
      <c r="G39" s="8" t="b">
        <f t="shared" si="39"/>
        <v>0</v>
      </c>
      <c r="H39" s="8" t="b">
        <f t="shared" si="39"/>
        <v>0</v>
      </c>
      <c r="I39" s="8" t="b">
        <f t="shared" si="39"/>
        <v>0</v>
      </c>
      <c r="J39" s="8" t="b">
        <f t="shared" si="39"/>
        <v>0</v>
      </c>
      <c r="K39" s="8" t="b">
        <f t="shared" si="39"/>
        <v>0</v>
      </c>
      <c r="L39" s="9" t="s">
        <v>557</v>
      </c>
      <c r="M39" s="9" t="b">
        <v>1</v>
      </c>
      <c r="N39" s="9" t="b">
        <v>0</v>
      </c>
      <c r="O39" s="9" t="b">
        <v>0</v>
      </c>
      <c r="P39" s="9" t="b">
        <v>0</v>
      </c>
      <c r="Q39" s="7" t="str">
        <f t="shared" si="3"/>
        <v>Mu.ZEE | Kunstmuseum aan Zee</v>
      </c>
      <c r="R39" s="10">
        <v>12.0</v>
      </c>
      <c r="S39" s="9" t="b">
        <v>1</v>
      </c>
      <c r="T39" s="9" t="b">
        <v>1</v>
      </c>
      <c r="U39" s="10">
        <v>12.0</v>
      </c>
    </row>
    <row r="40">
      <c r="A40" s="7" t="s">
        <v>121</v>
      </c>
      <c r="B40" s="7" t="s">
        <v>122</v>
      </c>
      <c r="C40" s="8" t="s">
        <v>71</v>
      </c>
      <c r="D40" s="7" t="s">
        <v>4</v>
      </c>
      <c r="E40" s="8" t="b">
        <f t="shared" ref="E40:K40" si="40">IF(IFERROR(SEARCH(E$1, $D40),0) &gt;= 1, TRUE,FALSE)</f>
        <v>0</v>
      </c>
      <c r="F40" s="8" t="b">
        <f t="shared" si="40"/>
        <v>0</v>
      </c>
      <c r="G40" s="8" t="b">
        <f t="shared" si="40"/>
        <v>0</v>
      </c>
      <c r="H40" s="8" t="b">
        <f t="shared" si="40"/>
        <v>0</v>
      </c>
      <c r="I40" s="8" t="b">
        <f t="shared" si="40"/>
        <v>0</v>
      </c>
      <c r="J40" s="8" t="b">
        <f t="shared" si="40"/>
        <v>0</v>
      </c>
      <c r="K40" s="8" t="b">
        <f t="shared" si="40"/>
        <v>0</v>
      </c>
      <c r="L40" s="7"/>
      <c r="M40" s="9" t="b">
        <v>0</v>
      </c>
      <c r="N40" s="9" t="b">
        <v>0</v>
      </c>
      <c r="O40" s="9" t="b">
        <v>0</v>
      </c>
      <c r="P40" s="9" t="b">
        <v>0</v>
      </c>
      <c r="Q40" s="7" t="str">
        <f t="shared" si="3"/>
        <v>Nationaal Tabaksmuseum</v>
      </c>
      <c r="R40" s="10">
        <v>4.5</v>
      </c>
      <c r="S40" s="9" t="b">
        <v>0</v>
      </c>
      <c r="T40" s="9" t="b">
        <v>1</v>
      </c>
      <c r="U40" s="10">
        <v>4.5</v>
      </c>
    </row>
    <row r="41">
      <c r="A41" s="7" t="s">
        <v>123</v>
      </c>
      <c r="B41" s="7" t="s">
        <v>124</v>
      </c>
      <c r="C41" s="8" t="s">
        <v>71</v>
      </c>
      <c r="D41" s="7" t="s">
        <v>53</v>
      </c>
      <c r="E41" s="8" t="b">
        <f t="shared" ref="E41:K41" si="41">IF(IFERROR(SEARCH(E$1, $D41),0) &gt;= 1, TRUE,FALSE)</f>
        <v>0</v>
      </c>
      <c r="F41" s="8" t="b">
        <f t="shared" si="41"/>
        <v>0</v>
      </c>
      <c r="G41" s="8" t="b">
        <f t="shared" si="41"/>
        <v>0</v>
      </c>
      <c r="H41" s="8" t="b">
        <f t="shared" si="41"/>
        <v>0</v>
      </c>
      <c r="I41" s="8" t="b">
        <f t="shared" si="41"/>
        <v>0</v>
      </c>
      <c r="J41" s="8" t="b">
        <f t="shared" si="41"/>
        <v>0</v>
      </c>
      <c r="K41" s="8" t="b">
        <f t="shared" si="41"/>
        <v>0</v>
      </c>
      <c r="L41" s="9" t="s">
        <v>570</v>
      </c>
      <c r="M41" s="9" t="b">
        <v>1</v>
      </c>
      <c r="N41" s="9" t="b">
        <v>1</v>
      </c>
      <c r="O41" s="9" t="b">
        <v>1</v>
      </c>
      <c r="P41" s="9" t="b">
        <v>1</v>
      </c>
      <c r="Q41" s="7" t="str">
        <f t="shared" si="3"/>
        <v>NAVIGO Visserijmuseum</v>
      </c>
      <c r="R41" s="10">
        <v>10.0</v>
      </c>
      <c r="S41" s="9" t="b">
        <v>0</v>
      </c>
      <c r="T41" s="9" t="b">
        <v>1</v>
      </c>
      <c r="U41" s="10">
        <v>0.0</v>
      </c>
    </row>
    <row r="42">
      <c r="A42" s="7" t="s">
        <v>125</v>
      </c>
      <c r="B42" s="7" t="s">
        <v>126</v>
      </c>
      <c r="C42" s="8" t="s">
        <v>71</v>
      </c>
      <c r="D42" s="7" t="s">
        <v>127</v>
      </c>
      <c r="E42" s="8" t="b">
        <f t="shared" ref="E42:K42" si="42">IF(IFERROR(SEARCH(E$1, $D42),0) &gt;= 1, TRUE,FALSE)</f>
        <v>0</v>
      </c>
      <c r="F42" s="8" t="b">
        <f t="shared" si="42"/>
        <v>0</v>
      </c>
      <c r="G42" s="8" t="b">
        <f t="shared" si="42"/>
        <v>0</v>
      </c>
      <c r="H42" s="8" t="b">
        <f t="shared" si="42"/>
        <v>0</v>
      </c>
      <c r="I42" s="8" t="b">
        <f t="shared" si="42"/>
        <v>1</v>
      </c>
      <c r="J42" s="8" t="b">
        <f t="shared" si="42"/>
        <v>0</v>
      </c>
      <c r="K42" s="8" t="b">
        <f t="shared" si="42"/>
        <v>0</v>
      </c>
      <c r="L42" s="7"/>
      <c r="M42" s="9" t="b">
        <v>0</v>
      </c>
      <c r="N42" s="9" t="b">
        <v>0</v>
      </c>
      <c r="O42" s="9" t="b">
        <v>0</v>
      </c>
      <c r="P42" s="9" t="b">
        <v>0</v>
      </c>
      <c r="Q42" s="7" t="str">
        <f t="shared" si="3"/>
        <v>O.L.V.-kerk Museum</v>
      </c>
      <c r="R42" s="10">
        <v>8.0</v>
      </c>
      <c r="S42" s="9" t="b">
        <v>0</v>
      </c>
      <c r="T42" s="9" t="b">
        <v>0</v>
      </c>
      <c r="U42" s="7"/>
    </row>
    <row r="43">
      <c r="A43" s="7" t="s">
        <v>128</v>
      </c>
      <c r="B43" s="7" t="s">
        <v>129</v>
      </c>
      <c r="C43" s="8" t="s">
        <v>71</v>
      </c>
      <c r="D43" s="7" t="s">
        <v>75</v>
      </c>
      <c r="E43" s="8" t="b">
        <f t="shared" ref="E43:K43" si="43">IF(IFERROR(SEARCH(E$1, $D43),0) &gt;= 1, TRUE,FALSE)</f>
        <v>0</v>
      </c>
      <c r="F43" s="8" t="b">
        <f t="shared" si="43"/>
        <v>0</v>
      </c>
      <c r="G43" s="8" t="b">
        <f t="shared" si="43"/>
        <v>0</v>
      </c>
      <c r="H43" s="8" t="b">
        <f t="shared" si="43"/>
        <v>0</v>
      </c>
      <c r="I43" s="8" t="b">
        <f t="shared" si="43"/>
        <v>1</v>
      </c>
      <c r="J43" s="8" t="b">
        <f t="shared" si="43"/>
        <v>0</v>
      </c>
      <c r="K43" s="8" t="b">
        <f t="shared" si="43"/>
        <v>0</v>
      </c>
      <c r="L43" s="7"/>
      <c r="M43" s="9" t="b">
        <v>0</v>
      </c>
      <c r="N43" s="9" t="b">
        <v>0</v>
      </c>
      <c r="O43" s="9" t="b">
        <v>0</v>
      </c>
      <c r="P43" s="9" t="b">
        <v>0</v>
      </c>
      <c r="Q43" s="7" t="str">
        <f t="shared" si="3"/>
        <v>O.L.V. ter Potterie</v>
      </c>
      <c r="R43" s="10">
        <v>8.0</v>
      </c>
      <c r="S43" s="9" t="b">
        <v>0</v>
      </c>
      <c r="T43" s="9" t="b">
        <v>0</v>
      </c>
      <c r="U43" s="7"/>
    </row>
    <row r="44">
      <c r="A44" s="7" t="s">
        <v>130</v>
      </c>
      <c r="B44" s="7"/>
      <c r="C44" s="8" t="s">
        <v>71</v>
      </c>
      <c r="D44" s="7" t="s">
        <v>4</v>
      </c>
      <c r="E44" s="8" t="b">
        <f t="shared" ref="E44:K44" si="44">IF(IFERROR(SEARCH(E$1, $D44),0) &gt;= 1, TRUE,FALSE)</f>
        <v>0</v>
      </c>
      <c r="F44" s="8" t="b">
        <f t="shared" si="44"/>
        <v>0</v>
      </c>
      <c r="G44" s="8" t="b">
        <f t="shared" si="44"/>
        <v>0</v>
      </c>
      <c r="H44" s="8" t="b">
        <f t="shared" si="44"/>
        <v>0</v>
      </c>
      <c r="I44" s="8" t="b">
        <f t="shared" si="44"/>
        <v>0</v>
      </c>
      <c r="J44" s="8" t="b">
        <f t="shared" si="44"/>
        <v>0</v>
      </c>
      <c r="K44" s="8" t="b">
        <f t="shared" si="44"/>
        <v>0</v>
      </c>
      <c r="L44" s="9" t="s">
        <v>569</v>
      </c>
      <c r="M44" s="9" t="b">
        <v>1</v>
      </c>
      <c r="N44" s="9" t="b">
        <v>0</v>
      </c>
      <c r="O44" s="9" t="b">
        <v>1</v>
      </c>
      <c r="P44" s="9" t="b">
        <v>0</v>
      </c>
      <c r="Q44" s="7" t="str">
        <f t="shared" si="3"/>
        <v>Passchendaele Museum</v>
      </c>
      <c r="R44" s="10">
        <v>13.0</v>
      </c>
      <c r="S44" s="9" t="b">
        <v>0</v>
      </c>
      <c r="T44" s="9" t="b">
        <v>1</v>
      </c>
      <c r="U44" s="10">
        <v>13.0</v>
      </c>
    </row>
    <row r="45">
      <c r="A45" s="7" t="s">
        <v>131</v>
      </c>
      <c r="B45" s="7" t="s">
        <v>132</v>
      </c>
      <c r="C45" s="8" t="s">
        <v>71</v>
      </c>
      <c r="D45" s="7" t="s">
        <v>9</v>
      </c>
      <c r="E45" s="8" t="b">
        <f t="shared" ref="E45:K45" si="45">IF(IFERROR(SEARCH(E$1, $D45),0) &gt;= 1, TRUE,FALSE)</f>
        <v>0</v>
      </c>
      <c r="F45" s="8" t="b">
        <f t="shared" si="45"/>
        <v>0</v>
      </c>
      <c r="G45" s="8" t="b">
        <f t="shared" si="45"/>
        <v>0</v>
      </c>
      <c r="H45" s="8" t="b">
        <f t="shared" si="45"/>
        <v>0</v>
      </c>
      <c r="I45" s="8" t="b">
        <f t="shared" si="45"/>
        <v>0</v>
      </c>
      <c r="J45" s="8" t="b">
        <f t="shared" si="45"/>
        <v>0</v>
      </c>
      <c r="K45" s="8" t="b">
        <f t="shared" si="45"/>
        <v>0</v>
      </c>
      <c r="L45" s="9" t="s">
        <v>567</v>
      </c>
      <c r="M45" s="9" t="b">
        <v>1</v>
      </c>
      <c r="N45" s="9" t="b">
        <v>1</v>
      </c>
      <c r="O45" s="9" t="b">
        <v>1</v>
      </c>
      <c r="P45" s="9" t="b">
        <v>0</v>
      </c>
      <c r="Q45" s="7" t="str">
        <f t="shared" si="3"/>
        <v>Paul Delvaux Museum</v>
      </c>
      <c r="R45" s="10">
        <v>12.0</v>
      </c>
      <c r="S45" s="9" t="b">
        <v>0</v>
      </c>
      <c r="T45" s="9" t="b">
        <v>0</v>
      </c>
      <c r="U45" s="7"/>
    </row>
    <row r="46">
      <c r="A46" s="7" t="s">
        <v>133</v>
      </c>
      <c r="B46" s="7"/>
      <c r="C46" s="8" t="s">
        <v>71</v>
      </c>
      <c r="D46" s="7" t="s">
        <v>9</v>
      </c>
      <c r="E46" s="8" t="b">
        <f t="shared" ref="E46:K46" si="46">IF(IFERROR(SEARCH(E$1, $D46),0) &gt;= 1, TRUE,FALSE)</f>
        <v>0</v>
      </c>
      <c r="F46" s="8" t="b">
        <f t="shared" si="46"/>
        <v>0</v>
      </c>
      <c r="G46" s="8" t="b">
        <f t="shared" si="46"/>
        <v>0</v>
      </c>
      <c r="H46" s="8" t="b">
        <f t="shared" si="46"/>
        <v>0</v>
      </c>
      <c r="I46" s="8" t="b">
        <f t="shared" si="46"/>
        <v>0</v>
      </c>
      <c r="J46" s="8" t="b">
        <f t="shared" si="46"/>
        <v>0</v>
      </c>
      <c r="K46" s="8" t="b">
        <f t="shared" si="46"/>
        <v>0</v>
      </c>
      <c r="L46" s="9" t="s">
        <v>557</v>
      </c>
      <c r="M46" s="9" t="b">
        <v>1</v>
      </c>
      <c r="N46" s="9" t="b">
        <v>0</v>
      </c>
      <c r="O46" s="9" t="b">
        <v>0</v>
      </c>
      <c r="P46" s="9" t="b">
        <v>0</v>
      </c>
      <c r="Q46" s="7" t="str">
        <f t="shared" si="3"/>
        <v>Peiremuzee</v>
      </c>
      <c r="R46" s="10">
        <v>12.0</v>
      </c>
      <c r="S46" s="9" t="b">
        <v>0</v>
      </c>
      <c r="T46" s="9" t="b">
        <v>0</v>
      </c>
      <c r="U46" s="7"/>
    </row>
    <row r="47">
      <c r="A47" s="7" t="s">
        <v>134</v>
      </c>
      <c r="B47" s="7" t="s">
        <v>135</v>
      </c>
      <c r="C47" s="8" t="s">
        <v>71</v>
      </c>
      <c r="D47" s="7" t="s">
        <v>9</v>
      </c>
      <c r="E47" s="8" t="b">
        <f t="shared" ref="E47:K47" si="47">IF(IFERROR(SEARCH(E$1, $D47),0) &gt;= 1, TRUE,FALSE)</f>
        <v>0</v>
      </c>
      <c r="F47" s="8" t="b">
        <f t="shared" si="47"/>
        <v>0</v>
      </c>
      <c r="G47" s="8" t="b">
        <f t="shared" si="47"/>
        <v>0</v>
      </c>
      <c r="H47" s="8" t="b">
        <f t="shared" si="47"/>
        <v>0</v>
      </c>
      <c r="I47" s="8" t="b">
        <f t="shared" si="47"/>
        <v>0</v>
      </c>
      <c r="J47" s="8" t="b">
        <f t="shared" si="47"/>
        <v>0</v>
      </c>
      <c r="K47" s="8" t="b">
        <f t="shared" si="47"/>
        <v>0</v>
      </c>
      <c r="L47" s="7"/>
      <c r="M47" s="9" t="b">
        <v>0</v>
      </c>
      <c r="N47" s="9" t="b">
        <v>0</v>
      </c>
      <c r="O47" s="9" t="b">
        <v>0</v>
      </c>
      <c r="P47" s="9" t="b">
        <v>0</v>
      </c>
      <c r="Q47" s="7" t="str">
        <f t="shared" si="3"/>
        <v>Permekemuseum</v>
      </c>
      <c r="R47" s="10">
        <v>12.0</v>
      </c>
      <c r="S47" s="9" t="b">
        <v>0</v>
      </c>
      <c r="T47" s="9" t="b">
        <v>0</v>
      </c>
      <c r="U47" s="7"/>
    </row>
    <row r="48">
      <c r="A48" s="7" t="s">
        <v>136</v>
      </c>
      <c r="B48" s="7" t="s">
        <v>137</v>
      </c>
      <c r="C48" s="8" t="s">
        <v>71</v>
      </c>
      <c r="D48" s="7" t="s">
        <v>4</v>
      </c>
      <c r="E48" s="8" t="b">
        <f t="shared" ref="E48:K48" si="48">IF(IFERROR(SEARCH(E$1, $D48),0) &gt;= 1, TRUE,FALSE)</f>
        <v>0</v>
      </c>
      <c r="F48" s="8" t="b">
        <f t="shared" si="48"/>
        <v>0</v>
      </c>
      <c r="G48" s="8" t="b">
        <f t="shared" si="48"/>
        <v>0</v>
      </c>
      <c r="H48" s="8" t="b">
        <f t="shared" si="48"/>
        <v>0</v>
      </c>
      <c r="I48" s="8" t="b">
        <f t="shared" si="48"/>
        <v>0</v>
      </c>
      <c r="J48" s="8" t="b">
        <f t="shared" si="48"/>
        <v>0</v>
      </c>
      <c r="K48" s="8" t="b">
        <f t="shared" si="48"/>
        <v>0</v>
      </c>
      <c r="L48" s="9" t="s">
        <v>567</v>
      </c>
      <c r="M48" s="9" t="b">
        <v>1</v>
      </c>
      <c r="N48" s="9" t="b">
        <v>1</v>
      </c>
      <c r="O48" s="9" t="b">
        <v>1</v>
      </c>
      <c r="P48" s="9" t="b">
        <v>0</v>
      </c>
      <c r="Q48" s="7" t="str">
        <f t="shared" si="3"/>
        <v>Romeins Archeologisch Museum Oudenburg</v>
      </c>
      <c r="R48" s="14">
        <v>8.0</v>
      </c>
      <c r="S48" s="9" t="b">
        <v>0</v>
      </c>
      <c r="T48" s="9" t="b">
        <v>0</v>
      </c>
      <c r="U48" s="7"/>
    </row>
    <row r="49">
      <c r="A49" s="7" t="s">
        <v>138</v>
      </c>
      <c r="B49" s="7" t="s">
        <v>139</v>
      </c>
      <c r="C49" s="8" t="s">
        <v>71</v>
      </c>
      <c r="D49" s="7" t="s">
        <v>114</v>
      </c>
      <c r="E49" s="8" t="b">
        <f t="shared" ref="E49:K49" si="49">IF(IFERROR(SEARCH(E$1, $D49),0) &gt;= 1, TRUE,FALSE)</f>
        <v>0</v>
      </c>
      <c r="F49" s="8" t="b">
        <f t="shared" si="49"/>
        <v>0</v>
      </c>
      <c r="G49" s="8" t="b">
        <f t="shared" si="49"/>
        <v>0</v>
      </c>
      <c r="H49" s="8" t="b">
        <f t="shared" si="49"/>
        <v>0</v>
      </c>
      <c r="I49" s="8" t="b">
        <f t="shared" si="49"/>
        <v>0</v>
      </c>
      <c r="J49" s="8" t="b">
        <f t="shared" si="49"/>
        <v>0</v>
      </c>
      <c r="K49" s="8" t="b">
        <f t="shared" si="49"/>
        <v>0</v>
      </c>
      <c r="L49" s="7"/>
      <c r="M49" s="9" t="b">
        <v>0</v>
      </c>
      <c r="N49" s="9" t="b">
        <v>0</v>
      </c>
      <c r="O49" s="9" t="b">
        <v>0</v>
      </c>
      <c r="P49" s="9" t="b">
        <v>0</v>
      </c>
      <c r="Q49" s="7" t="str">
        <f t="shared" si="3"/>
        <v>Sint-Janshuismolen</v>
      </c>
      <c r="R49" s="10">
        <v>5.0</v>
      </c>
      <c r="S49" s="9" t="b">
        <v>0</v>
      </c>
      <c r="T49" s="9" t="b">
        <v>0</v>
      </c>
      <c r="U49" s="7"/>
    </row>
    <row r="50">
      <c r="A50" s="7" t="s">
        <v>140</v>
      </c>
      <c r="B50" s="7" t="s">
        <v>141</v>
      </c>
      <c r="C50" s="8" t="s">
        <v>71</v>
      </c>
      <c r="D50" s="7" t="s">
        <v>75</v>
      </c>
      <c r="E50" s="8" t="b">
        <f t="shared" ref="E50:K50" si="50">IF(IFERROR(SEARCH(E$1, $D50),0) &gt;= 1, TRUE,FALSE)</f>
        <v>0</v>
      </c>
      <c r="F50" s="8" t="b">
        <f t="shared" si="50"/>
        <v>0</v>
      </c>
      <c r="G50" s="8" t="b">
        <f t="shared" si="50"/>
        <v>0</v>
      </c>
      <c r="H50" s="8" t="b">
        <f t="shared" si="50"/>
        <v>0</v>
      </c>
      <c r="I50" s="8" t="b">
        <f t="shared" si="50"/>
        <v>1</v>
      </c>
      <c r="J50" s="8" t="b">
        <f t="shared" si="50"/>
        <v>0</v>
      </c>
      <c r="K50" s="8" t="b">
        <f t="shared" si="50"/>
        <v>0</v>
      </c>
      <c r="L50" s="7"/>
      <c r="M50" s="9" t="b">
        <v>0</v>
      </c>
      <c r="N50" s="9" t="b">
        <v>0</v>
      </c>
      <c r="O50" s="9" t="b">
        <v>0</v>
      </c>
      <c r="P50" s="9" t="b">
        <v>0</v>
      </c>
      <c r="Q50" s="7" t="str">
        <f t="shared" si="3"/>
        <v>Stadhuis Brugge</v>
      </c>
      <c r="R50" s="10">
        <v>8.0</v>
      </c>
      <c r="S50" s="9" t="b">
        <v>0</v>
      </c>
      <c r="T50" s="9" t="b">
        <v>0</v>
      </c>
      <c r="U50" s="7"/>
    </row>
    <row r="51">
      <c r="A51" s="7" t="s">
        <v>142</v>
      </c>
      <c r="B51" s="7"/>
      <c r="C51" s="8" t="s">
        <v>71</v>
      </c>
      <c r="D51" s="7" t="s">
        <v>4</v>
      </c>
      <c r="E51" s="8" t="b">
        <f t="shared" ref="E51:K51" si="51">IF(IFERROR(SEARCH(E$1, $D51),0) &gt;= 1, TRUE,FALSE)</f>
        <v>0</v>
      </c>
      <c r="F51" s="8" t="b">
        <f t="shared" si="51"/>
        <v>0</v>
      </c>
      <c r="G51" s="8" t="b">
        <f t="shared" si="51"/>
        <v>0</v>
      </c>
      <c r="H51" s="8" t="b">
        <f t="shared" si="51"/>
        <v>0</v>
      </c>
      <c r="I51" s="8" t="b">
        <f t="shared" si="51"/>
        <v>0</v>
      </c>
      <c r="J51" s="8" t="b">
        <f t="shared" si="51"/>
        <v>0</v>
      </c>
      <c r="K51" s="8" t="b">
        <f t="shared" si="51"/>
        <v>0</v>
      </c>
      <c r="L51" s="9" t="s">
        <v>557</v>
      </c>
      <c r="M51" s="9" t="b">
        <v>1</v>
      </c>
      <c r="N51" s="9" t="b">
        <v>0</v>
      </c>
      <c r="O51" s="9" t="b">
        <v>0</v>
      </c>
      <c r="P51" s="9" t="b">
        <v>0</v>
      </c>
      <c r="Q51" s="7" t="str">
        <f t="shared" si="3"/>
        <v>Talbot House</v>
      </c>
      <c r="R51" s="10">
        <v>10.0</v>
      </c>
      <c r="S51" s="9" t="b">
        <v>0</v>
      </c>
      <c r="T51" s="9" t="b">
        <v>1</v>
      </c>
      <c r="U51" s="10">
        <v>10.0</v>
      </c>
    </row>
    <row r="52">
      <c r="A52" s="7" t="s">
        <v>143</v>
      </c>
      <c r="B52" s="7" t="s">
        <v>144</v>
      </c>
      <c r="C52" s="8" t="s">
        <v>71</v>
      </c>
      <c r="D52" s="7" t="s">
        <v>145</v>
      </c>
      <c r="E52" s="8" t="b">
        <f t="shared" ref="E52:K52" si="52">IF(IFERROR(SEARCH(E$1, $D52),0) &gt;= 1, TRUE,FALSE)</f>
        <v>0</v>
      </c>
      <c r="F52" s="8" t="b">
        <f t="shared" si="52"/>
        <v>0</v>
      </c>
      <c r="G52" s="8" t="b">
        <f t="shared" si="52"/>
        <v>1</v>
      </c>
      <c r="H52" s="8" t="b">
        <f t="shared" si="52"/>
        <v>0</v>
      </c>
      <c r="I52" s="8" t="b">
        <f t="shared" si="52"/>
        <v>1</v>
      </c>
      <c r="J52" s="8" t="b">
        <f t="shared" si="52"/>
        <v>0</v>
      </c>
      <c r="K52" s="8" t="b">
        <f t="shared" si="52"/>
        <v>0</v>
      </c>
      <c r="L52" s="9" t="s">
        <v>567</v>
      </c>
      <c r="M52" s="9" t="b">
        <v>1</v>
      </c>
      <c r="N52" s="9" t="b">
        <v>1</v>
      </c>
      <c r="O52" s="9" t="b">
        <v>1</v>
      </c>
      <c r="P52" s="9" t="b">
        <v>0</v>
      </c>
      <c r="Q52" s="7" t="str">
        <f t="shared" si="3"/>
        <v>Texture | Museum van Vlas en Textiel</v>
      </c>
      <c r="R52" s="10">
        <v>8.0</v>
      </c>
      <c r="S52" s="9" t="b">
        <v>0</v>
      </c>
      <c r="T52" s="9" t="b">
        <v>1</v>
      </c>
      <c r="U52" s="10">
        <v>8.0</v>
      </c>
    </row>
    <row r="53">
      <c r="A53" s="7" t="s">
        <v>146</v>
      </c>
      <c r="B53" s="7" t="s">
        <v>147</v>
      </c>
      <c r="C53" s="8" t="s">
        <v>71</v>
      </c>
      <c r="D53" s="7" t="s">
        <v>7</v>
      </c>
      <c r="E53" s="8" t="b">
        <f t="shared" ref="E53:K53" si="53">IF(IFERROR(SEARCH(E$1, $D53),0) &gt;= 1, TRUE,FALSE)</f>
        <v>0</v>
      </c>
      <c r="F53" s="8" t="b">
        <f t="shared" si="53"/>
        <v>0</v>
      </c>
      <c r="G53" s="8" t="b">
        <f t="shared" si="53"/>
        <v>0</v>
      </c>
      <c r="H53" s="8" t="b">
        <f t="shared" si="53"/>
        <v>1</v>
      </c>
      <c r="I53" s="8" t="b">
        <f t="shared" si="53"/>
        <v>0</v>
      </c>
      <c r="J53" s="8" t="b">
        <f t="shared" si="53"/>
        <v>0</v>
      </c>
      <c r="K53" s="8" t="b">
        <f t="shared" si="53"/>
        <v>0</v>
      </c>
      <c r="L53" s="7"/>
      <c r="M53" s="9" t="b">
        <v>0</v>
      </c>
      <c r="N53" s="9" t="b">
        <v>0</v>
      </c>
      <c r="O53" s="9" t="b">
        <v>0</v>
      </c>
      <c r="P53" s="9" t="b">
        <v>0</v>
      </c>
      <c r="Q53" s="7" t="str">
        <f t="shared" si="3"/>
        <v>Uilenspiegelmuseum</v>
      </c>
      <c r="R53" s="10">
        <v>6.0</v>
      </c>
      <c r="S53" s="9" t="b">
        <v>0</v>
      </c>
      <c r="T53" s="9" t="b">
        <v>0</v>
      </c>
      <c r="U53" s="7"/>
    </row>
    <row r="54">
      <c r="A54" s="7" t="s">
        <v>148</v>
      </c>
      <c r="B54" s="7" t="s">
        <v>149</v>
      </c>
      <c r="C54" s="8" t="s">
        <v>71</v>
      </c>
      <c r="D54" s="7" t="s">
        <v>4</v>
      </c>
      <c r="E54" s="8" t="b">
        <f t="shared" ref="E54:K54" si="54">IF(IFERROR(SEARCH(E$1, $D54),0) &gt;= 1, TRUE,FALSE)</f>
        <v>0</v>
      </c>
      <c r="F54" s="8" t="b">
        <f t="shared" si="54"/>
        <v>0</v>
      </c>
      <c r="G54" s="8" t="b">
        <f t="shared" si="54"/>
        <v>0</v>
      </c>
      <c r="H54" s="8" t="b">
        <f t="shared" si="54"/>
        <v>0</v>
      </c>
      <c r="I54" s="8" t="b">
        <f t="shared" si="54"/>
        <v>0</v>
      </c>
      <c r="J54" s="8" t="b">
        <f t="shared" si="54"/>
        <v>0</v>
      </c>
      <c r="K54" s="8" t="b">
        <f t="shared" si="54"/>
        <v>0</v>
      </c>
      <c r="L54" s="7"/>
      <c r="M54" s="9" t="b">
        <v>0</v>
      </c>
      <c r="N54" s="9" t="b">
        <v>0</v>
      </c>
      <c r="O54" s="9" t="b">
        <v>0</v>
      </c>
      <c r="P54" s="9" t="b">
        <v>0</v>
      </c>
      <c r="Q54" s="7" t="str">
        <f t="shared" si="3"/>
        <v>Volkskundemuseum</v>
      </c>
      <c r="R54" s="10">
        <v>8.0</v>
      </c>
      <c r="S54" s="9" t="b">
        <v>0</v>
      </c>
      <c r="T54" s="9" t="b">
        <v>0</v>
      </c>
      <c r="U54" s="7"/>
    </row>
    <row r="55">
      <c r="A55" s="7" t="s">
        <v>150</v>
      </c>
      <c r="B55" s="7"/>
      <c r="C55" s="8" t="s">
        <v>71</v>
      </c>
      <c r="D55" s="7" t="s">
        <v>151</v>
      </c>
      <c r="E55" s="8" t="b">
        <f t="shared" ref="E55:K55" si="55">IF(IFERROR(SEARCH(E$1, $D55),0) &gt;= 1, TRUE,FALSE)</f>
        <v>0</v>
      </c>
      <c r="F55" s="8" t="b">
        <f t="shared" si="55"/>
        <v>0</v>
      </c>
      <c r="G55" s="8" t="b">
        <f t="shared" si="55"/>
        <v>0</v>
      </c>
      <c r="H55" s="8" t="b">
        <f t="shared" si="55"/>
        <v>0</v>
      </c>
      <c r="I55" s="8" t="b">
        <f t="shared" si="55"/>
        <v>1</v>
      </c>
      <c r="J55" s="8" t="b">
        <f t="shared" si="55"/>
        <v>0</v>
      </c>
      <c r="K55" s="8" t="b">
        <f t="shared" si="55"/>
        <v>0</v>
      </c>
      <c r="L55" s="9" t="s">
        <v>557</v>
      </c>
      <c r="M55" s="9" t="b">
        <v>1</v>
      </c>
      <c r="N55" s="9" t="b">
        <v>0</v>
      </c>
      <c r="O55" s="9" t="b">
        <v>0</v>
      </c>
      <c r="P55" s="9" t="b">
        <v>0</v>
      </c>
      <c r="Q55" s="7" t="str">
        <f t="shared" si="3"/>
        <v>Westfront Nieuwpoort</v>
      </c>
      <c r="R55" s="10">
        <v>9.5</v>
      </c>
      <c r="S55" s="9" t="b">
        <v>0</v>
      </c>
      <c r="T55" s="9" t="b">
        <v>0</v>
      </c>
      <c r="U55" s="7"/>
    </row>
    <row r="56">
      <c r="A56" s="7" t="s">
        <v>152</v>
      </c>
      <c r="B56" s="7"/>
      <c r="C56" s="8" t="s">
        <v>71</v>
      </c>
      <c r="D56" s="7" t="s">
        <v>75</v>
      </c>
      <c r="E56" s="8" t="b">
        <f t="shared" ref="E56:K56" si="56">IF(IFERROR(SEARCH(E$1, $D56),0) &gt;= 1, TRUE,FALSE)</f>
        <v>0</v>
      </c>
      <c r="F56" s="8" t="b">
        <f t="shared" si="56"/>
        <v>0</v>
      </c>
      <c r="G56" s="8" t="b">
        <f t="shared" si="56"/>
        <v>0</v>
      </c>
      <c r="H56" s="8" t="b">
        <f t="shared" si="56"/>
        <v>0</v>
      </c>
      <c r="I56" s="8" t="b">
        <f t="shared" si="56"/>
        <v>1</v>
      </c>
      <c r="J56" s="8" t="b">
        <f t="shared" si="56"/>
        <v>0</v>
      </c>
      <c r="K56" s="8" t="b">
        <f t="shared" si="56"/>
        <v>0</v>
      </c>
      <c r="L56" s="9" t="s">
        <v>559</v>
      </c>
      <c r="M56" s="9" t="b">
        <v>0</v>
      </c>
      <c r="N56" s="9" t="b">
        <v>1</v>
      </c>
      <c r="O56" s="9" t="b">
        <v>0</v>
      </c>
      <c r="P56" s="9" t="b">
        <v>0</v>
      </c>
      <c r="Q56" s="7" t="str">
        <f t="shared" si="3"/>
        <v>Yper Museum</v>
      </c>
      <c r="R56" s="10">
        <v>8.5</v>
      </c>
      <c r="S56" s="9" t="b">
        <v>0</v>
      </c>
      <c r="T56" s="9" t="b">
        <v>0</v>
      </c>
      <c r="U56" s="7"/>
    </row>
    <row r="57">
      <c r="A57" s="7" t="s">
        <v>153</v>
      </c>
      <c r="B57" s="7" t="s">
        <v>154</v>
      </c>
      <c r="C57" s="8" t="s">
        <v>71</v>
      </c>
      <c r="D57" s="7" t="s">
        <v>114</v>
      </c>
      <c r="E57" s="8" t="b">
        <f t="shared" ref="E57:K57" si="57">IF(IFERROR(SEARCH(E$1, $D57),0) &gt;= 1, TRUE,FALSE)</f>
        <v>0</v>
      </c>
      <c r="F57" s="8" t="b">
        <f t="shared" si="57"/>
        <v>0</v>
      </c>
      <c r="G57" s="8" t="b">
        <f t="shared" si="57"/>
        <v>0</v>
      </c>
      <c r="H57" s="8" t="b">
        <f t="shared" si="57"/>
        <v>0</v>
      </c>
      <c r="I57" s="8" t="b">
        <f t="shared" si="57"/>
        <v>0</v>
      </c>
      <c r="J57" s="8" t="b">
        <f t="shared" si="57"/>
        <v>0</v>
      </c>
      <c r="K57" s="8" t="b">
        <f t="shared" si="57"/>
        <v>0</v>
      </c>
      <c r="L57" s="9" t="s">
        <v>570</v>
      </c>
      <c r="M57" s="9" t="b">
        <v>1</v>
      </c>
      <c r="N57" s="9" t="b">
        <v>1</v>
      </c>
      <c r="O57" s="9" t="b">
        <v>1</v>
      </c>
      <c r="P57" s="9" t="b">
        <v>1</v>
      </c>
      <c r="Q57" s="7" t="str">
        <f t="shared" si="3"/>
        <v>Zwin Natuur Park</v>
      </c>
      <c r="R57" s="10">
        <v>12.0</v>
      </c>
      <c r="S57" s="9" t="b">
        <v>0</v>
      </c>
      <c r="T57" s="9" t="b">
        <v>1</v>
      </c>
      <c r="U57" s="10">
        <v>14.0</v>
      </c>
    </row>
    <row r="58">
      <c r="A58" s="7" t="s">
        <v>155</v>
      </c>
      <c r="B58" s="7"/>
      <c r="C58" s="8" t="s">
        <v>156</v>
      </c>
      <c r="D58" s="7" t="s">
        <v>5</v>
      </c>
      <c r="E58" s="8" t="b">
        <f t="shared" ref="E58:K58" si="58">IF(IFERROR(SEARCH(E$1, $D58),0) &gt;= 1, TRUE,FALSE)</f>
        <v>0</v>
      </c>
      <c r="F58" s="8" t="b">
        <f t="shared" si="58"/>
        <v>0</v>
      </c>
      <c r="G58" s="8" t="b">
        <f t="shared" si="58"/>
        <v>0</v>
      </c>
      <c r="H58" s="8" t="b">
        <f t="shared" si="58"/>
        <v>0</v>
      </c>
      <c r="I58" s="8" t="b">
        <f t="shared" si="58"/>
        <v>0</v>
      </c>
      <c r="J58" s="8" t="b">
        <f t="shared" si="58"/>
        <v>0</v>
      </c>
      <c r="K58" s="8" t="b">
        <f t="shared" si="58"/>
        <v>0</v>
      </c>
      <c r="L58" s="9" t="s">
        <v>570</v>
      </c>
      <c r="M58" s="9" t="b">
        <v>1</v>
      </c>
      <c r="N58" s="9" t="b">
        <v>1</v>
      </c>
      <c r="O58" s="9" t="b">
        <v>1</v>
      </c>
      <c r="P58" s="9" t="b">
        <v>1</v>
      </c>
      <c r="Q58" s="7" t="str">
        <f t="shared" si="3"/>
        <v>Arboretum Kalmtout</v>
      </c>
      <c r="R58" s="10">
        <v>8.0</v>
      </c>
      <c r="S58" s="9" t="b">
        <v>0</v>
      </c>
      <c r="T58" s="9" t="b">
        <v>1</v>
      </c>
      <c r="U58" s="10">
        <v>9.5</v>
      </c>
    </row>
    <row r="59">
      <c r="A59" s="7" t="s">
        <v>157</v>
      </c>
      <c r="B59" s="7" t="s">
        <v>158</v>
      </c>
      <c r="C59" s="8" t="s">
        <v>156</v>
      </c>
      <c r="D59" s="7" t="s">
        <v>102</v>
      </c>
      <c r="E59" s="8" t="b">
        <f t="shared" ref="E59:K59" si="59">IF(IFERROR(SEARCH(E$1, $D59),0) &gt;= 1, TRUE,FALSE)</f>
        <v>0</v>
      </c>
      <c r="F59" s="8" t="b">
        <f t="shared" si="59"/>
        <v>0</v>
      </c>
      <c r="G59" s="8" t="b">
        <f t="shared" si="59"/>
        <v>0</v>
      </c>
      <c r="H59" s="8" t="b">
        <f t="shared" si="59"/>
        <v>0</v>
      </c>
      <c r="I59" s="8" t="b">
        <f t="shared" si="59"/>
        <v>0</v>
      </c>
      <c r="J59" s="8" t="b">
        <f t="shared" si="59"/>
        <v>0</v>
      </c>
      <c r="K59" s="8" t="b">
        <f t="shared" si="59"/>
        <v>0</v>
      </c>
      <c r="L59" s="9" t="s">
        <v>557</v>
      </c>
      <c r="M59" s="9" t="b">
        <v>1</v>
      </c>
      <c r="N59" s="9" t="b">
        <v>0</v>
      </c>
      <c r="O59" s="9" t="b">
        <v>0</v>
      </c>
      <c r="P59" s="9" t="b">
        <v>0</v>
      </c>
      <c r="Q59" s="7" t="str">
        <f t="shared" si="3"/>
        <v>Begijnhofmuseum Turnhout</v>
      </c>
      <c r="R59" s="10">
        <v>5.0</v>
      </c>
      <c r="S59" s="9" t="b">
        <v>0</v>
      </c>
      <c r="T59" s="9" t="b">
        <v>0</v>
      </c>
      <c r="U59" s="7"/>
    </row>
    <row r="60">
      <c r="A60" s="7" t="s">
        <v>159</v>
      </c>
      <c r="B60" s="7" t="s">
        <v>160</v>
      </c>
      <c r="C60" s="8" t="s">
        <v>156</v>
      </c>
      <c r="D60" s="7" t="s">
        <v>161</v>
      </c>
      <c r="E60" s="8" t="b">
        <f t="shared" ref="E60:K60" si="60">IF(IFERROR(SEARCH(E$1, $D60),0) &gt;= 1, TRUE,FALSE)</f>
        <v>0</v>
      </c>
      <c r="F60" s="8" t="b">
        <f t="shared" si="60"/>
        <v>0</v>
      </c>
      <c r="G60" s="8" t="b">
        <f t="shared" si="60"/>
        <v>0</v>
      </c>
      <c r="H60" s="8" t="b">
        <f t="shared" si="60"/>
        <v>0</v>
      </c>
      <c r="I60" s="8" t="b">
        <f t="shared" si="60"/>
        <v>0</v>
      </c>
      <c r="J60" s="8" t="b">
        <f t="shared" si="60"/>
        <v>0</v>
      </c>
      <c r="K60" s="8" t="b">
        <f t="shared" si="60"/>
        <v>0</v>
      </c>
      <c r="L60" s="9" t="s">
        <v>557</v>
      </c>
      <c r="M60" s="9" t="b">
        <v>1</v>
      </c>
      <c r="N60" s="9" t="b">
        <v>0</v>
      </c>
      <c r="O60" s="9" t="b">
        <v>0</v>
      </c>
      <c r="P60" s="9" t="b">
        <v>0</v>
      </c>
      <c r="Q60" s="7" t="str">
        <f t="shared" si="3"/>
        <v>DIVA | museum voor diamant juwelen en zilver</v>
      </c>
      <c r="R60" s="10">
        <v>12.0</v>
      </c>
      <c r="S60" s="9" t="b">
        <v>0</v>
      </c>
      <c r="T60" s="9" t="b">
        <v>0</v>
      </c>
      <c r="U60" s="7"/>
    </row>
    <row r="61">
      <c r="A61" s="7" t="s">
        <v>162</v>
      </c>
      <c r="B61" s="7" t="s">
        <v>163</v>
      </c>
      <c r="C61" s="8" t="s">
        <v>156</v>
      </c>
      <c r="D61" s="7" t="s">
        <v>164</v>
      </c>
      <c r="E61" s="8" t="b">
        <f t="shared" ref="E61:K61" si="61">IF(IFERROR(SEARCH(E$1, $D61),0) &gt;= 1, TRUE,FALSE)</f>
        <v>0</v>
      </c>
      <c r="F61" s="8" t="b">
        <f t="shared" si="61"/>
        <v>0</v>
      </c>
      <c r="G61" s="8" t="b">
        <f t="shared" si="61"/>
        <v>0</v>
      </c>
      <c r="H61" s="8" t="b">
        <f t="shared" si="61"/>
        <v>1</v>
      </c>
      <c r="I61" s="8" t="b">
        <f t="shared" si="61"/>
        <v>0</v>
      </c>
      <c r="J61" s="8" t="b">
        <f t="shared" si="61"/>
        <v>0</v>
      </c>
      <c r="K61" s="8" t="b">
        <f t="shared" si="61"/>
        <v>0</v>
      </c>
      <c r="L61" s="7"/>
      <c r="M61" s="9" t="b">
        <v>0</v>
      </c>
      <c r="N61" s="9" t="b">
        <v>0</v>
      </c>
      <c r="O61" s="9" t="b">
        <v>0</v>
      </c>
      <c r="P61" s="9" t="b">
        <v>0</v>
      </c>
      <c r="Q61" s="7" t="str">
        <f t="shared" si="3"/>
        <v>Erfgoedbibliotheek Hendrik Conscience - Nottebohmzaal</v>
      </c>
      <c r="R61" s="10">
        <v>0.0</v>
      </c>
      <c r="S61" s="9" t="b">
        <v>0</v>
      </c>
      <c r="T61" s="9" t="b">
        <v>0</v>
      </c>
      <c r="U61" s="7"/>
    </row>
    <row r="62">
      <c r="A62" s="7" t="s">
        <v>165</v>
      </c>
      <c r="B62" s="7" t="s">
        <v>166</v>
      </c>
      <c r="C62" s="8" t="s">
        <v>156</v>
      </c>
      <c r="D62" s="7" t="s">
        <v>9</v>
      </c>
      <c r="E62" s="8" t="b">
        <f t="shared" ref="E62:K62" si="62">IF(IFERROR(SEARCH(E$1, $D62),0) &gt;= 1, TRUE,FALSE)</f>
        <v>0</v>
      </c>
      <c r="F62" s="8" t="b">
        <f t="shared" si="62"/>
        <v>0</v>
      </c>
      <c r="G62" s="8" t="b">
        <f t="shared" si="62"/>
        <v>0</v>
      </c>
      <c r="H62" s="8" t="b">
        <f t="shared" si="62"/>
        <v>0</v>
      </c>
      <c r="I62" s="8" t="b">
        <f t="shared" si="62"/>
        <v>0</v>
      </c>
      <c r="J62" s="8" t="b">
        <f t="shared" si="62"/>
        <v>0</v>
      </c>
      <c r="K62" s="8" t="b">
        <f t="shared" si="62"/>
        <v>0</v>
      </c>
      <c r="L62" s="9" t="s">
        <v>570</v>
      </c>
      <c r="M62" s="9" t="b">
        <v>1</v>
      </c>
      <c r="N62" s="9" t="b">
        <v>1</v>
      </c>
      <c r="O62" s="9" t="b">
        <v>1</v>
      </c>
      <c r="P62" s="9" t="b">
        <v>0</v>
      </c>
      <c r="Q62" s="7" t="str">
        <f t="shared" si="3"/>
        <v>FOMU | Fotomuseum Antwerpen</v>
      </c>
      <c r="R62" s="10">
        <v>12.0</v>
      </c>
      <c r="S62" s="9" t="b">
        <v>0</v>
      </c>
      <c r="T62" s="9" t="b">
        <v>1</v>
      </c>
      <c r="U62" s="10">
        <v>12.0</v>
      </c>
    </row>
    <row r="63">
      <c r="A63" s="7" t="s">
        <v>167</v>
      </c>
      <c r="B63" s="7" t="s">
        <v>168</v>
      </c>
      <c r="C63" s="8" t="s">
        <v>156</v>
      </c>
      <c r="D63" s="7" t="s">
        <v>4</v>
      </c>
      <c r="E63" s="8" t="b">
        <f t="shared" ref="E63:K63" si="63">IF(IFERROR(SEARCH(E$1, $D63),0) &gt;= 1, TRUE,FALSE)</f>
        <v>0</v>
      </c>
      <c r="F63" s="8" t="b">
        <f t="shared" si="63"/>
        <v>0</v>
      </c>
      <c r="G63" s="8" t="b">
        <f t="shared" si="63"/>
        <v>0</v>
      </c>
      <c r="H63" s="8" t="b">
        <f t="shared" si="63"/>
        <v>0</v>
      </c>
      <c r="I63" s="8" t="b">
        <f t="shared" si="63"/>
        <v>0</v>
      </c>
      <c r="J63" s="8" t="b">
        <f t="shared" si="63"/>
        <v>0</v>
      </c>
      <c r="K63" s="8" t="b">
        <f t="shared" si="63"/>
        <v>0</v>
      </c>
      <c r="L63" s="9" t="s">
        <v>559</v>
      </c>
      <c r="M63" s="9" t="b">
        <v>0</v>
      </c>
      <c r="N63" s="9" t="b">
        <v>0</v>
      </c>
      <c r="O63" s="9" t="b">
        <v>1</v>
      </c>
      <c r="P63" s="9" t="b">
        <v>0</v>
      </c>
      <c r="Q63" s="7" t="str">
        <f t="shared" si="3"/>
        <v>Fort van Breendonk</v>
      </c>
      <c r="R63" s="10">
        <v>12.0</v>
      </c>
      <c r="S63" s="9" t="b">
        <v>0</v>
      </c>
      <c r="T63" s="9" t="b">
        <v>0</v>
      </c>
      <c r="U63" s="7"/>
    </row>
    <row r="64">
      <c r="A64" s="7" t="s">
        <v>169</v>
      </c>
      <c r="B64" s="7" t="s">
        <v>170</v>
      </c>
      <c r="C64" s="8" t="s">
        <v>156</v>
      </c>
      <c r="D64" s="7" t="s">
        <v>171</v>
      </c>
      <c r="E64" s="8" t="b">
        <f t="shared" ref="E64:K64" si="64">IF(IFERROR(SEARCH(E$1, $D64),0) &gt;= 1, TRUE,FALSE)</f>
        <v>0</v>
      </c>
      <c r="F64" s="8" t="b">
        <f t="shared" si="64"/>
        <v>0</v>
      </c>
      <c r="G64" s="8" t="b">
        <f t="shared" si="64"/>
        <v>0</v>
      </c>
      <c r="H64" s="8" t="b">
        <f t="shared" si="64"/>
        <v>0</v>
      </c>
      <c r="I64" s="8" t="b">
        <f t="shared" si="64"/>
        <v>1</v>
      </c>
      <c r="J64" s="8" t="b">
        <f t="shared" si="64"/>
        <v>0</v>
      </c>
      <c r="K64" s="8" t="b">
        <f t="shared" si="64"/>
        <v>0</v>
      </c>
      <c r="L64" s="9" t="s">
        <v>569</v>
      </c>
      <c r="M64" s="9" t="b">
        <v>1</v>
      </c>
      <c r="N64" s="9" t="b">
        <v>0</v>
      </c>
      <c r="O64" s="9" t="b">
        <v>1</v>
      </c>
      <c r="P64" s="9" t="b">
        <v>0</v>
      </c>
      <c r="Q64" s="7" t="str">
        <f t="shared" si="3"/>
        <v>Gasthuismuseum Geel</v>
      </c>
      <c r="R64" s="10">
        <v>12.0</v>
      </c>
      <c r="S64" s="9" t="b">
        <v>0</v>
      </c>
      <c r="T64" s="9" t="b">
        <v>1</v>
      </c>
      <c r="U64" s="10">
        <v>6.0</v>
      </c>
    </row>
    <row r="65">
      <c r="A65" s="7" t="s">
        <v>172</v>
      </c>
      <c r="B65" s="7" t="s">
        <v>173</v>
      </c>
      <c r="C65" s="8" t="s">
        <v>156</v>
      </c>
      <c r="D65" s="7" t="s">
        <v>4</v>
      </c>
      <c r="E65" s="8" t="b">
        <f t="shared" ref="E65:K65" si="65">IF(IFERROR(SEARCH(E$1, $D65),0) &gt;= 1, TRUE,FALSE)</f>
        <v>0</v>
      </c>
      <c r="F65" s="8" t="b">
        <f t="shared" si="65"/>
        <v>0</v>
      </c>
      <c r="G65" s="8" t="b">
        <f t="shared" si="65"/>
        <v>0</v>
      </c>
      <c r="H65" s="8" t="b">
        <f t="shared" si="65"/>
        <v>0</v>
      </c>
      <c r="I65" s="8" t="b">
        <f t="shared" si="65"/>
        <v>0</v>
      </c>
      <c r="J65" s="8" t="b">
        <f t="shared" si="65"/>
        <v>0</v>
      </c>
      <c r="K65" s="8" t="b">
        <f t="shared" si="65"/>
        <v>0</v>
      </c>
      <c r="L65" s="9" t="s">
        <v>557</v>
      </c>
      <c r="M65" s="9" t="b">
        <v>1</v>
      </c>
      <c r="N65" s="9" t="b">
        <v>0</v>
      </c>
      <c r="O65" s="9" t="b">
        <v>0</v>
      </c>
      <c r="P65" s="9" t="b">
        <v>0</v>
      </c>
      <c r="Q65" s="7" t="str">
        <f t="shared" si="3"/>
        <v>Het Snijders&amp;Rockoxhuis</v>
      </c>
      <c r="R65" s="10">
        <v>10.0</v>
      </c>
      <c r="S65" s="9" t="b">
        <v>0</v>
      </c>
      <c r="T65" s="9" t="b">
        <v>1</v>
      </c>
      <c r="U65" s="10">
        <v>10.0</v>
      </c>
    </row>
    <row r="66">
      <c r="A66" s="7" t="s">
        <v>174</v>
      </c>
      <c r="B66" s="7" t="s">
        <v>175</v>
      </c>
      <c r="C66" s="8" t="s">
        <v>156</v>
      </c>
      <c r="D66" s="7" t="s">
        <v>9</v>
      </c>
      <c r="E66" s="8" t="b">
        <f t="shared" ref="E66:K66" si="66">IF(IFERROR(SEARCH(E$1, $D66),0) &gt;= 1, TRUE,FALSE)</f>
        <v>0</v>
      </c>
      <c r="F66" s="8" t="b">
        <f t="shared" si="66"/>
        <v>0</v>
      </c>
      <c r="G66" s="8" t="b">
        <f t="shared" si="66"/>
        <v>0</v>
      </c>
      <c r="H66" s="8" t="b">
        <f t="shared" si="66"/>
        <v>0</v>
      </c>
      <c r="I66" s="8" t="b">
        <f t="shared" si="66"/>
        <v>0</v>
      </c>
      <c r="J66" s="8" t="b">
        <f t="shared" si="66"/>
        <v>0</v>
      </c>
      <c r="K66" s="8" t="b">
        <f t="shared" si="66"/>
        <v>0</v>
      </c>
      <c r="L66" s="9" t="s">
        <v>569</v>
      </c>
      <c r="M66" s="9" t="b">
        <v>1</v>
      </c>
      <c r="N66" s="9" t="b">
        <v>0</v>
      </c>
      <c r="O66" s="9" t="b">
        <v>1</v>
      </c>
      <c r="P66" s="9" t="b">
        <v>0</v>
      </c>
      <c r="Q66" s="7" t="str">
        <f t="shared" si="3"/>
        <v>Jakob Smitsmuseum</v>
      </c>
      <c r="R66" s="10">
        <v>5.0</v>
      </c>
      <c r="S66" s="9" t="b">
        <v>0</v>
      </c>
      <c r="T66" s="9" t="b">
        <v>1</v>
      </c>
      <c r="U66" s="10">
        <v>5.0</v>
      </c>
    </row>
    <row r="67">
      <c r="A67" s="7" t="s">
        <v>176</v>
      </c>
      <c r="B67" s="7" t="s">
        <v>177</v>
      </c>
      <c r="C67" s="8" t="s">
        <v>156</v>
      </c>
      <c r="D67" s="7" t="s">
        <v>114</v>
      </c>
      <c r="E67" s="8" t="b">
        <f t="shared" ref="E67:K67" si="67">IF(IFERROR(SEARCH(E$1, $D67),0) &gt;= 1, TRUE,FALSE)</f>
        <v>0</v>
      </c>
      <c r="F67" s="8" t="b">
        <f t="shared" si="67"/>
        <v>0</v>
      </c>
      <c r="G67" s="8" t="b">
        <f t="shared" si="67"/>
        <v>0</v>
      </c>
      <c r="H67" s="8" t="b">
        <f t="shared" si="67"/>
        <v>0</v>
      </c>
      <c r="I67" s="8" t="b">
        <f t="shared" si="67"/>
        <v>0</v>
      </c>
      <c r="J67" s="8" t="b">
        <f t="shared" si="67"/>
        <v>0</v>
      </c>
      <c r="K67" s="8" t="b">
        <f t="shared" si="67"/>
        <v>0</v>
      </c>
      <c r="L67" s="9" t="s">
        <v>570</v>
      </c>
      <c r="M67" s="9" t="b">
        <v>1</v>
      </c>
      <c r="N67" s="9" t="b">
        <v>1</v>
      </c>
      <c r="O67" s="9" t="b">
        <v>1</v>
      </c>
      <c r="P67" s="9" t="b">
        <v>1</v>
      </c>
      <c r="Q67" s="7" t="str">
        <f t="shared" si="3"/>
        <v>Karrenmuseum Essen</v>
      </c>
      <c r="R67" s="10">
        <v>6.0</v>
      </c>
      <c r="S67" s="9" t="b">
        <v>0</v>
      </c>
      <c r="T67" s="9" t="b">
        <v>0</v>
      </c>
      <c r="U67" s="7"/>
    </row>
    <row r="68">
      <c r="A68" s="7" t="s">
        <v>178</v>
      </c>
      <c r="B68" s="7" t="s">
        <v>179</v>
      </c>
      <c r="C68" s="8" t="s">
        <v>156</v>
      </c>
      <c r="D68" s="7" t="s">
        <v>4</v>
      </c>
      <c r="E68" s="8" t="b">
        <f t="shared" ref="E68:K68" si="68">IF(IFERROR(SEARCH(E$1, $D68),0) &gt;= 1, TRUE,FALSE)</f>
        <v>0</v>
      </c>
      <c r="F68" s="8" t="b">
        <f t="shared" si="68"/>
        <v>0</v>
      </c>
      <c r="G68" s="8" t="b">
        <f t="shared" si="68"/>
        <v>0</v>
      </c>
      <c r="H68" s="8" t="b">
        <f t="shared" si="68"/>
        <v>0</v>
      </c>
      <c r="I68" s="8" t="b">
        <f t="shared" si="68"/>
        <v>0</v>
      </c>
      <c r="J68" s="8" t="b">
        <f t="shared" si="68"/>
        <v>0</v>
      </c>
      <c r="K68" s="8" t="b">
        <f t="shared" si="68"/>
        <v>0</v>
      </c>
      <c r="L68" s="9" t="s">
        <v>569</v>
      </c>
      <c r="M68" s="9" t="b">
        <v>1</v>
      </c>
      <c r="N68" s="9" t="b">
        <v>0</v>
      </c>
      <c r="O68" s="9" t="b">
        <v>1</v>
      </c>
      <c r="P68" s="9" t="b">
        <v>0</v>
      </c>
      <c r="Q68" s="7" t="str">
        <f t="shared" si="3"/>
        <v>Kazerne Dossin</v>
      </c>
      <c r="R68" s="10">
        <v>12.0</v>
      </c>
      <c r="S68" s="9" t="b">
        <v>0</v>
      </c>
      <c r="T68" s="9" t="b">
        <v>1</v>
      </c>
      <c r="U68" s="10">
        <v>10.0</v>
      </c>
    </row>
    <row r="69">
      <c r="A69" s="7" t="s">
        <v>180</v>
      </c>
      <c r="B69" s="7" t="s">
        <v>181</v>
      </c>
      <c r="C69" s="8" t="s">
        <v>156</v>
      </c>
      <c r="D69" s="7" t="s">
        <v>9</v>
      </c>
      <c r="E69" s="8" t="b">
        <f t="shared" ref="E69:K69" si="69">IF(IFERROR(SEARCH(E$1, $D69),0) &gt;= 1, TRUE,FALSE)</f>
        <v>0</v>
      </c>
      <c r="F69" s="8" t="b">
        <f t="shared" si="69"/>
        <v>0</v>
      </c>
      <c r="G69" s="8" t="b">
        <f t="shared" si="69"/>
        <v>0</v>
      </c>
      <c r="H69" s="8" t="b">
        <f t="shared" si="69"/>
        <v>0</v>
      </c>
      <c r="I69" s="8" t="b">
        <f t="shared" si="69"/>
        <v>0</v>
      </c>
      <c r="J69" s="8" t="b">
        <f t="shared" si="69"/>
        <v>0</v>
      </c>
      <c r="K69" s="8" t="b">
        <f t="shared" si="69"/>
        <v>0</v>
      </c>
      <c r="L69" s="9" t="s">
        <v>573</v>
      </c>
      <c r="M69" s="9" t="b">
        <v>1</v>
      </c>
      <c r="N69" s="9" t="b">
        <v>1</v>
      </c>
      <c r="O69" s="9" t="b">
        <v>0</v>
      </c>
      <c r="P69" s="9" t="b">
        <v>1</v>
      </c>
      <c r="Q69" s="7" t="str">
        <f t="shared" si="3"/>
        <v>KMSKA | Koninklijk Museum voor Schone Kunsten Antwerpen</v>
      </c>
      <c r="R69" s="10">
        <v>20.0</v>
      </c>
      <c r="S69" s="9" t="b">
        <v>0</v>
      </c>
      <c r="T69" s="9" t="b">
        <v>1</v>
      </c>
      <c r="U69" s="10">
        <v>20.0</v>
      </c>
    </row>
    <row r="70">
      <c r="A70" s="7" t="s">
        <v>182</v>
      </c>
      <c r="B70" s="7"/>
      <c r="C70" s="8" t="s">
        <v>156</v>
      </c>
      <c r="D70" s="7" t="s">
        <v>9</v>
      </c>
      <c r="E70" s="8" t="b">
        <f t="shared" ref="E70:K70" si="70">IF(IFERROR(SEARCH(E$1, $D70),0) &gt;= 1, TRUE,FALSE)</f>
        <v>0</v>
      </c>
      <c r="F70" s="8" t="b">
        <f t="shared" si="70"/>
        <v>0</v>
      </c>
      <c r="G70" s="8" t="b">
        <f t="shared" si="70"/>
        <v>0</v>
      </c>
      <c r="H70" s="8" t="b">
        <f t="shared" si="70"/>
        <v>0</v>
      </c>
      <c r="I70" s="8" t="b">
        <f t="shared" si="70"/>
        <v>0</v>
      </c>
      <c r="J70" s="8" t="b">
        <f t="shared" si="70"/>
        <v>0</v>
      </c>
      <c r="K70" s="8" t="b">
        <f t="shared" si="70"/>
        <v>0</v>
      </c>
      <c r="L70" s="9" t="s">
        <v>566</v>
      </c>
      <c r="M70" s="9" t="b">
        <v>1</v>
      </c>
      <c r="N70" s="9" t="b">
        <v>1</v>
      </c>
      <c r="O70" s="9" t="b">
        <v>0</v>
      </c>
      <c r="P70" s="9" t="b">
        <v>0</v>
      </c>
      <c r="Q70" s="7" t="str">
        <f t="shared" si="3"/>
        <v>Kunsthal Extra City</v>
      </c>
      <c r="R70" s="10">
        <v>7.0</v>
      </c>
      <c r="S70" s="9" t="b">
        <v>0</v>
      </c>
      <c r="T70" s="9" t="b">
        <v>1</v>
      </c>
      <c r="U70" s="10">
        <v>7.0</v>
      </c>
    </row>
    <row r="71">
      <c r="A71" s="7" t="s">
        <v>183</v>
      </c>
      <c r="B71" s="7" t="s">
        <v>184</v>
      </c>
      <c r="C71" s="8" t="s">
        <v>156</v>
      </c>
      <c r="D71" s="7" t="s">
        <v>9</v>
      </c>
      <c r="E71" s="8" t="b">
        <f t="shared" ref="E71:K71" si="71">IF(IFERROR(SEARCH(E$1, $D71),0) &gt;= 1, TRUE,FALSE)</f>
        <v>0</v>
      </c>
      <c r="F71" s="8" t="b">
        <f t="shared" si="71"/>
        <v>0</v>
      </c>
      <c r="G71" s="8" t="b">
        <f t="shared" si="71"/>
        <v>0</v>
      </c>
      <c r="H71" s="8" t="b">
        <f t="shared" si="71"/>
        <v>0</v>
      </c>
      <c r="I71" s="8" t="b">
        <f t="shared" si="71"/>
        <v>0</v>
      </c>
      <c r="J71" s="8" t="b">
        <f t="shared" si="71"/>
        <v>0</v>
      </c>
      <c r="K71" s="8" t="b">
        <f t="shared" si="71"/>
        <v>0</v>
      </c>
      <c r="L71" s="9" t="s">
        <v>566</v>
      </c>
      <c r="M71" s="9" t="b">
        <v>1</v>
      </c>
      <c r="N71" s="9" t="b">
        <v>1</v>
      </c>
      <c r="O71" s="9" t="b">
        <v>0</v>
      </c>
      <c r="P71" s="9" t="b">
        <v>0</v>
      </c>
      <c r="Q71" s="7" t="str">
        <f t="shared" si="3"/>
        <v>Kunsthal Mechelen</v>
      </c>
      <c r="R71" s="10">
        <v>5.0</v>
      </c>
      <c r="S71" s="9" t="b">
        <v>0</v>
      </c>
      <c r="T71" s="9" t="b">
        <v>1</v>
      </c>
      <c r="U71" s="10">
        <v>5.0</v>
      </c>
    </row>
    <row r="72">
      <c r="A72" s="7" t="s">
        <v>185</v>
      </c>
      <c r="B72" s="7"/>
      <c r="C72" s="8" t="s">
        <v>156</v>
      </c>
      <c r="D72" s="7" t="s">
        <v>86</v>
      </c>
      <c r="E72" s="8" t="b">
        <f t="shared" ref="E72:K72" si="72">IF(IFERROR(SEARCH(E$1, $D72),0) &gt;= 1, TRUE,FALSE)</f>
        <v>0</v>
      </c>
      <c r="F72" s="8" t="b">
        <f t="shared" si="72"/>
        <v>0</v>
      </c>
      <c r="G72" s="8" t="b">
        <f t="shared" si="72"/>
        <v>0</v>
      </c>
      <c r="H72" s="8" t="b">
        <f t="shared" si="72"/>
        <v>0</v>
      </c>
      <c r="I72" s="8" t="b">
        <f t="shared" si="72"/>
        <v>0</v>
      </c>
      <c r="J72" s="8" t="b">
        <f t="shared" si="72"/>
        <v>0</v>
      </c>
      <c r="K72" s="8" t="b">
        <f t="shared" si="72"/>
        <v>0</v>
      </c>
      <c r="L72" s="9" t="s">
        <v>572</v>
      </c>
      <c r="M72" s="9" t="b">
        <v>1</v>
      </c>
      <c r="N72" s="9" t="b">
        <v>1</v>
      </c>
      <c r="O72" s="9" t="b">
        <v>0</v>
      </c>
      <c r="P72" s="9" t="b">
        <v>1</v>
      </c>
      <c r="Q72" s="7" t="str">
        <f t="shared" si="3"/>
        <v>MAS | Museum aan de Stroom</v>
      </c>
      <c r="R72" s="10">
        <v>10.0</v>
      </c>
      <c r="S72" s="9" t="b">
        <v>0</v>
      </c>
      <c r="T72" s="9" t="b">
        <v>1</v>
      </c>
      <c r="U72" s="10">
        <v>10.0</v>
      </c>
    </row>
    <row r="73">
      <c r="A73" s="7" t="s">
        <v>186</v>
      </c>
      <c r="B73" s="7" t="s">
        <v>187</v>
      </c>
      <c r="C73" s="8" t="s">
        <v>156</v>
      </c>
      <c r="D73" s="7" t="s">
        <v>188</v>
      </c>
      <c r="E73" s="8" t="b">
        <f t="shared" ref="E73:K73" si="73">IF(IFERROR(SEARCH(E$1, $D73),0) &gt;= 1, TRUE,FALSE)</f>
        <v>0</v>
      </c>
      <c r="F73" s="8" t="b">
        <f t="shared" si="73"/>
        <v>0</v>
      </c>
      <c r="G73" s="8" t="b">
        <f t="shared" si="73"/>
        <v>0</v>
      </c>
      <c r="H73" s="8" t="b">
        <f t="shared" si="73"/>
        <v>0</v>
      </c>
      <c r="I73" s="8" t="b">
        <f t="shared" si="73"/>
        <v>0</v>
      </c>
      <c r="J73" s="8" t="b">
        <f t="shared" si="73"/>
        <v>0</v>
      </c>
      <c r="K73" s="8" t="b">
        <f t="shared" si="73"/>
        <v>0</v>
      </c>
      <c r="L73" s="9" t="s">
        <v>566</v>
      </c>
      <c r="M73" s="9" t="b">
        <v>1</v>
      </c>
      <c r="N73" s="9" t="b">
        <v>1</v>
      </c>
      <c r="O73" s="9" t="b">
        <v>0</v>
      </c>
      <c r="P73" s="9" t="b">
        <v>0</v>
      </c>
      <c r="Q73" s="7" t="str">
        <f t="shared" si="3"/>
        <v>M HKA | Museum van Hedendaagse Kunst Antwerpen</v>
      </c>
      <c r="R73" s="10">
        <v>14.0</v>
      </c>
      <c r="S73" s="9" t="b">
        <v>0</v>
      </c>
      <c r="T73" s="9" t="b">
        <v>1</v>
      </c>
      <c r="U73" s="10">
        <v>14.0</v>
      </c>
    </row>
    <row r="74">
      <c r="A74" s="7" t="s">
        <v>189</v>
      </c>
      <c r="B74" s="7" t="s">
        <v>190</v>
      </c>
      <c r="C74" s="8" t="s">
        <v>156</v>
      </c>
      <c r="D74" s="7" t="s">
        <v>188</v>
      </c>
      <c r="E74" s="8" t="b">
        <f t="shared" ref="E74:K74" si="74">IF(IFERROR(SEARCH(E$1, $D74),0) &gt;= 1, TRUE,FALSE)</f>
        <v>0</v>
      </c>
      <c r="F74" s="8" t="b">
        <f t="shared" si="74"/>
        <v>0</v>
      </c>
      <c r="G74" s="8" t="b">
        <f t="shared" si="74"/>
        <v>0</v>
      </c>
      <c r="H74" s="8" t="b">
        <f t="shared" si="74"/>
        <v>0</v>
      </c>
      <c r="I74" s="8" t="b">
        <f t="shared" si="74"/>
        <v>0</v>
      </c>
      <c r="J74" s="8" t="b">
        <f t="shared" si="74"/>
        <v>0</v>
      </c>
      <c r="K74" s="8" t="b">
        <f t="shared" si="74"/>
        <v>0</v>
      </c>
      <c r="L74" s="9" t="s">
        <v>566</v>
      </c>
      <c r="M74" s="9" t="b">
        <v>1</v>
      </c>
      <c r="N74" s="9" t="b">
        <v>1</v>
      </c>
      <c r="O74" s="9" t="b">
        <v>0</v>
      </c>
      <c r="P74" s="9" t="b">
        <v>0</v>
      </c>
      <c r="Q74" s="7" t="str">
        <f t="shared" si="3"/>
        <v>Middelheimmuseum</v>
      </c>
      <c r="R74" s="10">
        <v>0.0</v>
      </c>
      <c r="S74" s="9" t="b">
        <v>0</v>
      </c>
      <c r="T74" s="9" t="b">
        <v>1</v>
      </c>
      <c r="U74" s="10">
        <v>0.0</v>
      </c>
    </row>
    <row r="75">
      <c r="A75" s="7" t="s">
        <v>191</v>
      </c>
      <c r="B75" s="7" t="s">
        <v>192</v>
      </c>
      <c r="C75" s="8" t="s">
        <v>156</v>
      </c>
      <c r="D75" s="7" t="s">
        <v>193</v>
      </c>
      <c r="E75" s="8" t="b">
        <f t="shared" ref="E75:K75" si="75">IF(IFERROR(SEARCH(E$1, $D75),0) &gt;= 1, TRUE,FALSE)</f>
        <v>0</v>
      </c>
      <c r="F75" s="8" t="b">
        <f t="shared" si="75"/>
        <v>0</v>
      </c>
      <c r="G75" s="8" t="b">
        <f t="shared" si="75"/>
        <v>1</v>
      </c>
      <c r="H75" s="8" t="b">
        <f t="shared" si="75"/>
        <v>0</v>
      </c>
      <c r="I75" s="8" t="b">
        <f t="shared" si="75"/>
        <v>0</v>
      </c>
      <c r="J75" s="8" t="b">
        <f t="shared" si="75"/>
        <v>0</v>
      </c>
      <c r="K75" s="8" t="b">
        <f t="shared" si="75"/>
        <v>0</v>
      </c>
      <c r="L75" s="9" t="s">
        <v>566</v>
      </c>
      <c r="M75" s="9" t="b">
        <v>1</v>
      </c>
      <c r="N75" s="9" t="b">
        <v>1</v>
      </c>
      <c r="O75" s="9" t="b">
        <v>0</v>
      </c>
      <c r="P75" s="9" t="b">
        <v>0</v>
      </c>
      <c r="Q75" s="7" t="str">
        <f t="shared" si="3"/>
        <v>MoMu | ModeMuseum Antwerpen</v>
      </c>
      <c r="R75" s="10">
        <v>12.0</v>
      </c>
      <c r="S75" s="9" t="b">
        <v>0</v>
      </c>
      <c r="T75" s="9" t="b">
        <v>1</v>
      </c>
      <c r="U75" s="10">
        <v>12.0</v>
      </c>
    </row>
    <row r="76">
      <c r="A76" s="7" t="s">
        <v>194</v>
      </c>
      <c r="B76" s="7" t="s">
        <v>195</v>
      </c>
      <c r="C76" s="8" t="s">
        <v>156</v>
      </c>
      <c r="D76" s="7" t="s">
        <v>9</v>
      </c>
      <c r="E76" s="8" t="b">
        <f t="shared" ref="E76:K76" si="76">IF(IFERROR(SEARCH(E$1, $D76),0) &gt;= 1, TRUE,FALSE)</f>
        <v>0</v>
      </c>
      <c r="F76" s="8" t="b">
        <f t="shared" si="76"/>
        <v>0</v>
      </c>
      <c r="G76" s="8" t="b">
        <f t="shared" si="76"/>
        <v>0</v>
      </c>
      <c r="H76" s="8" t="b">
        <f t="shared" si="76"/>
        <v>0</v>
      </c>
      <c r="I76" s="8" t="b">
        <f t="shared" si="76"/>
        <v>0</v>
      </c>
      <c r="J76" s="8" t="b">
        <f t="shared" si="76"/>
        <v>0</v>
      </c>
      <c r="K76" s="8" t="b">
        <f t="shared" si="76"/>
        <v>0</v>
      </c>
      <c r="L76" s="9" t="s">
        <v>557</v>
      </c>
      <c r="M76" s="9" t="b">
        <v>1</v>
      </c>
      <c r="N76" s="9" t="b">
        <v>0</v>
      </c>
      <c r="O76" s="9" t="b">
        <v>0</v>
      </c>
      <c r="P76" s="9" t="b">
        <v>0</v>
      </c>
      <c r="Q76" s="7" t="str">
        <f t="shared" si="3"/>
        <v>Museum De Reede</v>
      </c>
      <c r="R76" s="10">
        <v>15.0</v>
      </c>
      <c r="S76" s="9" t="b">
        <v>0</v>
      </c>
      <c r="T76" s="9" t="b">
        <v>1</v>
      </c>
      <c r="U76" s="10">
        <v>15.0</v>
      </c>
    </row>
    <row r="77">
      <c r="A77" s="7" t="s">
        <v>196</v>
      </c>
      <c r="B77" s="7" t="s">
        <v>197</v>
      </c>
      <c r="C77" s="8" t="s">
        <v>156</v>
      </c>
      <c r="D77" s="7" t="s">
        <v>4</v>
      </c>
      <c r="E77" s="8" t="b">
        <f t="shared" ref="E77:K77" si="77">IF(IFERROR(SEARCH(E$1, $D77),0) &gt;= 1, TRUE,FALSE)</f>
        <v>0</v>
      </c>
      <c r="F77" s="8" t="b">
        <f t="shared" si="77"/>
        <v>0</v>
      </c>
      <c r="G77" s="8" t="b">
        <f t="shared" si="77"/>
        <v>0</v>
      </c>
      <c r="H77" s="8" t="b">
        <f t="shared" si="77"/>
        <v>0</v>
      </c>
      <c r="I77" s="8" t="b">
        <f t="shared" si="77"/>
        <v>0</v>
      </c>
      <c r="J77" s="8" t="b">
        <f t="shared" si="77"/>
        <v>0</v>
      </c>
      <c r="K77" s="8" t="b">
        <f t="shared" si="77"/>
        <v>0</v>
      </c>
      <c r="L77" s="9" t="s">
        <v>570</v>
      </c>
      <c r="M77" s="9" t="b">
        <v>1</v>
      </c>
      <c r="N77" s="9" t="b">
        <v>1</v>
      </c>
      <c r="O77" s="9" t="b">
        <v>1</v>
      </c>
      <c r="P77" s="9" t="b">
        <v>1</v>
      </c>
      <c r="Q77" s="7" t="str">
        <f t="shared" si="3"/>
        <v>Museum Fort Liezele</v>
      </c>
      <c r="R77" s="10">
        <v>12.0</v>
      </c>
      <c r="S77" s="9" t="b">
        <v>0</v>
      </c>
      <c r="T77" s="9" t="b">
        <v>0</v>
      </c>
      <c r="U77" s="7"/>
    </row>
    <row r="78">
      <c r="A78" s="7" t="s">
        <v>198</v>
      </c>
      <c r="B78" s="7"/>
      <c r="C78" s="8" t="s">
        <v>156</v>
      </c>
      <c r="D78" s="7" t="s">
        <v>4</v>
      </c>
      <c r="E78" s="8" t="b">
        <f t="shared" ref="E78:K78" si="78">IF(IFERROR(SEARCH(E$1, $D78),0) &gt;= 1, TRUE,FALSE)</f>
        <v>0</v>
      </c>
      <c r="F78" s="8" t="b">
        <f t="shared" si="78"/>
        <v>0</v>
      </c>
      <c r="G78" s="8" t="b">
        <f t="shared" si="78"/>
        <v>0</v>
      </c>
      <c r="H78" s="8" t="b">
        <f t="shared" si="78"/>
        <v>0</v>
      </c>
      <c r="I78" s="8" t="b">
        <f t="shared" si="78"/>
        <v>0</v>
      </c>
      <c r="J78" s="8" t="b">
        <f t="shared" si="78"/>
        <v>0</v>
      </c>
      <c r="K78" s="8" t="b">
        <f t="shared" si="78"/>
        <v>0</v>
      </c>
      <c r="L78" s="9" t="s">
        <v>566</v>
      </c>
      <c r="M78" s="9" t="b">
        <v>1</v>
      </c>
      <c r="N78" s="9" t="b">
        <v>1</v>
      </c>
      <c r="O78" s="9" t="b">
        <v>0</v>
      </c>
      <c r="P78" s="9" t="b">
        <v>0</v>
      </c>
      <c r="Q78" s="7" t="str">
        <f t="shared" si="3"/>
        <v>Museum Hof van Busleyden</v>
      </c>
      <c r="R78" s="10">
        <v>15.0</v>
      </c>
      <c r="S78" s="9" t="b">
        <v>0</v>
      </c>
      <c r="T78" s="9" t="b">
        <v>1</v>
      </c>
      <c r="U78" s="10">
        <v>15.0</v>
      </c>
    </row>
    <row r="79">
      <c r="A79" s="7" t="s">
        <v>199</v>
      </c>
      <c r="B79" s="7" t="s">
        <v>200</v>
      </c>
      <c r="C79" s="8" t="s">
        <v>156</v>
      </c>
      <c r="D79" s="7" t="s">
        <v>102</v>
      </c>
      <c r="E79" s="8" t="b">
        <f t="shared" ref="E79:K79" si="79">IF(IFERROR(SEARCH(E$1, $D79),0) &gt;= 1, TRUE,FALSE)</f>
        <v>0</v>
      </c>
      <c r="F79" s="8" t="b">
        <f t="shared" si="79"/>
        <v>0</v>
      </c>
      <c r="G79" s="8" t="b">
        <f t="shared" si="79"/>
        <v>0</v>
      </c>
      <c r="H79" s="8" t="b">
        <f t="shared" si="79"/>
        <v>0</v>
      </c>
      <c r="I79" s="8" t="b">
        <f t="shared" si="79"/>
        <v>0</v>
      </c>
      <c r="J79" s="8" t="b">
        <f t="shared" si="79"/>
        <v>0</v>
      </c>
      <c r="K79" s="8" t="b">
        <f t="shared" si="79"/>
        <v>0</v>
      </c>
      <c r="L79" s="9" t="s">
        <v>557</v>
      </c>
      <c r="M79" s="9" t="b">
        <v>1</v>
      </c>
      <c r="N79" s="9" t="b">
        <v>0</v>
      </c>
      <c r="O79" s="9" t="b">
        <v>0</v>
      </c>
      <c r="P79" s="9" t="b">
        <v>0</v>
      </c>
      <c r="Q79" s="7" t="str">
        <f t="shared" si="3"/>
        <v>Museum Mayer van den Bergh</v>
      </c>
      <c r="R79" s="10">
        <v>10.0</v>
      </c>
      <c r="S79" s="9" t="b">
        <v>1</v>
      </c>
      <c r="T79" s="9" t="b">
        <v>0</v>
      </c>
      <c r="U79" s="7"/>
    </row>
    <row r="80">
      <c r="A80" s="7" t="s">
        <v>201</v>
      </c>
      <c r="B80" s="7" t="s">
        <v>202</v>
      </c>
      <c r="C80" s="8" t="s">
        <v>156</v>
      </c>
      <c r="D80" s="7" t="s">
        <v>203</v>
      </c>
      <c r="E80" s="8" t="b">
        <f t="shared" ref="E80:K80" si="80">IF(IFERROR(SEARCH(E$1, $D80),0) &gt;= 1, TRUE,FALSE)</f>
        <v>0</v>
      </c>
      <c r="F80" s="8" t="b">
        <f t="shared" si="80"/>
        <v>0</v>
      </c>
      <c r="G80" s="8" t="b">
        <f t="shared" si="80"/>
        <v>0</v>
      </c>
      <c r="H80" s="8" t="b">
        <f t="shared" si="80"/>
        <v>1</v>
      </c>
      <c r="I80" s="8" t="b">
        <f t="shared" si="80"/>
        <v>1</v>
      </c>
      <c r="J80" s="8" t="b">
        <f t="shared" si="80"/>
        <v>0</v>
      </c>
      <c r="K80" s="8" t="b">
        <f t="shared" si="80"/>
        <v>0</v>
      </c>
      <c r="L80" s="9" t="s">
        <v>557</v>
      </c>
      <c r="M80" s="9" t="b">
        <v>1</v>
      </c>
      <c r="N80" s="9" t="b">
        <v>0</v>
      </c>
      <c r="O80" s="9" t="b">
        <v>0</v>
      </c>
      <c r="P80" s="9" t="b">
        <v>0</v>
      </c>
      <c r="Q80" s="7" t="str">
        <f t="shared" si="3"/>
        <v>Museum Plantin-Moretus</v>
      </c>
      <c r="R80" s="10">
        <v>12.0</v>
      </c>
      <c r="S80" s="9" t="b">
        <v>0</v>
      </c>
      <c r="T80" s="9" t="b">
        <v>1</v>
      </c>
      <c r="U80" s="10">
        <v>12.0</v>
      </c>
    </row>
    <row r="81">
      <c r="A81" s="7" t="s">
        <v>204</v>
      </c>
      <c r="B81" s="7" t="s">
        <v>205</v>
      </c>
      <c r="C81" s="8" t="s">
        <v>156</v>
      </c>
      <c r="D81" s="7" t="s">
        <v>206</v>
      </c>
      <c r="E81" s="8" t="b">
        <f t="shared" ref="E81:K81" si="81">IF(IFERROR(SEARCH(E$1, $D81),0) &gt;= 1, TRUE,FALSE)</f>
        <v>0</v>
      </c>
      <c r="F81" s="8" t="b">
        <f t="shared" si="81"/>
        <v>0</v>
      </c>
      <c r="G81" s="8" t="b">
        <f t="shared" si="81"/>
        <v>0</v>
      </c>
      <c r="H81" s="8" t="b">
        <f t="shared" si="81"/>
        <v>0</v>
      </c>
      <c r="I81" s="8" t="b">
        <f t="shared" si="81"/>
        <v>1</v>
      </c>
      <c r="J81" s="8" t="b">
        <f t="shared" si="81"/>
        <v>0</v>
      </c>
      <c r="K81" s="8" t="b">
        <f t="shared" si="81"/>
        <v>0</v>
      </c>
      <c r="L81" s="9" t="s">
        <v>557</v>
      </c>
      <c r="M81" s="9" t="b">
        <v>1</v>
      </c>
      <c r="N81" s="9" t="b">
        <v>0</v>
      </c>
      <c r="O81" s="9" t="b">
        <v>0</v>
      </c>
      <c r="P81" s="9" t="b">
        <v>0</v>
      </c>
      <c r="Q81" s="7" t="str">
        <f t="shared" si="3"/>
        <v>Museum Vleeshuis</v>
      </c>
      <c r="R81" s="10">
        <v>8.0</v>
      </c>
      <c r="S81" s="9" t="b">
        <v>1</v>
      </c>
      <c r="T81" s="9" t="b">
        <v>0</v>
      </c>
      <c r="U81" s="7"/>
    </row>
    <row r="82">
      <c r="A82" s="7" t="s">
        <v>207</v>
      </c>
      <c r="B82" s="7" t="s">
        <v>208</v>
      </c>
      <c r="C82" s="8" t="s">
        <v>156</v>
      </c>
      <c r="D82" s="7" t="s">
        <v>114</v>
      </c>
      <c r="E82" s="8" t="b">
        <f t="shared" ref="E82:K82" si="82">IF(IFERROR(SEARCH(E$1, $D82),0) &gt;= 1, TRUE,FALSE)</f>
        <v>0</v>
      </c>
      <c r="F82" s="8" t="b">
        <f t="shared" si="82"/>
        <v>0</v>
      </c>
      <c r="G82" s="8" t="b">
        <f t="shared" si="82"/>
        <v>0</v>
      </c>
      <c r="H82" s="8" t="b">
        <f t="shared" si="82"/>
        <v>0</v>
      </c>
      <c r="I82" s="8" t="b">
        <f t="shared" si="82"/>
        <v>0</v>
      </c>
      <c r="J82" s="8" t="b">
        <f t="shared" si="82"/>
        <v>0</v>
      </c>
      <c r="K82" s="8" t="b">
        <f t="shared" si="82"/>
        <v>0</v>
      </c>
      <c r="L82" s="9" t="s">
        <v>574</v>
      </c>
      <c r="M82" s="9" t="b">
        <v>1</v>
      </c>
      <c r="N82" s="9" t="b">
        <v>1</v>
      </c>
      <c r="O82" s="9" t="b">
        <v>1</v>
      </c>
      <c r="P82" s="9" t="b">
        <v>0</v>
      </c>
      <c r="Q82" s="7" t="str">
        <f t="shared" si="3"/>
        <v>Nationaal Museum van de Speelkaart</v>
      </c>
      <c r="R82" s="10">
        <v>5.0</v>
      </c>
      <c r="S82" s="9" t="b">
        <v>0</v>
      </c>
      <c r="T82" s="9" t="b">
        <v>1</v>
      </c>
      <c r="U82" s="10">
        <v>5.0</v>
      </c>
    </row>
    <row r="83">
      <c r="A83" s="7" t="s">
        <v>209</v>
      </c>
      <c r="B83" s="7" t="s">
        <v>210</v>
      </c>
      <c r="C83" s="8" t="s">
        <v>156</v>
      </c>
      <c r="D83" s="7" t="s">
        <v>4</v>
      </c>
      <c r="E83" s="8" t="b">
        <f t="shared" ref="E83:K83" si="83">IF(IFERROR(SEARCH(E$1, $D83),0) &gt;= 1, TRUE,FALSE)</f>
        <v>0</v>
      </c>
      <c r="F83" s="8" t="b">
        <f t="shared" si="83"/>
        <v>0</v>
      </c>
      <c r="G83" s="8" t="b">
        <f t="shared" si="83"/>
        <v>0</v>
      </c>
      <c r="H83" s="8" t="b">
        <f t="shared" si="83"/>
        <v>0</v>
      </c>
      <c r="I83" s="8" t="b">
        <f t="shared" si="83"/>
        <v>0</v>
      </c>
      <c r="J83" s="8" t="b">
        <f t="shared" si="83"/>
        <v>0</v>
      </c>
      <c r="K83" s="8" t="b">
        <f t="shared" si="83"/>
        <v>0</v>
      </c>
      <c r="L83" s="9" t="s">
        <v>566</v>
      </c>
      <c r="M83" s="9" t="b">
        <v>1</v>
      </c>
      <c r="N83" s="9" t="b">
        <v>1</v>
      </c>
      <c r="O83" s="9" t="b">
        <v>0</v>
      </c>
      <c r="P83" s="9" t="b">
        <v>0</v>
      </c>
      <c r="Q83" s="7" t="str">
        <f t="shared" si="3"/>
        <v>Red Star Line Museum</v>
      </c>
      <c r="R83" s="10">
        <v>10.0</v>
      </c>
      <c r="S83" s="9" t="b">
        <v>0</v>
      </c>
      <c r="T83" s="9" t="b">
        <v>1</v>
      </c>
      <c r="U83" s="10">
        <v>0.0</v>
      </c>
    </row>
    <row r="84">
      <c r="A84" s="7" t="s">
        <v>211</v>
      </c>
      <c r="B84" s="7" t="s">
        <v>212</v>
      </c>
      <c r="C84" s="8" t="s">
        <v>156</v>
      </c>
      <c r="D84" s="7" t="s">
        <v>102</v>
      </c>
      <c r="E84" s="8" t="b">
        <f t="shared" ref="E84:K84" si="84">IF(IFERROR(SEARCH(E$1, $D84),0) &gt;= 1, TRUE,FALSE)</f>
        <v>0</v>
      </c>
      <c r="F84" s="8" t="b">
        <f t="shared" si="84"/>
        <v>0</v>
      </c>
      <c r="G84" s="8" t="b">
        <f t="shared" si="84"/>
        <v>0</v>
      </c>
      <c r="H84" s="8" t="b">
        <f t="shared" si="84"/>
        <v>0</v>
      </c>
      <c r="I84" s="8" t="b">
        <f t="shared" si="84"/>
        <v>0</v>
      </c>
      <c r="J84" s="8" t="b">
        <f t="shared" si="84"/>
        <v>0</v>
      </c>
      <c r="K84" s="8" t="b">
        <f t="shared" si="84"/>
        <v>0</v>
      </c>
      <c r="L84" s="9" t="s">
        <v>557</v>
      </c>
      <c r="M84" s="9" t="b">
        <v>1</v>
      </c>
      <c r="N84" s="9" t="b">
        <v>0</v>
      </c>
      <c r="O84" s="9" t="b">
        <v>0</v>
      </c>
      <c r="P84" s="9" t="b">
        <v>0</v>
      </c>
      <c r="Q84" s="7" t="str">
        <f t="shared" si="3"/>
        <v>Rubenshuis</v>
      </c>
      <c r="R84" s="10">
        <v>12.0</v>
      </c>
      <c r="S84" s="9" t="b">
        <v>0</v>
      </c>
      <c r="T84" s="9" t="b">
        <v>1</v>
      </c>
      <c r="U84" s="10">
        <v>12.0</v>
      </c>
    </row>
    <row r="85">
      <c r="A85" s="7" t="s">
        <v>213</v>
      </c>
      <c r="B85" s="7" t="s">
        <v>214</v>
      </c>
      <c r="C85" s="8" t="s">
        <v>156</v>
      </c>
      <c r="D85" s="7" t="s">
        <v>215</v>
      </c>
      <c r="E85" s="8" t="b">
        <f t="shared" ref="E85:K85" si="85">IF(IFERROR(SEARCH(E$1, $D85),0) &gt;= 1, TRUE,FALSE)</f>
        <v>0</v>
      </c>
      <c r="F85" s="8" t="b">
        <f t="shared" si="85"/>
        <v>0</v>
      </c>
      <c r="G85" s="8" t="b">
        <f t="shared" si="85"/>
        <v>1</v>
      </c>
      <c r="H85" s="8" t="b">
        <f t="shared" si="85"/>
        <v>1</v>
      </c>
      <c r="I85" s="8" t="b">
        <f t="shared" si="85"/>
        <v>1</v>
      </c>
      <c r="J85" s="8" t="b">
        <f t="shared" si="85"/>
        <v>0</v>
      </c>
      <c r="K85" s="8" t="b">
        <f t="shared" si="85"/>
        <v>0</v>
      </c>
      <c r="L85" s="9" t="s">
        <v>557</v>
      </c>
      <c r="M85" s="9" t="b">
        <v>1</v>
      </c>
      <c r="N85" s="9" t="b">
        <v>0</v>
      </c>
      <c r="O85" s="9" t="b">
        <v>0</v>
      </c>
      <c r="P85" s="9" t="b">
        <v>0</v>
      </c>
      <c r="Q85" s="7" t="str">
        <f t="shared" si="3"/>
        <v>Sint-Pauluskerk</v>
      </c>
      <c r="R85" s="10">
        <v>5.0</v>
      </c>
      <c r="S85" s="9" t="b">
        <v>0</v>
      </c>
      <c r="T85" s="9" t="b">
        <v>1</v>
      </c>
      <c r="U85" s="10">
        <v>5.0</v>
      </c>
    </row>
    <row r="86">
      <c r="A86" s="7" t="s">
        <v>216</v>
      </c>
      <c r="B86" s="7" t="s">
        <v>217</v>
      </c>
      <c r="C86" s="8" t="s">
        <v>156</v>
      </c>
      <c r="D86" s="7" t="s">
        <v>114</v>
      </c>
      <c r="E86" s="8" t="b">
        <f t="shared" ref="E86:K86" si="86">IF(IFERROR(SEARCH(E$1, $D86),0) &gt;= 1, TRUE,FALSE)</f>
        <v>0</v>
      </c>
      <c r="F86" s="8" t="b">
        <f t="shared" si="86"/>
        <v>0</v>
      </c>
      <c r="G86" s="8" t="b">
        <f t="shared" si="86"/>
        <v>0</v>
      </c>
      <c r="H86" s="8" t="b">
        <f t="shared" si="86"/>
        <v>0</v>
      </c>
      <c r="I86" s="8" t="b">
        <f t="shared" si="86"/>
        <v>0</v>
      </c>
      <c r="J86" s="8" t="b">
        <f t="shared" si="86"/>
        <v>0</v>
      </c>
      <c r="K86" s="8" t="b">
        <f t="shared" si="86"/>
        <v>0</v>
      </c>
      <c r="L86" s="9" t="s">
        <v>567</v>
      </c>
      <c r="M86" s="9" t="b">
        <v>1</v>
      </c>
      <c r="N86" s="9" t="b">
        <v>1</v>
      </c>
      <c r="O86" s="9" t="b">
        <v>1</v>
      </c>
      <c r="P86" s="9" t="b">
        <v>0</v>
      </c>
      <c r="Q86" s="7" t="str">
        <f t="shared" si="3"/>
        <v>Speelgoedmuseum</v>
      </c>
      <c r="R86" s="10">
        <v>17.5</v>
      </c>
      <c r="S86" s="9" t="b">
        <v>0</v>
      </c>
      <c r="T86" s="9" t="b">
        <v>0</v>
      </c>
      <c r="U86" s="7"/>
    </row>
    <row r="87">
      <c r="A87" s="7" t="s">
        <v>218</v>
      </c>
      <c r="B87" s="7" t="s">
        <v>219</v>
      </c>
      <c r="C87" s="8" t="s">
        <v>156</v>
      </c>
      <c r="D87" s="7" t="s">
        <v>220</v>
      </c>
      <c r="E87" s="8" t="b">
        <f t="shared" ref="E87:K87" si="87">IF(IFERROR(SEARCH(E$1, $D87),0) &gt;= 1, TRUE,FALSE)</f>
        <v>0</v>
      </c>
      <c r="F87" s="8" t="b">
        <f t="shared" si="87"/>
        <v>0</v>
      </c>
      <c r="G87" s="8" t="b">
        <f t="shared" si="87"/>
        <v>1</v>
      </c>
      <c r="H87" s="8" t="b">
        <f t="shared" si="87"/>
        <v>1</v>
      </c>
      <c r="I87" s="8" t="b">
        <f t="shared" si="87"/>
        <v>1</v>
      </c>
      <c r="J87" s="8" t="b">
        <f t="shared" si="87"/>
        <v>0</v>
      </c>
      <c r="K87" s="8" t="b">
        <f t="shared" si="87"/>
        <v>0</v>
      </c>
      <c r="L87" s="9" t="s">
        <v>557</v>
      </c>
      <c r="M87" s="9" t="b">
        <v>1</v>
      </c>
      <c r="N87" s="9" t="b">
        <v>0</v>
      </c>
      <c r="O87" s="9" t="b">
        <v>0</v>
      </c>
      <c r="P87" s="9" t="b">
        <v>0</v>
      </c>
      <c r="Q87" s="7" t="str">
        <f t="shared" si="3"/>
        <v>Stadsmuseum Lier</v>
      </c>
      <c r="R87" s="10">
        <v>4.0</v>
      </c>
      <c r="S87" s="9" t="b">
        <v>0</v>
      </c>
      <c r="T87" s="9" t="b">
        <v>1</v>
      </c>
      <c r="U87" s="10">
        <v>4.0</v>
      </c>
    </row>
    <row r="88">
      <c r="A88" s="7" t="s">
        <v>221</v>
      </c>
      <c r="B88" s="7" t="s">
        <v>222</v>
      </c>
      <c r="C88" s="8" t="s">
        <v>156</v>
      </c>
      <c r="D88" s="7" t="s">
        <v>102</v>
      </c>
      <c r="E88" s="8" t="b">
        <f t="shared" ref="E88:K88" si="88">IF(IFERROR(SEARCH(E$1, $D88),0) &gt;= 1, TRUE,FALSE)</f>
        <v>0</v>
      </c>
      <c r="F88" s="8" t="b">
        <f t="shared" si="88"/>
        <v>0</v>
      </c>
      <c r="G88" s="8" t="b">
        <f t="shared" si="88"/>
        <v>0</v>
      </c>
      <c r="H88" s="8" t="b">
        <f t="shared" si="88"/>
        <v>0</v>
      </c>
      <c r="I88" s="8" t="b">
        <f t="shared" si="88"/>
        <v>0</v>
      </c>
      <c r="J88" s="8" t="b">
        <f t="shared" si="88"/>
        <v>0</v>
      </c>
      <c r="K88" s="8" t="b">
        <f t="shared" si="88"/>
        <v>0</v>
      </c>
      <c r="L88" s="9" t="s">
        <v>557</v>
      </c>
      <c r="M88" s="9" t="b">
        <v>1</v>
      </c>
      <c r="N88" s="9" t="b">
        <v>0</v>
      </c>
      <c r="O88" s="9" t="b">
        <v>0</v>
      </c>
      <c r="P88" s="9" t="b">
        <v>0</v>
      </c>
      <c r="Q88" s="7" t="str">
        <f t="shared" si="3"/>
        <v>Stedelijk Museum Hoogstraten</v>
      </c>
      <c r="R88" s="10">
        <v>0.0</v>
      </c>
      <c r="S88" s="9" t="b">
        <v>0</v>
      </c>
      <c r="T88" s="9" t="b">
        <v>1</v>
      </c>
      <c r="U88" s="10">
        <v>0.0</v>
      </c>
    </row>
    <row r="89">
      <c r="A89" s="7" t="s">
        <v>223</v>
      </c>
      <c r="B89" s="7" t="s">
        <v>224</v>
      </c>
      <c r="C89" s="8" t="s">
        <v>156</v>
      </c>
      <c r="D89" s="7" t="s">
        <v>164</v>
      </c>
      <c r="E89" s="8" t="b">
        <f t="shared" ref="E89:K89" si="89">IF(IFERROR(SEARCH(E$1, $D89),0) &gt;= 1, TRUE,FALSE)</f>
        <v>0</v>
      </c>
      <c r="F89" s="8" t="b">
        <f t="shared" si="89"/>
        <v>0</v>
      </c>
      <c r="G89" s="8" t="b">
        <f t="shared" si="89"/>
        <v>0</v>
      </c>
      <c r="H89" s="8" t="b">
        <f t="shared" si="89"/>
        <v>1</v>
      </c>
      <c r="I89" s="8" t="b">
        <f t="shared" si="89"/>
        <v>0</v>
      </c>
      <c r="J89" s="8" t="b">
        <f t="shared" si="89"/>
        <v>0</v>
      </c>
      <c r="K89" s="8" t="b">
        <f t="shared" si="89"/>
        <v>0</v>
      </c>
      <c r="L89" s="9" t="s">
        <v>567</v>
      </c>
      <c r="M89" s="9" t="b">
        <v>1</v>
      </c>
      <c r="N89" s="9" t="b">
        <v>1</v>
      </c>
      <c r="O89" s="9" t="b">
        <v>1</v>
      </c>
      <c r="P89" s="9" t="b">
        <v>0</v>
      </c>
      <c r="Q89" s="7" t="str">
        <f t="shared" si="3"/>
        <v>Suske en Wiske Museum</v>
      </c>
      <c r="R89" s="10">
        <v>15.0</v>
      </c>
      <c r="S89" s="9" t="b">
        <v>0</v>
      </c>
      <c r="T89" s="9" t="b">
        <v>0</v>
      </c>
      <c r="U89" s="7"/>
    </row>
    <row r="90">
      <c r="A90" s="7" t="s">
        <v>225</v>
      </c>
      <c r="B90" s="7"/>
      <c r="C90" s="8" t="s">
        <v>156</v>
      </c>
      <c r="D90" s="7" t="s">
        <v>206</v>
      </c>
      <c r="E90" s="8" t="b">
        <f t="shared" ref="E90:K90" si="90">IF(IFERROR(SEARCH(E$1, $D90),0) &gt;= 1, TRUE,FALSE)</f>
        <v>0</v>
      </c>
      <c r="F90" s="8" t="b">
        <f t="shared" si="90"/>
        <v>0</v>
      </c>
      <c r="G90" s="8" t="b">
        <f t="shared" si="90"/>
        <v>0</v>
      </c>
      <c r="H90" s="8" t="b">
        <f t="shared" si="90"/>
        <v>0</v>
      </c>
      <c r="I90" s="8" t="b">
        <f t="shared" si="90"/>
        <v>1</v>
      </c>
      <c r="J90" s="8" t="b">
        <f t="shared" si="90"/>
        <v>0</v>
      </c>
      <c r="K90" s="8" t="b">
        <f t="shared" si="90"/>
        <v>0</v>
      </c>
      <c r="L90" s="9" t="s">
        <v>566</v>
      </c>
      <c r="M90" s="9" t="b">
        <v>1</v>
      </c>
      <c r="N90" s="9" t="b">
        <v>1</v>
      </c>
      <c r="O90" s="9" t="b">
        <v>0</v>
      </c>
      <c r="P90" s="9" t="b">
        <v>0</v>
      </c>
      <c r="Q90" s="7" t="str">
        <f t="shared" si="3"/>
        <v>Taxandriamuseum</v>
      </c>
      <c r="R90" s="10">
        <v>5.0</v>
      </c>
      <c r="S90" s="9" t="b">
        <v>0</v>
      </c>
      <c r="T90" s="9" t="b">
        <v>1</v>
      </c>
      <c r="U90" s="10">
        <v>5.0</v>
      </c>
    </row>
    <row r="91">
      <c r="A91" s="7" t="s">
        <v>226</v>
      </c>
      <c r="B91" s="7"/>
      <c r="C91" s="8" t="s">
        <v>156</v>
      </c>
      <c r="D91" s="7" t="s">
        <v>114</v>
      </c>
      <c r="E91" s="8" t="b">
        <f t="shared" ref="E91:K91" si="91">IF(IFERROR(SEARCH(E$1, $D91),0) &gt;= 1, TRUE,FALSE)</f>
        <v>0</v>
      </c>
      <c r="F91" s="8" t="b">
        <f t="shared" si="91"/>
        <v>0</v>
      </c>
      <c r="G91" s="8" t="b">
        <f t="shared" si="91"/>
        <v>0</v>
      </c>
      <c r="H91" s="8" t="b">
        <f t="shared" si="91"/>
        <v>0</v>
      </c>
      <c r="I91" s="8" t="b">
        <f t="shared" si="91"/>
        <v>0</v>
      </c>
      <c r="J91" s="8" t="b">
        <f t="shared" si="91"/>
        <v>0</v>
      </c>
      <c r="K91" s="8" t="b">
        <f t="shared" si="91"/>
        <v>0</v>
      </c>
      <c r="L91" s="9" t="s">
        <v>570</v>
      </c>
      <c r="M91" s="9" t="b">
        <v>1</v>
      </c>
      <c r="N91" s="9" t="b">
        <v>1</v>
      </c>
      <c r="O91" s="9" t="b">
        <v>1</v>
      </c>
      <c r="P91" s="9" t="b">
        <v>1</v>
      </c>
      <c r="Q91" s="7" t="str">
        <f t="shared" si="3"/>
        <v>‘t Grom</v>
      </c>
      <c r="R91" s="10">
        <v>7.0</v>
      </c>
      <c r="S91" s="9" t="b">
        <v>0</v>
      </c>
      <c r="T91" s="9" t="b">
        <v>1</v>
      </c>
      <c r="U91" s="10">
        <v>7.0</v>
      </c>
    </row>
    <row r="92">
      <c r="A92" s="7" t="s">
        <v>227</v>
      </c>
      <c r="B92" s="7"/>
      <c r="C92" s="8" t="s">
        <v>156</v>
      </c>
      <c r="D92" s="7" t="s">
        <v>228</v>
      </c>
      <c r="E92" s="8" t="b">
        <f t="shared" ref="E92:K92" si="92">IF(IFERROR(SEARCH(E$1, $D92),0) &gt;= 1, TRUE,FALSE)</f>
        <v>0</v>
      </c>
      <c r="F92" s="8" t="b">
        <f t="shared" si="92"/>
        <v>0</v>
      </c>
      <c r="G92" s="8" t="b">
        <f t="shared" si="92"/>
        <v>1</v>
      </c>
      <c r="H92" s="8" t="b">
        <f t="shared" si="92"/>
        <v>0</v>
      </c>
      <c r="I92" s="8" t="b">
        <f t="shared" si="92"/>
        <v>1</v>
      </c>
      <c r="J92" s="8" t="b">
        <f t="shared" si="92"/>
        <v>0</v>
      </c>
      <c r="K92" s="8" t="b">
        <f t="shared" si="92"/>
        <v>0</v>
      </c>
      <c r="L92" s="9" t="s">
        <v>557</v>
      </c>
      <c r="M92" s="9" t="b">
        <v>1</v>
      </c>
      <c r="N92" s="9" t="b">
        <v>0</v>
      </c>
      <c r="O92" s="9" t="b">
        <v>0</v>
      </c>
      <c r="P92" s="9" t="b">
        <v>0</v>
      </c>
      <c r="Q92" s="7" t="str">
        <f t="shared" si="3"/>
        <v>Het steen, The Antwerp Story</v>
      </c>
      <c r="R92" s="10">
        <v>7.0</v>
      </c>
      <c r="S92" s="9" t="b">
        <v>0</v>
      </c>
      <c r="T92" s="9" t="b">
        <v>1</v>
      </c>
      <c r="U92" s="10">
        <v>7.0</v>
      </c>
    </row>
    <row r="93">
      <c r="A93" s="7" t="s">
        <v>229</v>
      </c>
      <c r="B93" s="7" t="s">
        <v>230</v>
      </c>
      <c r="C93" s="8" t="s">
        <v>231</v>
      </c>
      <c r="D93" s="7" t="s">
        <v>9</v>
      </c>
      <c r="E93" s="8" t="b">
        <f t="shared" ref="E93:K93" si="93">IF(IFERROR(SEARCH(E$1, $D93),0) &gt;= 1, TRUE,FALSE)</f>
        <v>0</v>
      </c>
      <c r="F93" s="8" t="b">
        <f t="shared" si="93"/>
        <v>0</v>
      </c>
      <c r="G93" s="8" t="b">
        <f t="shared" si="93"/>
        <v>0</v>
      </c>
      <c r="H93" s="8" t="b">
        <f t="shared" si="93"/>
        <v>0</v>
      </c>
      <c r="I93" s="8" t="b">
        <f t="shared" si="93"/>
        <v>0</v>
      </c>
      <c r="J93" s="8" t="b">
        <f t="shared" si="93"/>
        <v>0</v>
      </c>
      <c r="K93" s="8" t="b">
        <f t="shared" si="93"/>
        <v>0</v>
      </c>
      <c r="L93" s="9" t="s">
        <v>570</v>
      </c>
      <c r="M93" s="9" t="b">
        <v>1</v>
      </c>
      <c r="N93" s="9" t="b">
        <v>1</v>
      </c>
      <c r="O93" s="9" t="b">
        <v>1</v>
      </c>
      <c r="P93" s="9" t="b">
        <v>1</v>
      </c>
      <c r="Q93" s="7" t="str">
        <f t="shared" si="3"/>
        <v>Stichting Folon</v>
      </c>
      <c r="R93" s="10">
        <v>12.0</v>
      </c>
      <c r="S93" s="9" t="b">
        <v>0</v>
      </c>
      <c r="T93" s="9" t="b">
        <v>1</v>
      </c>
      <c r="U93" s="10">
        <v>10.0</v>
      </c>
    </row>
    <row r="94">
      <c r="A94" s="7" t="s">
        <v>232</v>
      </c>
      <c r="B94" s="7" t="s">
        <v>233</v>
      </c>
      <c r="C94" s="8" t="s">
        <v>231</v>
      </c>
      <c r="D94" s="7" t="s">
        <v>9</v>
      </c>
      <c r="E94" s="8" t="b">
        <f t="shared" ref="E94:K94" si="94">IF(IFERROR(SEARCH(E$1, $D94),0) &gt;= 1, TRUE,FALSE)</f>
        <v>0</v>
      </c>
      <c r="F94" s="8" t="b">
        <f t="shared" si="94"/>
        <v>0</v>
      </c>
      <c r="G94" s="8" t="b">
        <f t="shared" si="94"/>
        <v>0</v>
      </c>
      <c r="H94" s="8" t="b">
        <f t="shared" si="94"/>
        <v>0</v>
      </c>
      <c r="I94" s="8" t="b">
        <f t="shared" si="94"/>
        <v>0</v>
      </c>
      <c r="J94" s="8" t="b">
        <f t="shared" si="94"/>
        <v>0</v>
      </c>
      <c r="K94" s="8" t="b">
        <f t="shared" si="94"/>
        <v>0</v>
      </c>
      <c r="L94" s="9" t="s">
        <v>572</v>
      </c>
      <c r="M94" s="9" t="b">
        <v>1</v>
      </c>
      <c r="N94" s="9" t="b">
        <v>1</v>
      </c>
      <c r="O94" s="9" t="b">
        <v>0</v>
      </c>
      <c r="P94" s="9" t="b">
        <v>1</v>
      </c>
      <c r="Q94" s="7" t="str">
        <f t="shared" si="3"/>
        <v>Hergé Museum</v>
      </c>
      <c r="R94" s="10">
        <v>12.0</v>
      </c>
      <c r="S94" s="9" t="b">
        <v>0</v>
      </c>
      <c r="T94" s="9" t="b">
        <v>1</v>
      </c>
      <c r="U94" s="10">
        <v>12.0</v>
      </c>
    </row>
    <row r="95">
      <c r="A95" s="7"/>
      <c r="B95" s="7" t="s">
        <v>234</v>
      </c>
      <c r="C95" s="8" t="s">
        <v>231</v>
      </c>
      <c r="D95" s="7" t="s">
        <v>9</v>
      </c>
      <c r="E95" s="8" t="b">
        <f t="shared" ref="E95:K95" si="95">IF(IFERROR(SEARCH(E$1, $D95),0) &gt;= 1, TRUE,FALSE)</f>
        <v>0</v>
      </c>
      <c r="F95" s="8" t="b">
        <f t="shared" si="95"/>
        <v>0</v>
      </c>
      <c r="G95" s="8" t="b">
        <f t="shared" si="95"/>
        <v>0</v>
      </c>
      <c r="H95" s="8" t="b">
        <f t="shared" si="95"/>
        <v>0</v>
      </c>
      <c r="I95" s="8" t="b">
        <f t="shared" si="95"/>
        <v>0</v>
      </c>
      <c r="J95" s="8" t="b">
        <f t="shared" si="95"/>
        <v>0</v>
      </c>
      <c r="K95" s="8" t="b">
        <f t="shared" si="95"/>
        <v>0</v>
      </c>
      <c r="L95" s="9" t="s">
        <v>570</v>
      </c>
      <c r="M95" s="9" t="b">
        <v>1</v>
      </c>
      <c r="N95" s="9" t="b">
        <v>1</v>
      </c>
      <c r="O95" s="9" t="b">
        <v>1</v>
      </c>
      <c r="P95" s="9" t="b">
        <v>1</v>
      </c>
      <c r="Q95" s="7" t="str">
        <f t="shared" si="3"/>
        <v>Musée L</v>
      </c>
      <c r="R95" s="10">
        <v>8.0</v>
      </c>
      <c r="S95" s="9" t="b">
        <v>0</v>
      </c>
      <c r="T95" s="9" t="b">
        <v>1</v>
      </c>
      <c r="U95" s="10">
        <v>8.0</v>
      </c>
    </row>
    <row r="96">
      <c r="A96" s="7" t="s">
        <v>235</v>
      </c>
      <c r="B96" s="7" t="s">
        <v>236</v>
      </c>
      <c r="C96" s="8" t="s">
        <v>231</v>
      </c>
      <c r="D96" s="7" t="s">
        <v>9</v>
      </c>
      <c r="E96" s="8" t="b">
        <f t="shared" ref="E96:K96" si="96">IF(IFERROR(SEARCH(E$1, $D96),0) &gt;= 1, TRUE,FALSE)</f>
        <v>0</v>
      </c>
      <c r="F96" s="8" t="b">
        <f t="shared" si="96"/>
        <v>0</v>
      </c>
      <c r="G96" s="8" t="b">
        <f t="shared" si="96"/>
        <v>0</v>
      </c>
      <c r="H96" s="8" t="b">
        <f t="shared" si="96"/>
        <v>0</v>
      </c>
      <c r="I96" s="8" t="b">
        <f t="shared" si="96"/>
        <v>0</v>
      </c>
      <c r="J96" s="8" t="b">
        <f t="shared" si="96"/>
        <v>0</v>
      </c>
      <c r="K96" s="8" t="b">
        <f t="shared" si="96"/>
        <v>0</v>
      </c>
      <c r="L96" s="9" t="s">
        <v>569</v>
      </c>
      <c r="M96" s="9" t="b">
        <v>1</v>
      </c>
      <c r="N96" s="9" t="b">
        <v>0</v>
      </c>
      <c r="O96" s="9" t="b">
        <v>1</v>
      </c>
      <c r="P96" s="9" t="b">
        <v>0</v>
      </c>
      <c r="Q96" s="7" t="str">
        <f t="shared" si="3"/>
        <v>Marthe Donas museum</v>
      </c>
      <c r="R96" s="10">
        <v>2.0</v>
      </c>
      <c r="S96" s="9" t="b">
        <v>0</v>
      </c>
      <c r="T96" s="9" t="b">
        <v>1</v>
      </c>
      <c r="U96" s="10">
        <v>2.0</v>
      </c>
    </row>
    <row r="97">
      <c r="A97" s="7" t="s">
        <v>237</v>
      </c>
      <c r="B97" s="7" t="s">
        <v>238</v>
      </c>
      <c r="C97" s="8" t="s">
        <v>231</v>
      </c>
      <c r="D97" s="7" t="s">
        <v>4</v>
      </c>
      <c r="E97" s="8" t="b">
        <f t="shared" ref="E97:K97" si="97">IF(IFERROR(SEARCH(E$1, $D97),0) &gt;= 1, TRUE,FALSE)</f>
        <v>0</v>
      </c>
      <c r="F97" s="8" t="b">
        <f t="shared" si="97"/>
        <v>0</v>
      </c>
      <c r="G97" s="8" t="b">
        <f t="shared" si="97"/>
        <v>0</v>
      </c>
      <c r="H97" s="8" t="b">
        <f t="shared" si="97"/>
        <v>0</v>
      </c>
      <c r="I97" s="8" t="b">
        <f t="shared" si="97"/>
        <v>0</v>
      </c>
      <c r="J97" s="8" t="b">
        <f t="shared" si="97"/>
        <v>0</v>
      </c>
      <c r="K97" s="8" t="b">
        <f t="shared" si="97"/>
        <v>0</v>
      </c>
      <c r="L97" s="9" t="s">
        <v>557</v>
      </c>
      <c r="M97" s="9" t="b">
        <v>1</v>
      </c>
      <c r="N97" s="9" t="b">
        <v>0</v>
      </c>
      <c r="O97" s="9" t="b">
        <v>0</v>
      </c>
      <c r="P97" s="9" t="b">
        <v>0</v>
      </c>
      <c r="Q97" s="7" t="str">
        <f t="shared" si="3"/>
        <v>Wellington Museum</v>
      </c>
      <c r="R97" s="10">
        <v>10.0</v>
      </c>
      <c r="S97" s="9" t="b">
        <v>0</v>
      </c>
      <c r="T97" s="9" t="b">
        <v>1</v>
      </c>
      <c r="U97" s="10">
        <v>8.0</v>
      </c>
    </row>
    <row r="98">
      <c r="A98" s="7" t="s">
        <v>239</v>
      </c>
      <c r="B98" s="7"/>
      <c r="C98" s="8" t="s">
        <v>240</v>
      </c>
      <c r="D98" s="7" t="s">
        <v>61</v>
      </c>
      <c r="E98" s="8" t="b">
        <f t="shared" ref="E98:K98" si="98">IF(IFERROR(SEARCH(E$1, $D98),0) &gt;= 1, TRUE,FALSE)</f>
        <v>0</v>
      </c>
      <c r="F98" s="8" t="b">
        <f t="shared" si="98"/>
        <v>0</v>
      </c>
      <c r="G98" s="8" t="b">
        <f t="shared" si="98"/>
        <v>0</v>
      </c>
      <c r="H98" s="8" t="b">
        <f t="shared" si="98"/>
        <v>0</v>
      </c>
      <c r="I98" s="8" t="b">
        <f t="shared" si="98"/>
        <v>0</v>
      </c>
      <c r="J98" s="8" t="b">
        <f t="shared" si="98"/>
        <v>0</v>
      </c>
      <c r="K98" s="8" t="b">
        <f t="shared" si="98"/>
        <v>0</v>
      </c>
      <c r="L98" s="9" t="s">
        <v>570</v>
      </c>
      <c r="M98" s="9" t="b">
        <v>1</v>
      </c>
      <c r="N98" s="9" t="b">
        <v>1</v>
      </c>
      <c r="O98" s="9" t="b">
        <v>1</v>
      </c>
      <c r="P98" s="9" t="b">
        <v>1</v>
      </c>
      <c r="Q98" s="7" t="str">
        <f t="shared" si="3"/>
        <v>AfricaMuseum</v>
      </c>
      <c r="R98" s="10">
        <v>13.0</v>
      </c>
      <c r="S98" s="9" t="b">
        <v>0</v>
      </c>
      <c r="T98" s="9" t="b">
        <v>1</v>
      </c>
      <c r="U98" s="10">
        <v>13.0</v>
      </c>
    </row>
    <row r="99">
      <c r="A99" s="7" t="s">
        <v>241</v>
      </c>
      <c r="B99" s="7" t="s">
        <v>242</v>
      </c>
      <c r="C99" s="8" t="s">
        <v>240</v>
      </c>
      <c r="D99" s="7" t="s">
        <v>4</v>
      </c>
      <c r="E99" s="8" t="b">
        <f t="shared" ref="E99:K99" si="99">IF(IFERROR(SEARCH(E$1, $D99),0) &gt;= 1, TRUE,FALSE)</f>
        <v>0</v>
      </c>
      <c r="F99" s="8" t="b">
        <f t="shared" si="99"/>
        <v>0</v>
      </c>
      <c r="G99" s="8" t="b">
        <f t="shared" si="99"/>
        <v>0</v>
      </c>
      <c r="H99" s="8" t="b">
        <f t="shared" si="99"/>
        <v>0</v>
      </c>
      <c r="I99" s="8" t="b">
        <f t="shared" si="99"/>
        <v>0</v>
      </c>
      <c r="J99" s="8" t="b">
        <f t="shared" si="99"/>
        <v>0</v>
      </c>
      <c r="K99" s="8" t="b">
        <f t="shared" si="99"/>
        <v>0</v>
      </c>
      <c r="L99" s="9" t="s">
        <v>569</v>
      </c>
      <c r="M99" s="9" t="b">
        <v>1</v>
      </c>
      <c r="N99" s="9" t="b">
        <v>0</v>
      </c>
      <c r="O99" s="9" t="b">
        <v>1</v>
      </c>
      <c r="P99" s="9" t="b">
        <v>0</v>
      </c>
      <c r="Q99" s="7" t="str">
        <f t="shared" si="3"/>
        <v>Damiaanmuseum</v>
      </c>
      <c r="R99" s="10">
        <v>7.0</v>
      </c>
      <c r="S99" s="9" t="b">
        <v>0</v>
      </c>
      <c r="T99" s="9" t="b">
        <v>0</v>
      </c>
      <c r="U99" s="7"/>
    </row>
    <row r="100">
      <c r="A100" s="7" t="s">
        <v>243</v>
      </c>
      <c r="B100" s="7" t="s">
        <v>244</v>
      </c>
      <c r="C100" s="8" t="s">
        <v>240</v>
      </c>
      <c r="D100" s="7" t="s">
        <v>102</v>
      </c>
      <c r="E100" s="8" t="b">
        <f t="shared" ref="E100:K100" si="100">IF(IFERROR(SEARCH(E$1, $D100),0) &gt;= 1, TRUE,FALSE)</f>
        <v>0</v>
      </c>
      <c r="F100" s="8" t="b">
        <f t="shared" si="100"/>
        <v>0</v>
      </c>
      <c r="G100" s="8" t="b">
        <f t="shared" si="100"/>
        <v>0</v>
      </c>
      <c r="H100" s="8" t="b">
        <f t="shared" si="100"/>
        <v>0</v>
      </c>
      <c r="I100" s="8" t="b">
        <f t="shared" si="100"/>
        <v>0</v>
      </c>
      <c r="J100" s="8" t="b">
        <f t="shared" si="100"/>
        <v>0</v>
      </c>
      <c r="K100" s="8" t="b">
        <f t="shared" si="100"/>
        <v>0</v>
      </c>
      <c r="L100" s="9" t="s">
        <v>568</v>
      </c>
      <c r="M100" s="9" t="b">
        <v>1</v>
      </c>
      <c r="N100" s="9" t="b">
        <v>0</v>
      </c>
      <c r="O100" s="9" t="b">
        <v>0</v>
      </c>
      <c r="P100" s="9" t="b">
        <v>1</v>
      </c>
      <c r="Q100" s="7" t="str">
        <f t="shared" si="3"/>
        <v>Dru!f, huis van de tafeldruif</v>
      </c>
      <c r="R100" s="10">
        <v>0.0</v>
      </c>
      <c r="S100" s="9" t="b">
        <v>0</v>
      </c>
      <c r="T100" s="9" t="b">
        <v>1</v>
      </c>
      <c r="U100" s="10">
        <v>0.0</v>
      </c>
    </row>
    <row r="101">
      <c r="A101" s="7" t="s">
        <v>245</v>
      </c>
      <c r="B101" s="7"/>
      <c r="C101" s="8" t="s">
        <v>240</v>
      </c>
      <c r="D101" s="7" t="s">
        <v>9</v>
      </c>
      <c r="E101" s="8" t="b">
        <f t="shared" ref="E101:K101" si="101">IF(IFERROR(SEARCH(E$1, $D101),0) &gt;= 1, TRUE,FALSE)</f>
        <v>0</v>
      </c>
      <c r="F101" s="8" t="b">
        <f t="shared" si="101"/>
        <v>0</v>
      </c>
      <c r="G101" s="8" t="b">
        <f t="shared" si="101"/>
        <v>0</v>
      </c>
      <c r="H101" s="8" t="b">
        <f t="shared" si="101"/>
        <v>0</v>
      </c>
      <c r="I101" s="8" t="b">
        <f t="shared" si="101"/>
        <v>0</v>
      </c>
      <c r="J101" s="8" t="b">
        <f t="shared" si="101"/>
        <v>0</v>
      </c>
      <c r="K101" s="8" t="b">
        <f t="shared" si="101"/>
        <v>0</v>
      </c>
      <c r="L101" s="9" t="s">
        <v>572</v>
      </c>
      <c r="M101" s="9" t="b">
        <v>1</v>
      </c>
      <c r="N101" s="9" t="b">
        <v>1</v>
      </c>
      <c r="O101" s="9" t="b">
        <v>1</v>
      </c>
      <c r="P101" s="9" t="b">
        <v>0</v>
      </c>
      <c r="Q101" s="7" t="str">
        <f t="shared" si="3"/>
        <v>FeliXart Museum</v>
      </c>
      <c r="R101" s="10">
        <v>10.0</v>
      </c>
      <c r="S101" s="9" t="b">
        <v>0</v>
      </c>
      <c r="T101" s="9" t="b">
        <v>1</v>
      </c>
      <c r="U101" s="10">
        <v>10.0</v>
      </c>
    </row>
    <row r="102">
      <c r="A102" s="7" t="s">
        <v>246</v>
      </c>
      <c r="B102" s="7" t="s">
        <v>247</v>
      </c>
      <c r="C102" s="8" t="s">
        <v>240</v>
      </c>
      <c r="D102" s="7" t="s">
        <v>4</v>
      </c>
      <c r="E102" s="8" t="b">
        <f t="shared" ref="E102:K102" si="102">IF(IFERROR(SEARCH(E$1, $D102),0) &gt;= 1, TRUE,FALSE)</f>
        <v>0</v>
      </c>
      <c r="F102" s="8" t="b">
        <f t="shared" si="102"/>
        <v>0</v>
      </c>
      <c r="G102" s="8" t="b">
        <f t="shared" si="102"/>
        <v>0</v>
      </c>
      <c r="H102" s="8" t="b">
        <f t="shared" si="102"/>
        <v>0</v>
      </c>
      <c r="I102" s="8" t="b">
        <f t="shared" si="102"/>
        <v>0</v>
      </c>
      <c r="J102" s="8" t="b">
        <f t="shared" si="102"/>
        <v>0</v>
      </c>
      <c r="K102" s="8" t="b">
        <f t="shared" si="102"/>
        <v>0</v>
      </c>
      <c r="L102" s="9" t="s">
        <v>559</v>
      </c>
      <c r="M102" s="9" t="b">
        <v>0</v>
      </c>
      <c r="N102" s="9" t="b">
        <v>0</v>
      </c>
      <c r="O102" s="9" t="b">
        <v>1</v>
      </c>
      <c r="P102" s="9" t="b">
        <v>0</v>
      </c>
      <c r="Q102" s="7" t="str">
        <f t="shared" si="3"/>
        <v>Huis van het Belgisch-Franse Verzet</v>
      </c>
      <c r="R102" s="10">
        <v>12.0</v>
      </c>
      <c r="S102" s="9" t="b">
        <v>0</v>
      </c>
      <c r="T102" s="9" t="b">
        <v>0</v>
      </c>
      <c r="U102" s="7"/>
    </row>
    <row r="103">
      <c r="A103" s="7" t="s">
        <v>248</v>
      </c>
      <c r="B103" s="7"/>
      <c r="C103" s="8" t="s">
        <v>240</v>
      </c>
      <c r="D103" s="7" t="s">
        <v>102</v>
      </c>
      <c r="E103" s="8" t="b">
        <f t="shared" ref="E103:K103" si="103">IF(IFERROR(SEARCH(E$1, $D103),0) &gt;= 1, TRUE,FALSE)</f>
        <v>0</v>
      </c>
      <c r="F103" s="8" t="b">
        <f t="shared" si="103"/>
        <v>0</v>
      </c>
      <c r="G103" s="8" t="b">
        <f t="shared" si="103"/>
        <v>0</v>
      </c>
      <c r="H103" s="8" t="b">
        <f t="shared" si="103"/>
        <v>0</v>
      </c>
      <c r="I103" s="8" t="b">
        <f t="shared" si="103"/>
        <v>0</v>
      </c>
      <c r="J103" s="8" t="b">
        <f t="shared" si="103"/>
        <v>0</v>
      </c>
      <c r="K103" s="8" t="b">
        <f t="shared" si="103"/>
        <v>0</v>
      </c>
      <c r="L103" s="9" t="s">
        <v>559</v>
      </c>
      <c r="M103" s="9" t="b">
        <v>0</v>
      </c>
      <c r="N103" s="9" t="b">
        <v>0</v>
      </c>
      <c r="O103" s="9" t="b">
        <v>1</v>
      </c>
      <c r="P103" s="9" t="b">
        <v>0</v>
      </c>
      <c r="Q103" s="7" t="str">
        <f t="shared" si="3"/>
        <v>KADOC-KU Leuven</v>
      </c>
      <c r="R103" s="10">
        <v>0.0</v>
      </c>
      <c r="S103" s="9" t="b">
        <v>0</v>
      </c>
      <c r="T103" s="9" t="b">
        <v>1</v>
      </c>
      <c r="U103" s="10">
        <v>0.0</v>
      </c>
    </row>
    <row r="104">
      <c r="A104" s="7" t="s">
        <v>249</v>
      </c>
      <c r="B104" s="7" t="s">
        <v>250</v>
      </c>
      <c r="C104" s="8" t="s">
        <v>240</v>
      </c>
      <c r="D104" s="7" t="s">
        <v>206</v>
      </c>
      <c r="E104" s="8" t="b">
        <f t="shared" ref="E104:K104" si="104">IF(IFERROR(SEARCH(E$1, $D104),0) &gt;= 1, TRUE,FALSE)</f>
        <v>0</v>
      </c>
      <c r="F104" s="8" t="b">
        <f t="shared" si="104"/>
        <v>0</v>
      </c>
      <c r="G104" s="8" t="b">
        <f t="shared" si="104"/>
        <v>0</v>
      </c>
      <c r="H104" s="8" t="b">
        <f t="shared" si="104"/>
        <v>0</v>
      </c>
      <c r="I104" s="8" t="b">
        <f t="shared" si="104"/>
        <v>1</v>
      </c>
      <c r="J104" s="8" t="b">
        <f t="shared" si="104"/>
        <v>0</v>
      </c>
      <c r="K104" s="8" t="b">
        <f t="shared" si="104"/>
        <v>0</v>
      </c>
      <c r="L104" s="9" t="s">
        <v>567</v>
      </c>
      <c r="M104" s="9" t="b">
        <v>1</v>
      </c>
      <c r="N104" s="9" t="b">
        <v>1</v>
      </c>
      <c r="O104" s="9" t="b">
        <v>1</v>
      </c>
      <c r="P104" s="9" t="b">
        <v>0</v>
      </c>
      <c r="Q104" s="7" t="str">
        <f t="shared" si="3"/>
        <v>Kasteel van Gaasbeek</v>
      </c>
      <c r="R104" s="10">
        <v>12.0</v>
      </c>
      <c r="S104" s="9" t="b">
        <v>0</v>
      </c>
      <c r="T104" s="9" t="b">
        <v>1</v>
      </c>
      <c r="U104" s="10">
        <v>12.0</v>
      </c>
    </row>
    <row r="105">
      <c r="A105" s="7" t="s">
        <v>251</v>
      </c>
      <c r="B105" s="7"/>
      <c r="C105" s="8" t="s">
        <v>240</v>
      </c>
      <c r="D105" s="7" t="s">
        <v>86</v>
      </c>
      <c r="E105" s="8" t="b">
        <f t="shared" ref="E105:K105" si="105">IF(IFERROR(SEARCH(E$1, $D105),0) &gt;= 1, TRUE,FALSE)</f>
        <v>0</v>
      </c>
      <c r="F105" s="8" t="b">
        <f t="shared" si="105"/>
        <v>0</v>
      </c>
      <c r="G105" s="8" t="b">
        <f t="shared" si="105"/>
        <v>0</v>
      </c>
      <c r="H105" s="8" t="b">
        <f t="shared" si="105"/>
        <v>0</v>
      </c>
      <c r="I105" s="8" t="b">
        <f t="shared" si="105"/>
        <v>0</v>
      </c>
      <c r="J105" s="8" t="b">
        <f t="shared" si="105"/>
        <v>0</v>
      </c>
      <c r="K105" s="8" t="b">
        <f t="shared" si="105"/>
        <v>0</v>
      </c>
      <c r="L105" s="9" t="s">
        <v>557</v>
      </c>
      <c r="M105" s="9" t="b">
        <v>1</v>
      </c>
      <c r="N105" s="9" t="b">
        <v>0</v>
      </c>
      <c r="O105" s="9" t="b">
        <v>0</v>
      </c>
      <c r="P105" s="9" t="b">
        <v>0</v>
      </c>
      <c r="Q105" s="7" t="str">
        <f t="shared" si="3"/>
        <v>M Leuven</v>
      </c>
      <c r="R105" s="10">
        <v>12.0</v>
      </c>
      <c r="S105" s="9" t="b">
        <v>0</v>
      </c>
      <c r="T105" s="9" t="b">
        <v>1</v>
      </c>
      <c r="U105" s="10">
        <v>12.0</v>
      </c>
    </row>
    <row r="106">
      <c r="A106" s="7" t="s">
        <v>252</v>
      </c>
      <c r="B106" s="7" t="s">
        <v>253</v>
      </c>
      <c r="C106" s="8" t="s">
        <v>240</v>
      </c>
      <c r="D106" s="7" t="s">
        <v>4</v>
      </c>
      <c r="E106" s="8" t="b">
        <f t="shared" ref="E106:K106" si="106">IF(IFERROR(SEARCH(E$1, $D106),0) &gt;= 1, TRUE,FALSE)</f>
        <v>0</v>
      </c>
      <c r="F106" s="8" t="b">
        <f t="shared" si="106"/>
        <v>0</v>
      </c>
      <c r="G106" s="8" t="b">
        <f t="shared" si="106"/>
        <v>0</v>
      </c>
      <c r="H106" s="8" t="b">
        <f t="shared" si="106"/>
        <v>0</v>
      </c>
      <c r="I106" s="8" t="b">
        <f t="shared" si="106"/>
        <v>0</v>
      </c>
      <c r="J106" s="8" t="b">
        <f t="shared" si="106"/>
        <v>0</v>
      </c>
      <c r="K106" s="8" t="b">
        <f t="shared" si="106"/>
        <v>0</v>
      </c>
      <c r="L106" s="9" t="s">
        <v>569</v>
      </c>
      <c r="M106" s="9" t="b">
        <v>1</v>
      </c>
      <c r="N106" s="9" t="b">
        <v>0</v>
      </c>
      <c r="O106" s="9" t="b">
        <v>1</v>
      </c>
      <c r="P106" s="9" t="b">
        <v>0</v>
      </c>
      <c r="Q106" s="7" t="str">
        <f t="shared" si="3"/>
        <v>Museum 44</v>
      </c>
      <c r="R106" s="10">
        <v>8.5</v>
      </c>
      <c r="S106" s="9" t="b">
        <v>0</v>
      </c>
      <c r="T106" s="9" t="b">
        <v>0</v>
      </c>
      <c r="U106" s="7"/>
    </row>
    <row r="107">
      <c r="A107" s="7" t="s">
        <v>254</v>
      </c>
      <c r="B107" s="7" t="s">
        <v>255</v>
      </c>
      <c r="C107" s="8" t="s">
        <v>240</v>
      </c>
      <c r="D107" s="7" t="s">
        <v>102</v>
      </c>
      <c r="E107" s="8" t="b">
        <f t="shared" ref="E107:K107" si="107">IF(IFERROR(SEARCH(E$1, $D107),0) &gt;= 1, TRUE,FALSE)</f>
        <v>0</v>
      </c>
      <c r="F107" s="8" t="b">
        <f t="shared" si="107"/>
        <v>0</v>
      </c>
      <c r="G107" s="8" t="b">
        <f t="shared" si="107"/>
        <v>0</v>
      </c>
      <c r="H107" s="8" t="b">
        <f t="shared" si="107"/>
        <v>0</v>
      </c>
      <c r="I107" s="8" t="b">
        <f t="shared" si="107"/>
        <v>0</v>
      </c>
      <c r="J107" s="8" t="b">
        <f t="shared" si="107"/>
        <v>0</v>
      </c>
      <c r="K107" s="8" t="b">
        <f t="shared" si="107"/>
        <v>0</v>
      </c>
      <c r="L107" s="7"/>
      <c r="M107" s="9" t="b">
        <v>0</v>
      </c>
      <c r="N107" s="9" t="b">
        <v>0</v>
      </c>
      <c r="O107" s="9" t="b">
        <v>0</v>
      </c>
      <c r="P107" s="9" t="b">
        <v>0</v>
      </c>
      <c r="Q107" s="7" t="str">
        <f t="shared" si="3"/>
        <v>Museum den AST</v>
      </c>
      <c r="R107" s="10">
        <v>5.0</v>
      </c>
      <c r="S107" s="9" t="b">
        <v>0</v>
      </c>
      <c r="T107" s="9" t="b">
        <v>1</v>
      </c>
      <c r="U107" s="10">
        <v>5.0</v>
      </c>
    </row>
    <row r="108">
      <c r="A108" s="7" t="s">
        <v>256</v>
      </c>
      <c r="B108" s="7" t="s">
        <v>575</v>
      </c>
      <c r="C108" s="8" t="s">
        <v>240</v>
      </c>
      <c r="D108" s="7" t="s">
        <v>258</v>
      </c>
      <c r="E108" s="8" t="b">
        <f t="shared" ref="E108:K108" si="108">IF(IFERROR(SEARCH(E$1, $D108),0) &gt;= 1, TRUE,FALSE)</f>
        <v>0</v>
      </c>
      <c r="F108" s="8" t="b">
        <f t="shared" si="108"/>
        <v>0</v>
      </c>
      <c r="G108" s="8" t="b">
        <f t="shared" si="108"/>
        <v>0</v>
      </c>
      <c r="H108" s="8" t="b">
        <f t="shared" si="108"/>
        <v>1</v>
      </c>
      <c r="I108" s="8" t="b">
        <f t="shared" si="108"/>
        <v>1</v>
      </c>
      <c r="J108" s="8" t="b">
        <f t="shared" si="108"/>
        <v>0</v>
      </c>
      <c r="K108" s="8" t="b">
        <f t="shared" si="108"/>
        <v>0</v>
      </c>
      <c r="L108" s="9" t="s">
        <v>570</v>
      </c>
      <c r="M108" s="9" t="b">
        <v>1</v>
      </c>
      <c r="N108" s="9" t="b">
        <v>1</v>
      </c>
      <c r="O108" s="9" t="b">
        <v>1</v>
      </c>
      <c r="P108" s="9" t="b">
        <v>1</v>
      </c>
      <c r="Q108" s="7" t="str">
        <f t="shared" si="3"/>
        <v>Museum PARCUM, Abdij van Park Leuven</v>
      </c>
      <c r="R108" s="10">
        <v>12.0</v>
      </c>
      <c r="S108" s="9" t="b">
        <v>0</v>
      </c>
      <c r="T108" s="9" t="b">
        <v>1</v>
      </c>
      <c r="U108" s="10">
        <v>12.0</v>
      </c>
    </row>
    <row r="109">
      <c r="A109" s="7" t="s">
        <v>259</v>
      </c>
      <c r="B109" s="7" t="s">
        <v>260</v>
      </c>
      <c r="C109" s="8" t="s">
        <v>240</v>
      </c>
      <c r="D109" s="7" t="s">
        <v>5</v>
      </c>
      <c r="E109" s="8" t="b">
        <f t="shared" ref="E109:K109" si="109">IF(IFERROR(SEARCH(E$1, $D109),0) &gt;= 1, TRUE,FALSE)</f>
        <v>0</v>
      </c>
      <c r="F109" s="8" t="b">
        <f t="shared" si="109"/>
        <v>0</v>
      </c>
      <c r="G109" s="8" t="b">
        <f t="shared" si="109"/>
        <v>0</v>
      </c>
      <c r="H109" s="8" t="b">
        <f t="shared" si="109"/>
        <v>0</v>
      </c>
      <c r="I109" s="8" t="b">
        <f t="shared" si="109"/>
        <v>0</v>
      </c>
      <c r="J109" s="8" t="b">
        <f t="shared" si="109"/>
        <v>0</v>
      </c>
      <c r="K109" s="8" t="b">
        <f t="shared" si="109"/>
        <v>0</v>
      </c>
      <c r="L109" s="9" t="s">
        <v>565</v>
      </c>
      <c r="M109" s="9" t="b">
        <v>1</v>
      </c>
      <c r="N109" s="9" t="b">
        <v>0</v>
      </c>
      <c r="O109" s="9" t="b">
        <v>1</v>
      </c>
      <c r="P109" s="9" t="b">
        <v>1</v>
      </c>
      <c r="Q109" s="7" t="str">
        <f t="shared" si="3"/>
        <v>Plantentuin Meise</v>
      </c>
      <c r="R109" s="10">
        <v>15.0</v>
      </c>
      <c r="S109" s="9" t="b">
        <v>0</v>
      </c>
      <c r="T109" s="9" t="b">
        <v>0</v>
      </c>
      <c r="U109" s="7"/>
    </row>
    <row r="110">
      <c r="A110" s="7" t="s">
        <v>261</v>
      </c>
      <c r="B110" s="7" t="s">
        <v>262</v>
      </c>
      <c r="C110" s="8" t="s">
        <v>240</v>
      </c>
      <c r="D110" s="7" t="s">
        <v>263</v>
      </c>
      <c r="E110" s="8" t="b">
        <f t="shared" ref="E110:K110" si="110">IF(IFERROR(SEARCH(E$1, $D110),0) &gt;= 1, TRUE,FALSE)</f>
        <v>0</v>
      </c>
      <c r="F110" s="8" t="b">
        <f t="shared" si="110"/>
        <v>0</v>
      </c>
      <c r="G110" s="8" t="b">
        <f t="shared" si="110"/>
        <v>0</v>
      </c>
      <c r="H110" s="8" t="b">
        <f t="shared" si="110"/>
        <v>0</v>
      </c>
      <c r="I110" s="8" t="b">
        <f t="shared" si="110"/>
        <v>0</v>
      </c>
      <c r="J110" s="8" t="b">
        <f t="shared" si="110"/>
        <v>0</v>
      </c>
      <c r="K110" s="8" t="b">
        <f t="shared" si="110"/>
        <v>0</v>
      </c>
      <c r="L110" s="7"/>
      <c r="M110" s="9" t="b">
        <v>0</v>
      </c>
      <c r="N110" s="9" t="b">
        <v>0</v>
      </c>
      <c r="O110" s="9" t="b">
        <v>0</v>
      </c>
      <c r="P110" s="9" t="b">
        <v>0</v>
      </c>
      <c r="Q110" s="7" t="str">
        <f t="shared" si="3"/>
        <v>Universiteitsbibliotheek KU Leuven</v>
      </c>
      <c r="R110" s="10">
        <v>0.0</v>
      </c>
      <c r="S110" s="9" t="b">
        <v>0</v>
      </c>
      <c r="T110" s="9" t="b">
        <v>0</v>
      </c>
      <c r="U110" s="7"/>
    </row>
    <row r="111">
      <c r="A111" s="7" t="s">
        <v>264</v>
      </c>
      <c r="B111" s="7" t="s">
        <v>265</v>
      </c>
      <c r="C111" s="8" t="s">
        <v>266</v>
      </c>
      <c r="D111" s="7" t="s">
        <v>5</v>
      </c>
      <c r="E111" s="8" t="b">
        <f t="shared" ref="E111:K111" si="111">IF(IFERROR(SEARCH(E$1, $D111),0) &gt;= 1, TRUE,FALSE)</f>
        <v>0</v>
      </c>
      <c r="F111" s="8" t="b">
        <f t="shared" si="111"/>
        <v>0</v>
      </c>
      <c r="G111" s="8" t="b">
        <f t="shared" si="111"/>
        <v>0</v>
      </c>
      <c r="H111" s="8" t="b">
        <f t="shared" si="111"/>
        <v>0</v>
      </c>
      <c r="I111" s="8" t="b">
        <f t="shared" si="111"/>
        <v>0</v>
      </c>
      <c r="J111" s="8" t="b">
        <f t="shared" si="111"/>
        <v>0</v>
      </c>
      <c r="K111" s="8" t="b">
        <f t="shared" si="111"/>
        <v>0</v>
      </c>
      <c r="L111" s="7"/>
      <c r="M111" s="9" t="b">
        <v>0</v>
      </c>
      <c r="N111" s="9" t="b">
        <v>0</v>
      </c>
      <c r="O111" s="9" t="b">
        <v>0</v>
      </c>
      <c r="P111" s="9" t="b">
        <v>0</v>
      </c>
      <c r="Q111" s="7" t="str">
        <f t="shared" si="3"/>
        <v>Apotheekmuseum</v>
      </c>
      <c r="R111" s="10">
        <v>6.0</v>
      </c>
      <c r="S111" s="9" t="b">
        <v>0</v>
      </c>
      <c r="T111" s="9" t="b">
        <v>0</v>
      </c>
      <c r="U111" s="7"/>
    </row>
    <row r="112">
      <c r="A112" s="7" t="s">
        <v>267</v>
      </c>
      <c r="B112" s="7"/>
      <c r="C112" s="8" t="s">
        <v>266</v>
      </c>
      <c r="D112" s="7" t="s">
        <v>206</v>
      </c>
      <c r="E112" s="8" t="b">
        <f t="shared" ref="E112:K112" si="112">IF(IFERROR(SEARCH(E$1, $D112),0) &gt;= 1, TRUE,FALSE)</f>
        <v>0</v>
      </c>
      <c r="F112" s="8" t="b">
        <f t="shared" si="112"/>
        <v>0</v>
      </c>
      <c r="G112" s="8" t="b">
        <f t="shared" si="112"/>
        <v>0</v>
      </c>
      <c r="H112" s="8" t="b">
        <f t="shared" si="112"/>
        <v>0</v>
      </c>
      <c r="I112" s="8" t="b">
        <f t="shared" si="112"/>
        <v>1</v>
      </c>
      <c r="J112" s="8" t="b">
        <f t="shared" si="112"/>
        <v>0</v>
      </c>
      <c r="K112" s="8" t="b">
        <f t="shared" si="112"/>
        <v>0</v>
      </c>
      <c r="L112" s="9" t="s">
        <v>570</v>
      </c>
      <c r="M112" s="9" t="b">
        <v>1</v>
      </c>
      <c r="N112" s="9" t="b">
        <v>1</v>
      </c>
      <c r="O112" s="9" t="b">
        <v>1</v>
      </c>
      <c r="P112" s="9" t="b">
        <v>1</v>
      </c>
      <c r="Q112" s="7" t="str">
        <f t="shared" si="3"/>
        <v>C-mine</v>
      </c>
      <c r="R112" s="10">
        <v>14.0</v>
      </c>
      <c r="S112" s="9" t="b">
        <v>0</v>
      </c>
      <c r="T112" s="9" t="b">
        <v>1</v>
      </c>
      <c r="U112" s="10">
        <v>14.0</v>
      </c>
    </row>
    <row r="113">
      <c r="A113" s="7" t="s">
        <v>268</v>
      </c>
      <c r="B113" s="7" t="s">
        <v>576</v>
      </c>
      <c r="C113" s="8" t="s">
        <v>266</v>
      </c>
      <c r="D113" s="7" t="s">
        <v>270</v>
      </c>
      <c r="E113" s="8" t="b">
        <f t="shared" ref="E113:K113" si="113">IF(IFERROR(SEARCH(E$1, $D113),0) &gt;= 1, TRUE,FALSE)</f>
        <v>0</v>
      </c>
      <c r="F113" s="8" t="b">
        <f t="shared" si="113"/>
        <v>0</v>
      </c>
      <c r="G113" s="8" t="b">
        <f t="shared" si="113"/>
        <v>0</v>
      </c>
      <c r="H113" s="8" t="b">
        <f t="shared" si="113"/>
        <v>1</v>
      </c>
      <c r="I113" s="8" t="b">
        <f t="shared" si="113"/>
        <v>0</v>
      </c>
      <c r="J113" s="8" t="b">
        <f t="shared" si="113"/>
        <v>0</v>
      </c>
      <c r="K113" s="8" t="b">
        <f t="shared" si="113"/>
        <v>0</v>
      </c>
      <c r="L113" s="9" t="s">
        <v>557</v>
      </c>
      <c r="M113" s="9" t="b">
        <v>1</v>
      </c>
      <c r="N113" s="9" t="b">
        <v>0</v>
      </c>
      <c r="O113" s="9" t="b">
        <v>0</v>
      </c>
      <c r="P113" s="9" t="b">
        <v>0</v>
      </c>
      <c r="Q113" s="7" t="str">
        <f t="shared" si="3"/>
        <v>DE MINDERE</v>
      </c>
      <c r="R113" s="10">
        <v>0.0</v>
      </c>
      <c r="S113" s="9" t="b">
        <v>0</v>
      </c>
      <c r="T113" s="9" t="b">
        <v>1</v>
      </c>
      <c r="U113" s="10">
        <v>0.0</v>
      </c>
    </row>
    <row r="114">
      <c r="A114" s="7" t="s">
        <v>271</v>
      </c>
      <c r="B114" s="7"/>
      <c r="C114" s="8" t="s">
        <v>266</v>
      </c>
      <c r="D114" s="7" t="s">
        <v>206</v>
      </c>
      <c r="E114" s="8" t="b">
        <f t="shared" ref="E114:K114" si="114">IF(IFERROR(SEARCH(E$1, $D114),0) &gt;= 1, TRUE,FALSE)</f>
        <v>0</v>
      </c>
      <c r="F114" s="8" t="b">
        <f t="shared" si="114"/>
        <v>0</v>
      </c>
      <c r="G114" s="8" t="b">
        <f t="shared" si="114"/>
        <v>0</v>
      </c>
      <c r="H114" s="8" t="b">
        <f t="shared" si="114"/>
        <v>0</v>
      </c>
      <c r="I114" s="8" t="b">
        <f t="shared" si="114"/>
        <v>1</v>
      </c>
      <c r="J114" s="8" t="b">
        <f t="shared" si="114"/>
        <v>0</v>
      </c>
      <c r="K114" s="8" t="b">
        <f t="shared" si="114"/>
        <v>0</v>
      </c>
      <c r="L114" s="9" t="s">
        <v>572</v>
      </c>
      <c r="M114" s="9" t="b">
        <v>1</v>
      </c>
      <c r="N114" s="9" t="b">
        <v>1</v>
      </c>
      <c r="O114" s="9" t="b">
        <v>0</v>
      </c>
      <c r="P114" s="9" t="b">
        <v>1</v>
      </c>
      <c r="Q114" s="7" t="str">
        <f t="shared" si="3"/>
        <v>Duitse Orde Museum (DOMUS) Alden Biesen</v>
      </c>
      <c r="R114" s="10">
        <v>8.0</v>
      </c>
      <c r="S114" s="9" t="b">
        <v>0</v>
      </c>
      <c r="T114" s="9" t="b">
        <v>1</v>
      </c>
      <c r="U114" s="10">
        <v>8.0</v>
      </c>
    </row>
    <row r="115">
      <c r="A115" s="7" t="s">
        <v>272</v>
      </c>
      <c r="B115" s="7" t="s">
        <v>273</v>
      </c>
      <c r="C115" s="8" t="s">
        <v>266</v>
      </c>
      <c r="D115" s="7" t="s">
        <v>4</v>
      </c>
      <c r="E115" s="8" t="b">
        <f t="shared" ref="E115:K115" si="115">IF(IFERROR(SEARCH(E$1, $D115),0) &gt;= 1, TRUE,FALSE)</f>
        <v>0</v>
      </c>
      <c r="F115" s="8" t="b">
        <f t="shared" si="115"/>
        <v>0</v>
      </c>
      <c r="G115" s="8" t="b">
        <f t="shared" si="115"/>
        <v>0</v>
      </c>
      <c r="H115" s="8" t="b">
        <f t="shared" si="115"/>
        <v>0</v>
      </c>
      <c r="I115" s="8" t="b">
        <f t="shared" si="115"/>
        <v>0</v>
      </c>
      <c r="J115" s="8" t="b">
        <f t="shared" si="115"/>
        <v>0</v>
      </c>
      <c r="K115" s="8" t="b">
        <f t="shared" si="115"/>
        <v>0</v>
      </c>
      <c r="L115" s="9" t="s">
        <v>565</v>
      </c>
      <c r="M115" s="9" t="b">
        <v>1</v>
      </c>
      <c r="N115" s="9" t="b">
        <v>0</v>
      </c>
      <c r="O115" s="9" t="b">
        <v>1</v>
      </c>
      <c r="P115" s="9" t="b">
        <v>1</v>
      </c>
      <c r="Q115" s="7" t="str">
        <f t="shared" si="3"/>
        <v>Gallo-Romeins Museum</v>
      </c>
      <c r="R115" s="10">
        <v>8.0</v>
      </c>
      <c r="S115" s="9" t="b">
        <v>0</v>
      </c>
      <c r="T115" s="9" t="b">
        <v>1</v>
      </c>
      <c r="U115" s="10">
        <v>13.0</v>
      </c>
    </row>
    <row r="116">
      <c r="A116" s="7" t="s">
        <v>274</v>
      </c>
      <c r="B116" s="7"/>
      <c r="C116" s="8" t="s">
        <v>266</v>
      </c>
      <c r="D116" s="7" t="s">
        <v>75</v>
      </c>
      <c r="E116" s="8" t="b">
        <f t="shared" ref="E116:K116" si="116">IF(IFERROR(SEARCH(E$1, $D116),0) &gt;= 1, TRUE,FALSE)</f>
        <v>0</v>
      </c>
      <c r="F116" s="8" t="b">
        <f t="shared" si="116"/>
        <v>0</v>
      </c>
      <c r="G116" s="8" t="b">
        <f t="shared" si="116"/>
        <v>0</v>
      </c>
      <c r="H116" s="8" t="b">
        <f t="shared" si="116"/>
        <v>0</v>
      </c>
      <c r="I116" s="8" t="b">
        <f t="shared" si="116"/>
        <v>1</v>
      </c>
      <c r="J116" s="8" t="b">
        <f t="shared" si="116"/>
        <v>0</v>
      </c>
      <c r="K116" s="8" t="b">
        <f t="shared" si="116"/>
        <v>0</v>
      </c>
      <c r="L116" s="9" t="s">
        <v>557</v>
      </c>
      <c r="M116" s="9" t="b">
        <v>1</v>
      </c>
      <c r="N116" s="9" t="b">
        <v>0</v>
      </c>
      <c r="O116" s="9" t="b">
        <v>0</v>
      </c>
      <c r="P116" s="9" t="b">
        <v>0</v>
      </c>
      <c r="Q116" s="7" t="str">
        <f t="shared" si="3"/>
        <v>GlazenHuis</v>
      </c>
      <c r="R116" s="10">
        <v>5.0</v>
      </c>
      <c r="S116" s="9" t="b">
        <v>1</v>
      </c>
      <c r="T116" s="9" t="b">
        <v>0</v>
      </c>
      <c r="U116" s="7"/>
    </row>
    <row r="117">
      <c r="A117" s="7" t="s">
        <v>275</v>
      </c>
      <c r="B117" s="7" t="s">
        <v>276</v>
      </c>
      <c r="C117" s="8" t="s">
        <v>266</v>
      </c>
      <c r="D117" s="7" t="s">
        <v>102</v>
      </c>
      <c r="E117" s="8" t="b">
        <f t="shared" ref="E117:K117" si="117">IF(IFERROR(SEARCH(E$1, $D117),0) &gt;= 1, TRUE,FALSE)</f>
        <v>0</v>
      </c>
      <c r="F117" s="8" t="b">
        <f t="shared" si="117"/>
        <v>0</v>
      </c>
      <c r="G117" s="8" t="b">
        <f t="shared" si="117"/>
        <v>0</v>
      </c>
      <c r="H117" s="8" t="b">
        <f t="shared" si="117"/>
        <v>0</v>
      </c>
      <c r="I117" s="8" t="b">
        <f t="shared" si="117"/>
        <v>0</v>
      </c>
      <c r="J117" s="8" t="b">
        <f t="shared" si="117"/>
        <v>0</v>
      </c>
      <c r="K117" s="8" t="b">
        <f t="shared" si="117"/>
        <v>0</v>
      </c>
      <c r="L117" s="9" t="s">
        <v>557</v>
      </c>
      <c r="M117" s="9" t="b">
        <v>1</v>
      </c>
      <c r="N117" s="9" t="b">
        <v>0</v>
      </c>
      <c r="O117" s="9" t="b">
        <v>0</v>
      </c>
      <c r="P117" s="9" t="b">
        <v>0</v>
      </c>
      <c r="Q117" s="7" t="str">
        <f t="shared" si="3"/>
        <v>Het Stadsmus Hasselt</v>
      </c>
      <c r="R117" s="10">
        <v>0.0</v>
      </c>
      <c r="S117" s="9" t="b">
        <v>0</v>
      </c>
      <c r="T117" s="9" t="b">
        <v>0</v>
      </c>
      <c r="U117" s="7"/>
    </row>
    <row r="118">
      <c r="A118" s="7" t="s">
        <v>277</v>
      </c>
      <c r="B118" s="7" t="s">
        <v>278</v>
      </c>
      <c r="C118" s="8" t="s">
        <v>266</v>
      </c>
      <c r="D118" s="7" t="s">
        <v>114</v>
      </c>
      <c r="E118" s="8" t="b">
        <f t="shared" ref="E118:K118" si="118">IF(IFERROR(SEARCH(E$1, $D118),0) &gt;= 1, TRUE,FALSE)</f>
        <v>0</v>
      </c>
      <c r="F118" s="8" t="b">
        <f t="shared" si="118"/>
        <v>0</v>
      </c>
      <c r="G118" s="8" t="b">
        <f t="shared" si="118"/>
        <v>0</v>
      </c>
      <c r="H118" s="8" t="b">
        <f t="shared" si="118"/>
        <v>0</v>
      </c>
      <c r="I118" s="8" t="b">
        <f t="shared" si="118"/>
        <v>0</v>
      </c>
      <c r="J118" s="8" t="b">
        <f t="shared" si="118"/>
        <v>0</v>
      </c>
      <c r="K118" s="8" t="b">
        <f t="shared" si="118"/>
        <v>0</v>
      </c>
      <c r="L118" s="9" t="s">
        <v>568</v>
      </c>
      <c r="M118" s="9" t="b">
        <v>1</v>
      </c>
      <c r="N118" s="9" t="b">
        <v>0</v>
      </c>
      <c r="O118" s="9" t="b">
        <v>0</v>
      </c>
      <c r="P118" s="9" t="b">
        <v>1</v>
      </c>
      <c r="Q118" s="7" t="str">
        <f t="shared" si="3"/>
        <v>Jenevermuseum</v>
      </c>
      <c r="R118" s="10">
        <v>7.0</v>
      </c>
      <c r="S118" s="9" t="b">
        <v>0</v>
      </c>
      <c r="T118" s="9" t="b">
        <v>1</v>
      </c>
      <c r="U118" s="10">
        <v>7.0</v>
      </c>
    </row>
    <row r="119">
      <c r="A119" s="7" t="s">
        <v>279</v>
      </c>
      <c r="B119" s="7"/>
      <c r="C119" s="8" t="s">
        <v>266</v>
      </c>
      <c r="D119" s="7" t="s">
        <v>280</v>
      </c>
      <c r="E119" s="8" t="b">
        <f t="shared" ref="E119:K119" si="119">IF(IFERROR(SEARCH(E$1, $D119),0) &gt;= 1, TRUE,FALSE)</f>
        <v>0</v>
      </c>
      <c r="F119" s="8" t="b">
        <f t="shared" si="119"/>
        <v>0</v>
      </c>
      <c r="G119" s="8" t="b">
        <f t="shared" si="119"/>
        <v>0</v>
      </c>
      <c r="H119" s="8" t="b">
        <f t="shared" si="119"/>
        <v>0</v>
      </c>
      <c r="I119" s="8" t="b">
        <f t="shared" si="119"/>
        <v>1</v>
      </c>
      <c r="J119" s="8" t="b">
        <f t="shared" si="119"/>
        <v>0</v>
      </c>
      <c r="K119" s="8" t="b">
        <f t="shared" si="119"/>
        <v>0</v>
      </c>
      <c r="L119" s="9" t="s">
        <v>566</v>
      </c>
      <c r="M119" s="9" t="b">
        <v>1</v>
      </c>
      <c r="N119" s="9" t="b">
        <v>1</v>
      </c>
      <c r="O119" s="9" t="b">
        <v>0</v>
      </c>
      <c r="P119" s="9" t="b">
        <v>0</v>
      </c>
      <c r="Q119" s="7" t="str">
        <f t="shared" si="3"/>
        <v>LABIOMISTA</v>
      </c>
      <c r="R119" s="10">
        <v>14.0</v>
      </c>
      <c r="S119" s="9" t="b">
        <v>1</v>
      </c>
      <c r="T119" s="9" t="b">
        <v>0</v>
      </c>
      <c r="U119" s="7"/>
    </row>
    <row r="120">
      <c r="A120" s="7" t="s">
        <v>281</v>
      </c>
      <c r="B120" s="7"/>
      <c r="C120" s="8" t="s">
        <v>266</v>
      </c>
      <c r="D120" s="7" t="s">
        <v>4</v>
      </c>
      <c r="E120" s="8" t="b">
        <f t="shared" ref="E120:K120" si="120">IF(IFERROR(SEARCH(E$1, $D120),0) &gt;= 1, TRUE,FALSE)</f>
        <v>0</v>
      </c>
      <c r="F120" s="8" t="b">
        <f t="shared" si="120"/>
        <v>0</v>
      </c>
      <c r="G120" s="8" t="b">
        <f t="shared" si="120"/>
        <v>0</v>
      </c>
      <c r="H120" s="8" t="b">
        <f t="shared" si="120"/>
        <v>0</v>
      </c>
      <c r="I120" s="8" t="b">
        <f t="shared" si="120"/>
        <v>0</v>
      </c>
      <c r="J120" s="8" t="b">
        <f t="shared" si="120"/>
        <v>0</v>
      </c>
      <c r="K120" s="8" t="b">
        <f t="shared" si="120"/>
        <v>0</v>
      </c>
      <c r="L120" s="9" t="s">
        <v>572</v>
      </c>
      <c r="M120" s="9" t="b">
        <v>1</v>
      </c>
      <c r="N120" s="9" t="b">
        <v>1</v>
      </c>
      <c r="O120" s="9" t="b">
        <v>0</v>
      </c>
      <c r="P120" s="9" t="b">
        <v>1</v>
      </c>
      <c r="Q120" s="7" t="str">
        <f t="shared" si="3"/>
        <v>Liberation Garden Leopoldsburg</v>
      </c>
      <c r="R120" s="10">
        <v>15.0</v>
      </c>
      <c r="S120" s="9" t="b">
        <v>0</v>
      </c>
      <c r="T120" s="9" t="b">
        <v>0</v>
      </c>
      <c r="U120" s="7"/>
    </row>
    <row r="121">
      <c r="A121" s="7" t="s">
        <v>282</v>
      </c>
      <c r="B121" s="7" t="s">
        <v>283</v>
      </c>
      <c r="C121" s="8" t="s">
        <v>266</v>
      </c>
      <c r="D121" s="7" t="s">
        <v>6</v>
      </c>
      <c r="E121" s="8" t="b">
        <f t="shared" ref="E121:K121" si="121">IF(IFERROR(SEARCH(E$1, $D121),0) &gt;= 1, TRUE,FALSE)</f>
        <v>0</v>
      </c>
      <c r="F121" s="8" t="b">
        <f t="shared" si="121"/>
        <v>0</v>
      </c>
      <c r="G121" s="8" t="b">
        <f t="shared" si="121"/>
        <v>1</v>
      </c>
      <c r="H121" s="8" t="b">
        <f t="shared" si="121"/>
        <v>0</v>
      </c>
      <c r="I121" s="8" t="b">
        <f t="shared" si="121"/>
        <v>0</v>
      </c>
      <c r="J121" s="8" t="b">
        <f t="shared" si="121"/>
        <v>0</v>
      </c>
      <c r="K121" s="8" t="b">
        <f t="shared" si="121"/>
        <v>0</v>
      </c>
      <c r="L121" s="9" t="s">
        <v>557</v>
      </c>
      <c r="M121" s="9" t="b">
        <v>1</v>
      </c>
      <c r="N121" s="9" t="b">
        <v>0</v>
      </c>
      <c r="O121" s="9" t="b">
        <v>0</v>
      </c>
      <c r="P121" s="9" t="b">
        <v>0</v>
      </c>
      <c r="Q121" s="7" t="str">
        <f t="shared" si="3"/>
        <v>Modemuseum Hasselt</v>
      </c>
      <c r="R121" s="10">
        <v>8.0</v>
      </c>
      <c r="S121" s="9" t="b">
        <v>0</v>
      </c>
      <c r="T121" s="9" t="b">
        <v>1</v>
      </c>
      <c r="U121" s="10">
        <v>8.0</v>
      </c>
    </row>
    <row r="122">
      <c r="A122" s="7" t="s">
        <v>284</v>
      </c>
      <c r="B122" s="7" t="s">
        <v>285</v>
      </c>
      <c r="C122" s="8" t="s">
        <v>266</v>
      </c>
      <c r="D122" s="7" t="s">
        <v>4</v>
      </c>
      <c r="E122" s="8" t="b">
        <f t="shared" ref="E122:K122" si="122">IF(IFERROR(SEARCH(E$1, $D122),0) &gt;= 1, TRUE,FALSE)</f>
        <v>0</v>
      </c>
      <c r="F122" s="8" t="b">
        <f t="shared" si="122"/>
        <v>0</v>
      </c>
      <c r="G122" s="8" t="b">
        <f t="shared" si="122"/>
        <v>0</v>
      </c>
      <c r="H122" s="8" t="b">
        <f t="shared" si="122"/>
        <v>0</v>
      </c>
      <c r="I122" s="8" t="b">
        <f t="shared" si="122"/>
        <v>0</v>
      </c>
      <c r="J122" s="8" t="b">
        <f t="shared" si="122"/>
        <v>0</v>
      </c>
      <c r="K122" s="8" t="b">
        <f t="shared" si="122"/>
        <v>0</v>
      </c>
      <c r="L122" s="9" t="s">
        <v>570</v>
      </c>
      <c r="M122" s="9" t="b">
        <v>1</v>
      </c>
      <c r="N122" s="9" t="b">
        <v>1</v>
      </c>
      <c r="O122" s="9" t="b">
        <v>1</v>
      </c>
      <c r="P122" s="9" t="b">
        <v>1</v>
      </c>
      <c r="Q122" s="7" t="str">
        <f t="shared" si="3"/>
        <v>Openluchtmuseum Bokrijk</v>
      </c>
      <c r="R122" s="10">
        <v>16.0</v>
      </c>
      <c r="S122" s="9" t="b">
        <v>1</v>
      </c>
      <c r="T122" s="9" t="b">
        <v>0</v>
      </c>
      <c r="U122" s="7"/>
    </row>
    <row r="123">
      <c r="A123" s="7" t="s">
        <v>286</v>
      </c>
      <c r="B123" s="7" t="s">
        <v>287</v>
      </c>
      <c r="C123" s="8" t="s">
        <v>266</v>
      </c>
      <c r="D123" s="7" t="s">
        <v>4</v>
      </c>
      <c r="E123" s="8" t="b">
        <f t="shared" ref="E123:K123" si="123">IF(IFERROR(SEARCH(E$1, $D123),0) &gt;= 1, TRUE,FALSE)</f>
        <v>0</v>
      </c>
      <c r="F123" s="8" t="b">
        <f t="shared" si="123"/>
        <v>0</v>
      </c>
      <c r="G123" s="8" t="b">
        <f t="shared" si="123"/>
        <v>0</v>
      </c>
      <c r="H123" s="8" t="b">
        <f t="shared" si="123"/>
        <v>0</v>
      </c>
      <c r="I123" s="8" t="b">
        <f t="shared" si="123"/>
        <v>0</v>
      </c>
      <c r="J123" s="8" t="b">
        <f t="shared" si="123"/>
        <v>0</v>
      </c>
      <c r="K123" s="8" t="b">
        <f t="shared" si="123"/>
        <v>0</v>
      </c>
      <c r="L123" s="9" t="s">
        <v>557</v>
      </c>
      <c r="M123" s="9" t="b">
        <v>1</v>
      </c>
      <c r="N123" s="9" t="b">
        <v>0</v>
      </c>
      <c r="O123" s="9" t="b">
        <v>0</v>
      </c>
      <c r="P123" s="9" t="b">
        <v>0</v>
      </c>
      <c r="Q123" s="7" t="str">
        <f t="shared" si="3"/>
        <v>RAM | Regionaal Archeologisch Museum</v>
      </c>
      <c r="R123" s="14">
        <v>6.0</v>
      </c>
      <c r="S123" s="9" t="b">
        <v>0</v>
      </c>
      <c r="T123" s="9" t="b">
        <v>0</v>
      </c>
      <c r="U123" s="7"/>
    </row>
    <row r="124">
      <c r="A124" s="7" t="s">
        <v>288</v>
      </c>
      <c r="B124" s="7" t="s">
        <v>289</v>
      </c>
      <c r="C124" s="8" t="s">
        <v>266</v>
      </c>
      <c r="D124" s="7" t="s">
        <v>9</v>
      </c>
      <c r="E124" s="8" t="b">
        <f t="shared" ref="E124:K124" si="124">IF(IFERROR(SEARCH(E$1, $D124),0) &gt;= 1, TRUE,FALSE)</f>
        <v>0</v>
      </c>
      <c r="F124" s="8" t="b">
        <f t="shared" si="124"/>
        <v>0</v>
      </c>
      <c r="G124" s="8" t="b">
        <f t="shared" si="124"/>
        <v>0</v>
      </c>
      <c r="H124" s="8" t="b">
        <f t="shared" si="124"/>
        <v>0</v>
      </c>
      <c r="I124" s="8" t="b">
        <f t="shared" si="124"/>
        <v>0</v>
      </c>
      <c r="J124" s="8" t="b">
        <f t="shared" si="124"/>
        <v>0</v>
      </c>
      <c r="K124" s="8" t="b">
        <f t="shared" si="124"/>
        <v>0</v>
      </c>
      <c r="L124" s="7"/>
      <c r="M124" s="9" t="b">
        <v>0</v>
      </c>
      <c r="N124" s="9" t="b">
        <v>0</v>
      </c>
      <c r="O124" s="9" t="b">
        <v>0</v>
      </c>
      <c r="P124" s="9" t="b">
        <v>0</v>
      </c>
      <c r="Q124" s="7" t="str">
        <f t="shared" si="3"/>
        <v>Schatkamer van Sint-Catharina</v>
      </c>
      <c r="R124" s="10">
        <v>6.0</v>
      </c>
      <c r="S124" s="9" t="b">
        <v>0</v>
      </c>
      <c r="T124" s="9" t="b">
        <v>0</v>
      </c>
      <c r="U124" s="7"/>
    </row>
    <row r="125">
      <c r="A125" s="7" t="s">
        <v>290</v>
      </c>
      <c r="B125" s="7" t="s">
        <v>291</v>
      </c>
      <c r="C125" s="8" t="s">
        <v>266</v>
      </c>
      <c r="D125" s="7" t="s">
        <v>292</v>
      </c>
      <c r="E125" s="8" t="b">
        <f t="shared" ref="E125:K125" si="125">IF(IFERROR(SEARCH(E$1, $D125),0) &gt;= 1, TRUE,FALSE)</f>
        <v>0</v>
      </c>
      <c r="F125" s="8" t="b">
        <f t="shared" si="125"/>
        <v>0</v>
      </c>
      <c r="G125" s="8" t="b">
        <f t="shared" si="125"/>
        <v>0</v>
      </c>
      <c r="H125" s="8" t="b">
        <f t="shared" si="125"/>
        <v>0</v>
      </c>
      <c r="I125" s="8" t="b">
        <f t="shared" si="125"/>
        <v>1</v>
      </c>
      <c r="J125" s="8" t="b">
        <f t="shared" si="125"/>
        <v>0</v>
      </c>
      <c r="K125" s="8" t="b">
        <f t="shared" si="125"/>
        <v>0</v>
      </c>
      <c r="L125" s="9" t="s">
        <v>565</v>
      </c>
      <c r="M125" s="9" t="b">
        <v>1</v>
      </c>
      <c r="N125" s="9" t="b">
        <v>0</v>
      </c>
      <c r="O125" s="9" t="b">
        <v>1</v>
      </c>
      <c r="P125" s="9" t="b">
        <v>1</v>
      </c>
      <c r="Q125" s="7" t="str">
        <f t="shared" si="3"/>
        <v>Z33 | Huis voor Actuele Kunst, Design &amp; Architectuur</v>
      </c>
      <c r="R125" s="10">
        <v>12.0</v>
      </c>
      <c r="S125" s="9" t="b">
        <v>0</v>
      </c>
      <c r="T125" s="9" t="b">
        <v>1</v>
      </c>
      <c r="U125" s="10">
        <v>12.0</v>
      </c>
    </row>
    <row r="126">
      <c r="A126" s="7" t="s">
        <v>293</v>
      </c>
      <c r="B126" s="7" t="s">
        <v>294</v>
      </c>
      <c r="C126" s="8" t="s">
        <v>295</v>
      </c>
      <c r="D126" s="7" t="s">
        <v>4</v>
      </c>
      <c r="E126" s="8" t="b">
        <f t="shared" ref="E126:K126" si="126">IF(IFERROR(SEARCH(E$1, $D126),0) &gt;= 1, TRUE,FALSE)</f>
        <v>0</v>
      </c>
      <c r="F126" s="8" t="b">
        <f t="shared" si="126"/>
        <v>0</v>
      </c>
      <c r="G126" s="8" t="b">
        <f t="shared" si="126"/>
        <v>0</v>
      </c>
      <c r="H126" s="8" t="b">
        <f t="shared" si="126"/>
        <v>0</v>
      </c>
      <c r="I126" s="8" t="b">
        <f t="shared" si="126"/>
        <v>0</v>
      </c>
      <c r="J126" s="8" t="b">
        <f t="shared" si="126"/>
        <v>0</v>
      </c>
      <c r="K126" s="8" t="b">
        <f t="shared" si="126"/>
        <v>0</v>
      </c>
      <c r="L126" s="9" t="s">
        <v>570</v>
      </c>
      <c r="M126" s="9" t="b">
        <v>1</v>
      </c>
      <c r="N126" s="9" t="b">
        <v>1</v>
      </c>
      <c r="O126" s="9" t="b">
        <v>1</v>
      </c>
      <c r="P126" s="9" t="b">
        <v>1</v>
      </c>
      <c r="Q126" s="7" t="str">
        <f t="shared" si="3"/>
        <v>Abdij van Stavelot</v>
      </c>
      <c r="R126" s="10">
        <v>11.0</v>
      </c>
      <c r="S126" s="9" t="b">
        <v>0</v>
      </c>
      <c r="T126" s="9" t="b">
        <v>1</v>
      </c>
      <c r="U126" s="10">
        <v>19.0</v>
      </c>
    </row>
    <row r="127">
      <c r="A127" s="7" t="s">
        <v>296</v>
      </c>
      <c r="B127" s="7" t="s">
        <v>297</v>
      </c>
      <c r="C127" s="8" t="s">
        <v>295</v>
      </c>
      <c r="D127" s="7" t="s">
        <v>5</v>
      </c>
      <c r="E127" s="8" t="b">
        <f t="shared" ref="E127:K127" si="127">IF(IFERROR(SEARCH(E$1, $D127),0) &gt;= 1, TRUE,FALSE)</f>
        <v>0</v>
      </c>
      <c r="F127" s="8" t="b">
        <f t="shared" si="127"/>
        <v>0</v>
      </c>
      <c r="G127" s="8" t="b">
        <f t="shared" si="127"/>
        <v>0</v>
      </c>
      <c r="H127" s="8" t="b">
        <f t="shared" si="127"/>
        <v>0</v>
      </c>
      <c r="I127" s="8" t="b">
        <f t="shared" si="127"/>
        <v>0</v>
      </c>
      <c r="J127" s="8" t="b">
        <f t="shared" si="127"/>
        <v>0</v>
      </c>
      <c r="K127" s="8" t="b">
        <f t="shared" si="127"/>
        <v>0</v>
      </c>
      <c r="L127" s="9" t="s">
        <v>567</v>
      </c>
      <c r="M127" s="9" t="b">
        <v>1</v>
      </c>
      <c r="N127" s="9" t="b">
        <v>1</v>
      </c>
      <c r="O127" s="9" t="b">
        <v>1</v>
      </c>
      <c r="P127" s="9" t="b">
        <v>0</v>
      </c>
      <c r="Q127" s="7" t="str">
        <f t="shared" si="3"/>
        <v>Aquarium-Museum van Luik</v>
      </c>
      <c r="R127" s="10">
        <v>7.5</v>
      </c>
      <c r="S127" s="9" t="b">
        <v>1</v>
      </c>
      <c r="T127" s="9" t="b">
        <v>0</v>
      </c>
      <c r="U127" s="7"/>
    </row>
    <row r="128">
      <c r="A128" s="7" t="s">
        <v>298</v>
      </c>
      <c r="B128" s="7" t="s">
        <v>299</v>
      </c>
      <c r="C128" s="8" t="s">
        <v>295</v>
      </c>
      <c r="D128" s="7" t="s">
        <v>4</v>
      </c>
      <c r="E128" s="8" t="b">
        <f t="shared" ref="E128:K128" si="128">IF(IFERROR(SEARCH(E$1, $D128),0) &gt;= 1, TRUE,FALSE)</f>
        <v>0</v>
      </c>
      <c r="F128" s="8" t="b">
        <f t="shared" si="128"/>
        <v>0</v>
      </c>
      <c r="G128" s="8" t="b">
        <f t="shared" si="128"/>
        <v>0</v>
      </c>
      <c r="H128" s="8" t="b">
        <f t="shared" si="128"/>
        <v>0</v>
      </c>
      <c r="I128" s="8" t="b">
        <f t="shared" si="128"/>
        <v>0</v>
      </c>
      <c r="J128" s="8" t="b">
        <f t="shared" si="128"/>
        <v>0</v>
      </c>
      <c r="K128" s="8" t="b">
        <f t="shared" si="128"/>
        <v>0</v>
      </c>
      <c r="L128" s="9" t="s">
        <v>557</v>
      </c>
      <c r="M128" s="9" t="b">
        <v>1</v>
      </c>
      <c r="N128" s="9" t="b">
        <v>0</v>
      </c>
      <c r="O128" s="9" t="b">
        <v>0</v>
      </c>
      <c r="P128" s="9" t="b">
        <v>0</v>
      </c>
      <c r="Q128" s="7" t="str">
        <f t="shared" si="3"/>
        <v>Archeoforum van Luik</v>
      </c>
      <c r="R128" s="10">
        <v>6.0</v>
      </c>
      <c r="S128" s="9" t="b">
        <v>0</v>
      </c>
      <c r="T128" s="9" t="b">
        <v>0</v>
      </c>
      <c r="U128" s="7"/>
    </row>
    <row r="129">
      <c r="A129" s="7"/>
      <c r="B129" s="7" t="s">
        <v>300</v>
      </c>
      <c r="C129" s="8" t="s">
        <v>295</v>
      </c>
      <c r="D129" s="7" t="s">
        <v>102</v>
      </c>
      <c r="E129" s="8" t="b">
        <f t="shared" ref="E129:K129" si="129">IF(IFERROR(SEARCH(E$1, $D129),0) &gt;= 1, TRUE,FALSE)</f>
        <v>0</v>
      </c>
      <c r="F129" s="8" t="b">
        <f t="shared" si="129"/>
        <v>0</v>
      </c>
      <c r="G129" s="8" t="b">
        <f t="shared" si="129"/>
        <v>0</v>
      </c>
      <c r="H129" s="8" t="b">
        <f t="shared" si="129"/>
        <v>0</v>
      </c>
      <c r="I129" s="8" t="b">
        <f t="shared" si="129"/>
        <v>0</v>
      </c>
      <c r="J129" s="8" t="b">
        <f t="shared" si="129"/>
        <v>0</v>
      </c>
      <c r="K129" s="8" t="b">
        <f t="shared" si="129"/>
        <v>0</v>
      </c>
      <c r="L129" s="9" t="s">
        <v>558</v>
      </c>
      <c r="M129" s="9" t="b">
        <v>0</v>
      </c>
      <c r="N129" s="9" t="b">
        <v>1</v>
      </c>
      <c r="O129" s="9" t="b">
        <v>0</v>
      </c>
      <c r="P129" s="9" t="b">
        <v>1</v>
      </c>
      <c r="Q129" s="7" t="str">
        <f t="shared" si="3"/>
        <v>ArtHouse</v>
      </c>
      <c r="R129" s="10">
        <v>4.0</v>
      </c>
      <c r="S129" s="9" t="b">
        <v>0</v>
      </c>
      <c r="T129" s="9" t="b">
        <v>0</v>
      </c>
      <c r="U129" s="7"/>
    </row>
    <row r="130">
      <c r="A130" s="7" t="s">
        <v>301</v>
      </c>
      <c r="B130" s="7" t="s">
        <v>302</v>
      </c>
      <c r="C130" s="8" t="s">
        <v>295</v>
      </c>
      <c r="D130" s="7" t="s">
        <v>9</v>
      </c>
      <c r="E130" s="8" t="b">
        <f t="shared" ref="E130:K130" si="130">IF(IFERROR(SEARCH(E$1, $D130),0) &gt;= 1, TRUE,FALSE)</f>
        <v>0</v>
      </c>
      <c r="F130" s="8" t="b">
        <f t="shared" si="130"/>
        <v>0</v>
      </c>
      <c r="G130" s="8" t="b">
        <f t="shared" si="130"/>
        <v>0</v>
      </c>
      <c r="H130" s="8" t="b">
        <f t="shared" si="130"/>
        <v>0</v>
      </c>
      <c r="I130" s="8" t="b">
        <f t="shared" si="130"/>
        <v>0</v>
      </c>
      <c r="J130" s="8" t="b">
        <f t="shared" si="130"/>
        <v>0</v>
      </c>
      <c r="K130" s="8" t="b">
        <f t="shared" si="130"/>
        <v>0</v>
      </c>
      <c r="L130" s="9" t="s">
        <v>572</v>
      </c>
      <c r="M130" s="9" t="b">
        <v>1</v>
      </c>
      <c r="N130" s="9" t="b">
        <v>1</v>
      </c>
      <c r="O130" s="9" t="b">
        <v>0</v>
      </c>
      <c r="P130" s="9" t="b">
        <v>1</v>
      </c>
      <c r="Q130" s="7" t="str">
        <f t="shared" si="3"/>
        <v>Museum voor Hedendaagse Kunst</v>
      </c>
      <c r="R130" s="10">
        <v>6.0</v>
      </c>
      <c r="S130" s="9" t="b">
        <v>0</v>
      </c>
      <c r="T130" s="9" t="b">
        <v>1</v>
      </c>
      <c r="U130" s="10">
        <v>6.0</v>
      </c>
    </row>
    <row r="131">
      <c r="A131" s="7"/>
      <c r="B131" s="7" t="s">
        <v>303</v>
      </c>
      <c r="C131" s="8" t="s">
        <v>295</v>
      </c>
      <c r="D131" s="7" t="s">
        <v>102</v>
      </c>
      <c r="E131" s="8" t="b">
        <f t="shared" ref="E131:K131" si="131">IF(IFERROR(SEARCH(E$1, $D131),0) &gt;= 1, TRUE,FALSE)</f>
        <v>0</v>
      </c>
      <c r="F131" s="8" t="b">
        <f t="shared" si="131"/>
        <v>0</v>
      </c>
      <c r="G131" s="8" t="b">
        <f t="shared" si="131"/>
        <v>0</v>
      </c>
      <c r="H131" s="8" t="b">
        <f t="shared" si="131"/>
        <v>0</v>
      </c>
      <c r="I131" s="8" t="b">
        <f t="shared" si="131"/>
        <v>0</v>
      </c>
      <c r="J131" s="8" t="b">
        <f t="shared" si="131"/>
        <v>0</v>
      </c>
      <c r="K131" s="8" t="b">
        <f t="shared" si="131"/>
        <v>0</v>
      </c>
      <c r="L131" s="9" t="s">
        <v>568</v>
      </c>
      <c r="M131" s="9" t="b">
        <v>1</v>
      </c>
      <c r="N131" s="9" t="b">
        <v>0</v>
      </c>
      <c r="O131" s="9" t="b">
        <v>0</v>
      </c>
      <c r="P131" s="9" t="b">
        <v>1</v>
      </c>
      <c r="Q131" s="7" t="str">
        <f t="shared" si="3"/>
        <v>La Boverie</v>
      </c>
      <c r="R131" s="10">
        <v>5.0</v>
      </c>
      <c r="S131" s="9" t="b">
        <v>0</v>
      </c>
      <c r="T131" s="9" t="b">
        <v>0</v>
      </c>
      <c r="U131" s="7"/>
    </row>
    <row r="132">
      <c r="A132" s="7"/>
      <c r="B132" s="7" t="s">
        <v>304</v>
      </c>
      <c r="C132" s="8" t="s">
        <v>295</v>
      </c>
      <c r="D132" s="7" t="s">
        <v>102</v>
      </c>
      <c r="E132" s="8" t="b">
        <f t="shared" ref="E132:K132" si="132">IF(IFERROR(SEARCH(E$1, $D132),0) &gt;= 1, TRUE,FALSE)</f>
        <v>0</v>
      </c>
      <c r="F132" s="8" t="b">
        <f t="shared" si="132"/>
        <v>0</v>
      </c>
      <c r="G132" s="8" t="b">
        <f t="shared" si="132"/>
        <v>0</v>
      </c>
      <c r="H132" s="8" t="b">
        <f t="shared" si="132"/>
        <v>0</v>
      </c>
      <c r="I132" s="8" t="b">
        <f t="shared" si="132"/>
        <v>0</v>
      </c>
      <c r="J132" s="8" t="b">
        <f t="shared" si="132"/>
        <v>0</v>
      </c>
      <c r="K132" s="8" t="b">
        <f t="shared" si="132"/>
        <v>0</v>
      </c>
      <c r="L132" s="9" t="s">
        <v>568</v>
      </c>
      <c r="M132" s="9" t="b">
        <v>1</v>
      </c>
      <c r="N132" s="9" t="b">
        <v>0</v>
      </c>
      <c r="O132" s="9" t="b">
        <v>0</v>
      </c>
      <c r="P132" s="9" t="b">
        <v>1</v>
      </c>
      <c r="Q132" s="7" t="str">
        <f t="shared" si="3"/>
        <v>Le Grand Curtius</v>
      </c>
      <c r="R132" s="10">
        <v>9.0</v>
      </c>
      <c r="S132" s="9" t="b">
        <v>0</v>
      </c>
      <c r="T132" s="9" t="b">
        <v>0</v>
      </c>
      <c r="U132" s="7"/>
    </row>
    <row r="133">
      <c r="A133" s="7" t="s">
        <v>305</v>
      </c>
      <c r="B133" s="7" t="s">
        <v>306</v>
      </c>
      <c r="C133" s="8" t="s">
        <v>295</v>
      </c>
      <c r="D133" s="7" t="s">
        <v>5</v>
      </c>
      <c r="E133" s="8" t="b">
        <f t="shared" ref="E133:K133" si="133">IF(IFERROR(SEARCH(E$1, $D133),0) &gt;= 1, TRUE,FALSE)</f>
        <v>0</v>
      </c>
      <c r="F133" s="8" t="b">
        <f t="shared" si="133"/>
        <v>0</v>
      </c>
      <c r="G133" s="8" t="b">
        <f t="shared" si="133"/>
        <v>0</v>
      </c>
      <c r="H133" s="8" t="b">
        <f t="shared" si="133"/>
        <v>0</v>
      </c>
      <c r="I133" s="8" t="b">
        <f t="shared" si="133"/>
        <v>0</v>
      </c>
      <c r="J133" s="8" t="b">
        <f t="shared" si="133"/>
        <v>0</v>
      </c>
      <c r="K133" s="8" t="b">
        <f t="shared" si="133"/>
        <v>0</v>
      </c>
      <c r="L133" s="9" t="s">
        <v>566</v>
      </c>
      <c r="M133" s="9" t="b">
        <v>1</v>
      </c>
      <c r="N133" s="9" t="b">
        <v>1</v>
      </c>
      <c r="O133" s="9" t="b">
        <v>0</v>
      </c>
      <c r="P133" s="9" t="b">
        <v>0</v>
      </c>
      <c r="Q133" s="7" t="str">
        <f t="shared" si="3"/>
        <v>Bos en Watermuseum “P. Noé”</v>
      </c>
      <c r="R133" s="10">
        <v>7.0</v>
      </c>
      <c r="S133" s="9" t="b">
        <v>0</v>
      </c>
      <c r="T133" s="9" t="b">
        <v>0</v>
      </c>
      <c r="U133" s="7"/>
    </row>
    <row r="134">
      <c r="A134" s="7" t="s">
        <v>307</v>
      </c>
      <c r="B134" s="7" t="s">
        <v>308</v>
      </c>
      <c r="C134" s="8" t="s">
        <v>295</v>
      </c>
      <c r="D134" s="7" t="s">
        <v>114</v>
      </c>
      <c r="E134" s="8" t="b">
        <f t="shared" ref="E134:K134" si="134">IF(IFERROR(SEARCH(E$1, $D134),0) &gt;= 1, TRUE,FALSE)</f>
        <v>0</v>
      </c>
      <c r="F134" s="8" t="b">
        <f t="shared" si="134"/>
        <v>0</v>
      </c>
      <c r="G134" s="8" t="b">
        <f t="shared" si="134"/>
        <v>0</v>
      </c>
      <c r="H134" s="8" t="b">
        <f t="shared" si="134"/>
        <v>0</v>
      </c>
      <c r="I134" s="8" t="b">
        <f t="shared" si="134"/>
        <v>0</v>
      </c>
      <c r="J134" s="8" t="b">
        <f t="shared" si="134"/>
        <v>0</v>
      </c>
      <c r="K134" s="8" t="b">
        <f t="shared" si="134"/>
        <v>0</v>
      </c>
      <c r="L134" s="9" t="s">
        <v>566</v>
      </c>
      <c r="M134" s="9" t="b">
        <v>1</v>
      </c>
      <c r="N134" s="9" t="b">
        <v>1</v>
      </c>
      <c r="O134" s="9" t="b">
        <v>0</v>
      </c>
      <c r="P134" s="9" t="b">
        <v>0</v>
      </c>
      <c r="Q134" s="7" t="str">
        <f t="shared" si="3"/>
        <v>Museum van de wastechniek</v>
      </c>
      <c r="R134" s="10">
        <v>4.0</v>
      </c>
      <c r="S134" s="9" t="b">
        <v>0</v>
      </c>
      <c r="T134" s="9" t="b">
        <v>0</v>
      </c>
      <c r="U134" s="7"/>
    </row>
    <row r="135">
      <c r="A135" s="7" t="s">
        <v>309</v>
      </c>
      <c r="B135" s="7" t="s">
        <v>310</v>
      </c>
      <c r="C135" s="8" t="s">
        <v>295</v>
      </c>
      <c r="D135" s="7" t="s">
        <v>114</v>
      </c>
      <c r="E135" s="8" t="b">
        <f t="shared" ref="E135:K135" si="135">IF(IFERROR(SEARCH(E$1, $D135),0) &gt;= 1, TRUE,FALSE)</f>
        <v>0</v>
      </c>
      <c r="F135" s="8" t="b">
        <f t="shared" si="135"/>
        <v>0</v>
      </c>
      <c r="G135" s="8" t="b">
        <f t="shared" si="135"/>
        <v>0</v>
      </c>
      <c r="H135" s="8" t="b">
        <f t="shared" si="135"/>
        <v>0</v>
      </c>
      <c r="I135" s="8" t="b">
        <f t="shared" si="135"/>
        <v>0</v>
      </c>
      <c r="J135" s="8" t="b">
        <f t="shared" si="135"/>
        <v>0</v>
      </c>
      <c r="K135" s="8" t="b">
        <f t="shared" si="135"/>
        <v>0</v>
      </c>
      <c r="L135" s="9" t="s">
        <v>568</v>
      </c>
      <c r="M135" s="9" t="b">
        <v>1</v>
      </c>
      <c r="N135" s="9" t="b">
        <v>0</v>
      </c>
      <c r="O135" s="9" t="b">
        <v>0</v>
      </c>
      <c r="P135" s="9" t="b">
        <v>1</v>
      </c>
      <c r="Q135" s="7" t="str">
        <f t="shared" si="3"/>
        <v>Huis van de Metallurgie en Industrie van Luik</v>
      </c>
      <c r="R135" s="10">
        <v>5.0</v>
      </c>
      <c r="S135" s="9" t="b">
        <v>0</v>
      </c>
      <c r="T135" s="9" t="b">
        <v>0</v>
      </c>
      <c r="U135" s="7"/>
    </row>
    <row r="136">
      <c r="A136" s="7" t="s">
        <v>311</v>
      </c>
      <c r="B136" s="7" t="s">
        <v>312</v>
      </c>
      <c r="C136" s="8" t="s">
        <v>295</v>
      </c>
      <c r="D136" s="7" t="s">
        <v>102</v>
      </c>
      <c r="E136" s="8" t="b">
        <f t="shared" ref="E136:K136" si="136">IF(IFERROR(SEARCH(E$1, $D136),0) &gt;= 1, TRUE,FALSE)</f>
        <v>0</v>
      </c>
      <c r="F136" s="8" t="b">
        <f t="shared" si="136"/>
        <v>0</v>
      </c>
      <c r="G136" s="8" t="b">
        <f t="shared" si="136"/>
        <v>0</v>
      </c>
      <c r="H136" s="8" t="b">
        <f t="shared" si="136"/>
        <v>0</v>
      </c>
      <c r="I136" s="8" t="b">
        <f t="shared" si="136"/>
        <v>0</v>
      </c>
      <c r="J136" s="8" t="b">
        <f t="shared" si="136"/>
        <v>0</v>
      </c>
      <c r="K136" s="8" t="b">
        <f t="shared" si="136"/>
        <v>0</v>
      </c>
      <c r="L136" s="9" t="s">
        <v>566</v>
      </c>
      <c r="M136" s="9" t="b">
        <v>1</v>
      </c>
      <c r="N136" s="9" t="b">
        <v>1</v>
      </c>
      <c r="O136" s="9" t="b">
        <v>0</v>
      </c>
      <c r="P136" s="9" t="b">
        <v>0</v>
      </c>
      <c r="Q136" s="7" t="str">
        <f t="shared" si="3"/>
        <v>Pottenbakkerijmuseum Raeren</v>
      </c>
      <c r="R136" s="10">
        <v>5.0</v>
      </c>
      <c r="S136" s="9" t="b">
        <v>0</v>
      </c>
      <c r="T136" s="9" t="b">
        <v>0</v>
      </c>
      <c r="U136" s="7"/>
    </row>
    <row r="137">
      <c r="A137" s="7" t="s">
        <v>313</v>
      </c>
      <c r="B137" s="7" t="s">
        <v>314</v>
      </c>
      <c r="C137" s="8" t="s">
        <v>295</v>
      </c>
      <c r="D137" s="7" t="s">
        <v>4</v>
      </c>
      <c r="E137" s="8" t="b">
        <f t="shared" ref="E137:K137" si="137">IF(IFERROR(SEARCH(E$1, $D137),0) &gt;= 1, TRUE,FALSE)</f>
        <v>0</v>
      </c>
      <c r="F137" s="8" t="b">
        <f t="shared" si="137"/>
        <v>0</v>
      </c>
      <c r="G137" s="8" t="b">
        <f t="shared" si="137"/>
        <v>0</v>
      </c>
      <c r="H137" s="8" t="b">
        <f t="shared" si="137"/>
        <v>0</v>
      </c>
      <c r="I137" s="8" t="b">
        <f t="shared" si="137"/>
        <v>0</v>
      </c>
      <c r="J137" s="8" t="b">
        <f t="shared" si="137"/>
        <v>0</v>
      </c>
      <c r="K137" s="8" t="b">
        <f t="shared" si="137"/>
        <v>0</v>
      </c>
      <c r="L137" s="9" t="s">
        <v>565</v>
      </c>
      <c r="M137" s="9" t="b">
        <v>1</v>
      </c>
      <c r="N137" s="9" t="b">
        <v>0</v>
      </c>
      <c r="O137" s="9" t="b">
        <v>1</v>
      </c>
      <c r="P137" s="9" t="b">
        <v>1</v>
      </c>
      <c r="Q137" s="7" t="str">
        <f t="shared" si="3"/>
        <v>Museum van het Waalse Leven</v>
      </c>
      <c r="R137" s="10">
        <v>0.0</v>
      </c>
      <c r="S137" s="9" t="b">
        <v>0</v>
      </c>
      <c r="T137" s="9" t="b">
        <v>0</v>
      </c>
      <c r="U137" s="7"/>
    </row>
    <row r="138">
      <c r="A138" s="7" t="s">
        <v>315</v>
      </c>
      <c r="B138" s="7" t="s">
        <v>316</v>
      </c>
      <c r="C138" s="8" t="s">
        <v>295</v>
      </c>
      <c r="D138" s="7" t="s">
        <v>4</v>
      </c>
      <c r="E138" s="8" t="b">
        <f t="shared" ref="E138:K138" si="138">IF(IFERROR(SEARCH(E$1, $D138),0) &gt;= 1, TRUE,FALSE)</f>
        <v>0</v>
      </c>
      <c r="F138" s="8" t="b">
        <f t="shared" si="138"/>
        <v>0</v>
      </c>
      <c r="G138" s="8" t="b">
        <f t="shared" si="138"/>
        <v>0</v>
      </c>
      <c r="H138" s="8" t="b">
        <f t="shared" si="138"/>
        <v>0</v>
      </c>
      <c r="I138" s="8" t="b">
        <f t="shared" si="138"/>
        <v>0</v>
      </c>
      <c r="J138" s="8" t="b">
        <f t="shared" si="138"/>
        <v>0</v>
      </c>
      <c r="K138" s="8" t="b">
        <f t="shared" si="138"/>
        <v>0</v>
      </c>
      <c r="L138" s="9" t="s">
        <v>557</v>
      </c>
      <c r="M138" s="9" t="b">
        <v>1</v>
      </c>
      <c r="N138" s="9" t="b">
        <v>0</v>
      </c>
      <c r="O138" s="9" t="b">
        <v>0</v>
      </c>
      <c r="P138" s="9" t="b">
        <v>0</v>
      </c>
      <c r="Q138" s="7" t="str">
        <f t="shared" si="3"/>
        <v>Musea van de Kuurstad</v>
      </c>
      <c r="R138" s="10">
        <v>5.0</v>
      </c>
      <c r="S138" s="9" t="b">
        <v>0</v>
      </c>
      <c r="T138" s="9" t="b">
        <v>0</v>
      </c>
      <c r="U138" s="7"/>
    </row>
    <row r="139">
      <c r="A139" s="7" t="s">
        <v>317</v>
      </c>
      <c r="B139" s="7" t="s">
        <v>318</v>
      </c>
      <c r="C139" s="8" t="s">
        <v>295</v>
      </c>
      <c r="D139" s="7" t="s">
        <v>171</v>
      </c>
      <c r="E139" s="8" t="b">
        <f t="shared" ref="E139:K139" si="139">IF(IFERROR(SEARCH(E$1, $D139),0) &gt;= 1, TRUE,FALSE)</f>
        <v>0</v>
      </c>
      <c r="F139" s="8" t="b">
        <f t="shared" si="139"/>
        <v>0</v>
      </c>
      <c r="G139" s="8" t="b">
        <f t="shared" si="139"/>
        <v>0</v>
      </c>
      <c r="H139" s="8" t="b">
        <f t="shared" si="139"/>
        <v>0</v>
      </c>
      <c r="I139" s="8" t="b">
        <f t="shared" si="139"/>
        <v>1</v>
      </c>
      <c r="J139" s="8" t="b">
        <f t="shared" si="139"/>
        <v>0</v>
      </c>
      <c r="K139" s="8" t="b">
        <f t="shared" si="139"/>
        <v>0</v>
      </c>
      <c r="L139" s="9" t="s">
        <v>557</v>
      </c>
      <c r="M139" s="9" t="b">
        <v>1</v>
      </c>
      <c r="N139" s="9" t="b">
        <v>0</v>
      </c>
      <c r="O139" s="9" t="b">
        <v>0</v>
      </c>
      <c r="P139" s="9" t="b">
        <v>0</v>
      </c>
      <c r="Q139" s="7" t="str">
        <f t="shared" si="3"/>
        <v>Stadsmuseum Eupen</v>
      </c>
      <c r="R139" s="10">
        <v>5.0</v>
      </c>
      <c r="S139" s="9" t="b">
        <v>0</v>
      </c>
      <c r="T139" s="9" t="b">
        <v>0</v>
      </c>
      <c r="U139" s="7"/>
    </row>
    <row r="140">
      <c r="A140" s="7" t="s">
        <v>319</v>
      </c>
      <c r="B140" s="7" t="s">
        <v>320</v>
      </c>
      <c r="C140" s="8" t="s">
        <v>295</v>
      </c>
      <c r="D140" s="7" t="s">
        <v>102</v>
      </c>
      <c r="E140" s="8" t="b">
        <f t="shared" ref="E140:K140" si="140">IF(IFERROR(SEARCH(E$1, $D140),0) &gt;= 1, TRUE,FALSE)</f>
        <v>0</v>
      </c>
      <c r="F140" s="8" t="b">
        <f t="shared" si="140"/>
        <v>0</v>
      </c>
      <c r="G140" s="8" t="b">
        <f t="shared" si="140"/>
        <v>0</v>
      </c>
      <c r="H140" s="8" t="b">
        <f t="shared" si="140"/>
        <v>0</v>
      </c>
      <c r="I140" s="8" t="b">
        <f t="shared" si="140"/>
        <v>0</v>
      </c>
      <c r="J140" s="8" t="b">
        <f t="shared" si="140"/>
        <v>0</v>
      </c>
      <c r="K140" s="8" t="b">
        <f t="shared" si="140"/>
        <v>0</v>
      </c>
      <c r="L140" s="9" t="s">
        <v>557</v>
      </c>
      <c r="M140" s="9" t="b">
        <v>1</v>
      </c>
      <c r="N140" s="9" t="b">
        <v>0</v>
      </c>
      <c r="O140" s="9" t="b">
        <v>0</v>
      </c>
      <c r="P140" s="9" t="b">
        <v>0</v>
      </c>
      <c r="Q140" s="7" t="str">
        <f t="shared" si="3"/>
        <v>Musea van Verviers</v>
      </c>
      <c r="R140" s="10">
        <v>4.0</v>
      </c>
      <c r="S140" s="9" t="b">
        <v>0</v>
      </c>
      <c r="T140" s="9" t="b">
        <v>0</v>
      </c>
      <c r="U140" s="7"/>
    </row>
    <row r="141">
      <c r="A141" s="7" t="s">
        <v>321</v>
      </c>
      <c r="B141" s="7" t="s">
        <v>322</v>
      </c>
      <c r="C141" s="8" t="s">
        <v>295</v>
      </c>
      <c r="D141" s="7" t="s">
        <v>114</v>
      </c>
      <c r="E141" s="8" t="b">
        <f t="shared" ref="E141:K141" si="141">IF(IFERROR(SEARCH(E$1, $D141),0) &gt;= 1, TRUE,FALSE)</f>
        <v>0</v>
      </c>
      <c r="F141" s="8" t="b">
        <f t="shared" si="141"/>
        <v>0</v>
      </c>
      <c r="G141" s="8" t="b">
        <f t="shared" si="141"/>
        <v>0</v>
      </c>
      <c r="H141" s="8" t="b">
        <f t="shared" si="141"/>
        <v>0</v>
      </c>
      <c r="I141" s="8" t="b">
        <f t="shared" si="141"/>
        <v>0</v>
      </c>
      <c r="J141" s="8" t="b">
        <f t="shared" si="141"/>
        <v>0</v>
      </c>
      <c r="K141" s="8" t="b">
        <f t="shared" si="141"/>
        <v>0</v>
      </c>
      <c r="L141" s="9" t="s">
        <v>566</v>
      </c>
      <c r="M141" s="9" t="b">
        <v>1</v>
      </c>
      <c r="N141" s="9" t="b">
        <v>1</v>
      </c>
      <c r="O141" s="9" t="b">
        <v>0</v>
      </c>
      <c r="P141" s="9" t="b">
        <v>0</v>
      </c>
      <c r="Q141" s="7" t="str">
        <f t="shared" si="3"/>
        <v>Museum Vieille Montagne</v>
      </c>
      <c r="R141" s="10">
        <v>7.5</v>
      </c>
      <c r="S141" s="9" t="b">
        <v>0</v>
      </c>
      <c r="T141" s="9" t="b">
        <v>0</v>
      </c>
      <c r="U141" s="7"/>
    </row>
    <row r="142">
      <c r="A142" s="7"/>
      <c r="B142" s="7" t="s">
        <v>323</v>
      </c>
      <c r="C142" s="8" t="s">
        <v>295</v>
      </c>
      <c r="D142" s="7" t="s">
        <v>4</v>
      </c>
      <c r="E142" s="8" t="b">
        <f t="shared" ref="E142:K142" si="142">IF(IFERROR(SEARCH(E$1, $D142),0) &gt;= 1, TRUE,FALSE)</f>
        <v>0</v>
      </c>
      <c r="F142" s="8" t="b">
        <f t="shared" si="142"/>
        <v>0</v>
      </c>
      <c r="G142" s="8" t="b">
        <f t="shared" si="142"/>
        <v>0</v>
      </c>
      <c r="H142" s="8" t="b">
        <f t="shared" si="142"/>
        <v>0</v>
      </c>
      <c r="I142" s="8" t="b">
        <f t="shared" si="142"/>
        <v>0</v>
      </c>
      <c r="J142" s="8" t="b">
        <f t="shared" si="142"/>
        <v>0</v>
      </c>
      <c r="K142" s="8" t="b">
        <f t="shared" si="142"/>
        <v>0</v>
      </c>
      <c r="L142" s="9" t="s">
        <v>567</v>
      </c>
      <c r="M142" s="9" t="b">
        <v>1</v>
      </c>
      <c r="N142" s="9" t="b">
        <v>1</v>
      </c>
      <c r="O142" s="9" t="b">
        <v>1</v>
      </c>
      <c r="P142" s="9" t="b">
        <v>0</v>
      </c>
      <c r="Q142" s="7" t="str">
        <f t="shared" si="3"/>
        <v>Préhistomuseum</v>
      </c>
      <c r="R142" s="10">
        <v>16.0</v>
      </c>
      <c r="S142" s="9" t="b">
        <v>0</v>
      </c>
      <c r="T142" s="9" t="b">
        <v>0</v>
      </c>
      <c r="U142" s="7"/>
    </row>
    <row r="143">
      <c r="A143" s="7"/>
      <c r="B143" s="7" t="s">
        <v>324</v>
      </c>
      <c r="C143" s="8" t="s">
        <v>295</v>
      </c>
      <c r="D143" s="7" t="s">
        <v>9</v>
      </c>
      <c r="E143" s="8" t="b">
        <f t="shared" ref="E143:K143" si="143">IF(IFERROR(SEARCH(E$1, $D143),0) &gt;= 1, TRUE,FALSE)</f>
        <v>0</v>
      </c>
      <c r="F143" s="8" t="b">
        <f t="shared" si="143"/>
        <v>0</v>
      </c>
      <c r="G143" s="8" t="b">
        <f t="shared" si="143"/>
        <v>0</v>
      </c>
      <c r="H143" s="8" t="b">
        <f t="shared" si="143"/>
        <v>0</v>
      </c>
      <c r="I143" s="8" t="b">
        <f t="shared" si="143"/>
        <v>0</v>
      </c>
      <c r="J143" s="8" t="b">
        <f t="shared" si="143"/>
        <v>0</v>
      </c>
      <c r="K143" s="8" t="b">
        <f t="shared" si="143"/>
        <v>0</v>
      </c>
      <c r="L143" s="9" t="s">
        <v>570</v>
      </c>
      <c r="M143" s="9" t="b">
        <v>1</v>
      </c>
      <c r="N143" s="9" t="b">
        <v>1</v>
      </c>
      <c r="O143" s="9" t="b">
        <v>1</v>
      </c>
      <c r="P143" s="9" t="b">
        <v>1</v>
      </c>
      <c r="Q143" s="7" t="str">
        <f t="shared" si="3"/>
        <v>Trinkhall museum</v>
      </c>
      <c r="R143" s="10">
        <v>9.0</v>
      </c>
      <c r="S143" s="9" t="b">
        <v>0</v>
      </c>
      <c r="T143" s="15" t="b">
        <v>1</v>
      </c>
      <c r="U143" s="10">
        <v>9.0</v>
      </c>
    </row>
    <row r="144">
      <c r="A144" s="7"/>
      <c r="B144" s="7" t="s">
        <v>325</v>
      </c>
      <c r="C144" s="8" t="s">
        <v>295</v>
      </c>
      <c r="D144" s="7" t="s">
        <v>5</v>
      </c>
      <c r="E144" s="8" t="b">
        <f t="shared" ref="E144:K144" si="144">IF(IFERROR(SEARCH(E$1, $D144),0) &gt;= 1, TRUE,FALSE)</f>
        <v>0</v>
      </c>
      <c r="F144" s="8" t="b">
        <f t="shared" si="144"/>
        <v>0</v>
      </c>
      <c r="G144" s="8" t="b">
        <f t="shared" si="144"/>
        <v>0</v>
      </c>
      <c r="H144" s="8" t="b">
        <f t="shared" si="144"/>
        <v>0</v>
      </c>
      <c r="I144" s="8" t="b">
        <f t="shared" si="144"/>
        <v>0</v>
      </c>
      <c r="J144" s="8" t="b">
        <f t="shared" si="144"/>
        <v>0</v>
      </c>
      <c r="K144" s="8" t="b">
        <f t="shared" si="144"/>
        <v>0</v>
      </c>
      <c r="L144" s="9" t="s">
        <v>577</v>
      </c>
      <c r="M144" s="9" t="b">
        <v>0</v>
      </c>
      <c r="N144" s="9" t="b">
        <v>1</v>
      </c>
      <c r="O144" s="9" t="b">
        <v>0</v>
      </c>
      <c r="P144" s="9" t="b">
        <v>1</v>
      </c>
      <c r="Q144" s="7" t="str">
        <f t="shared" si="3"/>
        <v>WaterHouse</v>
      </c>
      <c r="R144" s="10">
        <v>10.0</v>
      </c>
      <c r="S144" s="9" t="b">
        <v>1</v>
      </c>
      <c r="T144" s="9" t="b">
        <v>0</v>
      </c>
      <c r="U144" s="7"/>
    </row>
    <row r="145">
      <c r="A145" s="7" t="s">
        <v>578</v>
      </c>
      <c r="B145" s="7" t="s">
        <v>579</v>
      </c>
      <c r="C145" s="8" t="s">
        <v>328</v>
      </c>
      <c r="D145" s="7" t="s">
        <v>580</v>
      </c>
      <c r="E145" s="8" t="b">
        <f t="shared" ref="E145:K145" si="145">IF(IFERROR(SEARCH(E$1, $D145),0) &gt;= 1, TRUE,FALSE)</f>
        <v>0</v>
      </c>
      <c r="F145" s="8" t="b">
        <f t="shared" si="145"/>
        <v>0</v>
      </c>
      <c r="G145" s="8" t="b">
        <f t="shared" si="145"/>
        <v>0</v>
      </c>
      <c r="H145" s="8" t="b">
        <f t="shared" si="145"/>
        <v>0</v>
      </c>
      <c r="I145" s="8" t="b">
        <f t="shared" si="145"/>
        <v>1</v>
      </c>
      <c r="J145" s="8" t="b">
        <f t="shared" si="145"/>
        <v>0</v>
      </c>
      <c r="K145" s="8" t="b">
        <f t="shared" si="145"/>
        <v>0</v>
      </c>
      <c r="L145" s="9" t="s">
        <v>557</v>
      </c>
      <c r="M145" s="9" t="b">
        <v>1</v>
      </c>
      <c r="N145" s="9" t="b">
        <v>0</v>
      </c>
      <c r="O145" s="9" t="b">
        <v>0</v>
      </c>
      <c r="P145" s="9" t="b">
        <v>0</v>
      </c>
      <c r="Q145" s="7" t="str">
        <f t="shared" si="3"/>
        <v>Artotheek </v>
      </c>
      <c r="R145" s="10">
        <v>6.0</v>
      </c>
      <c r="S145" s="9" t="b">
        <v>0</v>
      </c>
      <c r="T145" s="9" t="b">
        <v>0</v>
      </c>
      <c r="U145" s="7"/>
    </row>
    <row r="146">
      <c r="A146" s="7" t="s">
        <v>329</v>
      </c>
      <c r="B146" s="7" t="s">
        <v>581</v>
      </c>
      <c r="C146" s="8" t="s">
        <v>328</v>
      </c>
      <c r="D146" s="7" t="s">
        <v>582</v>
      </c>
      <c r="E146" s="8" t="b">
        <f t="shared" ref="E146:K146" si="146">IF(IFERROR(SEARCH(E$1, $D146),0) &gt;= 1, TRUE,FALSE)</f>
        <v>0</v>
      </c>
      <c r="F146" s="8" t="b">
        <f t="shared" si="146"/>
        <v>0</v>
      </c>
      <c r="G146" s="8" t="b">
        <f t="shared" si="146"/>
        <v>0</v>
      </c>
      <c r="H146" s="8" t="b">
        <f t="shared" si="146"/>
        <v>0</v>
      </c>
      <c r="I146" s="8" t="b">
        <f t="shared" si="146"/>
        <v>1</v>
      </c>
      <c r="J146" s="8" t="b">
        <f t="shared" si="146"/>
        <v>0</v>
      </c>
      <c r="K146" s="8" t="b">
        <f t="shared" si="146"/>
        <v>0</v>
      </c>
      <c r="L146" s="9" t="s">
        <v>557</v>
      </c>
      <c r="M146" s="9" t="b">
        <v>1</v>
      </c>
      <c r="N146" s="9" t="b">
        <v>0</v>
      </c>
      <c r="O146" s="9" t="b">
        <v>0</v>
      </c>
      <c r="P146" s="9" t="b">
        <v>0</v>
      </c>
      <c r="Q146" s="7" t="str">
        <f t="shared" si="3"/>
        <v>Belfort van Bergen</v>
      </c>
      <c r="R146" s="10">
        <v>9.0</v>
      </c>
      <c r="S146" s="9" t="b">
        <v>0</v>
      </c>
      <c r="T146" s="9" t="b">
        <v>1</v>
      </c>
      <c r="U146" s="10">
        <v>9.0</v>
      </c>
    </row>
    <row r="147">
      <c r="A147" s="7" t="s">
        <v>331</v>
      </c>
      <c r="B147" s="7" t="s">
        <v>583</v>
      </c>
      <c r="C147" s="8" t="s">
        <v>328</v>
      </c>
      <c r="D147" s="7" t="s">
        <v>584</v>
      </c>
      <c r="E147" s="8" t="b">
        <f t="shared" ref="E147:K147" si="147">IF(IFERROR(SEARCH(E$1, $D147),0) &gt;= 1, TRUE,FALSE)</f>
        <v>0</v>
      </c>
      <c r="F147" s="8" t="b">
        <f t="shared" si="147"/>
        <v>0</v>
      </c>
      <c r="G147" s="8" t="b">
        <f t="shared" si="147"/>
        <v>0</v>
      </c>
      <c r="H147" s="8" t="b">
        <f t="shared" si="147"/>
        <v>0</v>
      </c>
      <c r="I147" s="8" t="b">
        <f t="shared" si="147"/>
        <v>1</v>
      </c>
      <c r="J147" s="8" t="b">
        <f t="shared" si="147"/>
        <v>0</v>
      </c>
      <c r="K147" s="8" t="b">
        <f t="shared" si="147"/>
        <v>0</v>
      </c>
      <c r="L147" s="9" t="s">
        <v>566</v>
      </c>
      <c r="M147" s="9" t="b">
        <v>1</v>
      </c>
      <c r="N147" s="9" t="b">
        <v>1</v>
      </c>
      <c r="O147" s="9" t="b">
        <v>0</v>
      </c>
      <c r="P147" s="9" t="b">
        <v>1</v>
      </c>
      <c r="Q147" s="7" t="str">
        <f t="shared" si="3"/>
        <v>Museum van Mijnbouw en Duurzame Ontwikkeling</v>
      </c>
      <c r="R147" s="10">
        <v>9.0</v>
      </c>
      <c r="S147" s="9" t="b">
        <v>0</v>
      </c>
      <c r="T147" s="9" t="b">
        <v>1</v>
      </c>
      <c r="U147" s="10">
        <v>9.0</v>
      </c>
    </row>
    <row r="148">
      <c r="A148" s="7" t="s">
        <v>333</v>
      </c>
      <c r="B148" s="7" t="s">
        <v>585</v>
      </c>
      <c r="C148" s="8" t="s">
        <v>328</v>
      </c>
      <c r="D148" s="7" t="s">
        <v>9</v>
      </c>
      <c r="E148" s="8" t="b">
        <f t="shared" ref="E148:K148" si="148">IF(IFERROR(SEARCH(E$1, $D148),0) &gt;= 1, TRUE,FALSE)</f>
        <v>0</v>
      </c>
      <c r="F148" s="8" t="b">
        <f t="shared" si="148"/>
        <v>0</v>
      </c>
      <c r="G148" s="8" t="b">
        <f t="shared" si="148"/>
        <v>0</v>
      </c>
      <c r="H148" s="8" t="b">
        <f t="shared" si="148"/>
        <v>0</v>
      </c>
      <c r="I148" s="8" t="b">
        <f t="shared" si="148"/>
        <v>0</v>
      </c>
      <c r="J148" s="8" t="b">
        <f t="shared" si="148"/>
        <v>0</v>
      </c>
      <c r="K148" s="8" t="b">
        <f t="shared" si="148"/>
        <v>0</v>
      </c>
      <c r="L148" s="9" t="s">
        <v>557</v>
      </c>
      <c r="M148" s="9" t="b">
        <v>1</v>
      </c>
      <c r="N148" s="9" t="b">
        <v>0</v>
      </c>
      <c r="O148" s="9" t="b">
        <v>0</v>
      </c>
      <c r="P148" s="9" t="b">
        <v>0</v>
      </c>
      <c r="Q148" s="7" t="str">
        <f t="shared" si="3"/>
        <v>Museum voor kunst van de Provincie Henegouwen</v>
      </c>
      <c r="R148" s="10">
        <v>6.0</v>
      </c>
      <c r="S148" s="9" t="b">
        <v>0</v>
      </c>
      <c r="T148" s="9" t="b">
        <v>1</v>
      </c>
      <c r="U148" s="10">
        <v>6.0</v>
      </c>
    </row>
    <row r="149">
      <c r="A149" s="7" t="s">
        <v>335</v>
      </c>
      <c r="B149" s="7" t="s">
        <v>586</v>
      </c>
      <c r="C149" s="8" t="s">
        <v>328</v>
      </c>
      <c r="D149" s="7" t="s">
        <v>587</v>
      </c>
      <c r="E149" s="8" t="b">
        <f t="shared" ref="E149:K149" si="149">IF(IFERROR(SEARCH(E$1, $D149),0) &gt;= 1, TRUE,FALSE)</f>
        <v>0</v>
      </c>
      <c r="F149" s="8" t="b">
        <f t="shared" si="149"/>
        <v>0</v>
      </c>
      <c r="G149" s="8" t="b">
        <f t="shared" si="149"/>
        <v>0</v>
      </c>
      <c r="H149" s="8" t="b">
        <f t="shared" si="149"/>
        <v>0</v>
      </c>
      <c r="I149" s="8" t="b">
        <f t="shared" si="149"/>
        <v>0</v>
      </c>
      <c r="J149" s="8" t="b">
        <f t="shared" si="149"/>
        <v>0</v>
      </c>
      <c r="K149" s="8" t="b">
        <f t="shared" si="149"/>
        <v>0</v>
      </c>
      <c r="L149" s="9" t="s">
        <v>557</v>
      </c>
      <c r="M149" s="9" t="b">
        <v>1</v>
      </c>
      <c r="N149" s="9" t="b">
        <v>0</v>
      </c>
      <c r="O149" s="9" t="b">
        <v>0</v>
      </c>
      <c r="P149" s="9" t="b">
        <v>0</v>
      </c>
      <c r="Q149" s="7" t="str">
        <f t="shared" si="3"/>
        <v>CAP/museum voor Schone Kunsten van Bergen</v>
      </c>
      <c r="R149" s="10">
        <v>16.0</v>
      </c>
      <c r="S149" s="9" t="b">
        <v>0</v>
      </c>
      <c r="T149" s="9" t="b">
        <v>1</v>
      </c>
      <c r="U149" s="10">
        <v>16.0</v>
      </c>
    </row>
    <row r="150">
      <c r="A150" s="7" t="s">
        <v>337</v>
      </c>
      <c r="B150" s="7" t="s">
        <v>588</v>
      </c>
      <c r="C150" s="8" t="s">
        <v>328</v>
      </c>
      <c r="D150" s="7" t="s">
        <v>582</v>
      </c>
      <c r="E150" s="8" t="b">
        <f t="shared" ref="E150:K150" si="150">IF(IFERROR(SEARCH(E$1, $D150),0) &gt;= 1, TRUE,FALSE)</f>
        <v>0</v>
      </c>
      <c r="F150" s="8" t="b">
        <f t="shared" si="150"/>
        <v>0</v>
      </c>
      <c r="G150" s="8" t="b">
        <f t="shared" si="150"/>
        <v>0</v>
      </c>
      <c r="H150" s="8" t="b">
        <f t="shared" si="150"/>
        <v>0</v>
      </c>
      <c r="I150" s="8" t="b">
        <f t="shared" si="150"/>
        <v>1</v>
      </c>
      <c r="J150" s="8" t="b">
        <f t="shared" si="150"/>
        <v>0</v>
      </c>
      <c r="K150" s="8" t="b">
        <f t="shared" si="150"/>
        <v>0</v>
      </c>
      <c r="L150" s="9" t="s">
        <v>557</v>
      </c>
      <c r="M150" s="9" t="b">
        <v>1</v>
      </c>
      <c r="N150" s="9" t="b">
        <v>0</v>
      </c>
      <c r="O150" s="9" t="b">
        <v>0</v>
      </c>
      <c r="P150" s="9" t="b">
        <v>0</v>
      </c>
      <c r="Q150" s="7" t="str">
        <f t="shared" si="3"/>
        <v>CAP/het Collectiehuis</v>
      </c>
      <c r="R150" s="10">
        <v>4.0</v>
      </c>
      <c r="S150" s="9" t="b">
        <v>0</v>
      </c>
      <c r="T150" s="9" t="b">
        <v>0</v>
      </c>
      <c r="U150" s="7"/>
    </row>
    <row r="151">
      <c r="A151" s="7"/>
      <c r="B151" s="7" t="s">
        <v>589</v>
      </c>
      <c r="C151" s="8" t="s">
        <v>328</v>
      </c>
      <c r="D151" s="7" t="s">
        <v>590</v>
      </c>
      <c r="E151" s="8" t="b">
        <f t="shared" ref="E151:K151" si="151">IF(IFERROR(SEARCH(E$1, $D151),0) &gt;= 1, TRUE,FALSE)</f>
        <v>0</v>
      </c>
      <c r="F151" s="8" t="b">
        <f t="shared" si="151"/>
        <v>0</v>
      </c>
      <c r="G151" s="8" t="b">
        <f t="shared" si="151"/>
        <v>0</v>
      </c>
      <c r="H151" s="8" t="b">
        <f t="shared" si="151"/>
        <v>1</v>
      </c>
      <c r="I151" s="8" t="b">
        <f t="shared" si="151"/>
        <v>0</v>
      </c>
      <c r="J151" s="8" t="b">
        <f t="shared" si="151"/>
        <v>0</v>
      </c>
      <c r="K151" s="8" t="b">
        <f t="shared" si="151"/>
        <v>0</v>
      </c>
      <c r="L151" s="9" t="s">
        <v>568</v>
      </c>
      <c r="M151" s="9" t="b">
        <v>1</v>
      </c>
      <c r="N151" s="9" t="b">
        <v>0</v>
      </c>
      <c r="O151" s="9" t="b">
        <v>0</v>
      </c>
      <c r="P151" s="9" t="b">
        <v>1</v>
      </c>
      <c r="Q151" s="7" t="str">
        <f t="shared" si="3"/>
        <v>Centre Daily-Bul &amp; C° </v>
      </c>
      <c r="R151" s="10">
        <v>0.0</v>
      </c>
      <c r="S151" s="9" t="b">
        <v>0</v>
      </c>
      <c r="T151" s="9" t="b">
        <v>1</v>
      </c>
      <c r="U151" s="10">
        <v>0.0</v>
      </c>
    </row>
    <row r="152">
      <c r="A152" s="7" t="s">
        <v>341</v>
      </c>
      <c r="B152" s="7" t="s">
        <v>591</v>
      </c>
      <c r="C152" s="8" t="s">
        <v>328</v>
      </c>
      <c r="D152" s="7" t="s">
        <v>5</v>
      </c>
      <c r="E152" s="8" t="b">
        <f t="shared" ref="E152:K152" si="152">IF(IFERROR(SEARCH(E$1, $D152),0) &gt;= 1, TRUE,FALSE)</f>
        <v>0</v>
      </c>
      <c r="F152" s="8" t="b">
        <f t="shared" si="152"/>
        <v>0</v>
      </c>
      <c r="G152" s="8" t="b">
        <f t="shared" si="152"/>
        <v>0</v>
      </c>
      <c r="H152" s="8" t="b">
        <f t="shared" si="152"/>
        <v>0</v>
      </c>
      <c r="I152" s="8" t="b">
        <f t="shared" si="152"/>
        <v>0</v>
      </c>
      <c r="J152" s="8" t="b">
        <f t="shared" si="152"/>
        <v>0</v>
      </c>
      <c r="K152" s="8" t="b">
        <f t="shared" si="152"/>
        <v>0</v>
      </c>
      <c r="L152" s="9" t="s">
        <v>572</v>
      </c>
      <c r="M152" s="9" t="b">
        <v>1</v>
      </c>
      <c r="N152" s="9" t="b">
        <v>1</v>
      </c>
      <c r="O152" s="9" t="b">
        <v>0</v>
      </c>
      <c r="P152" s="9" t="b">
        <v>1</v>
      </c>
      <c r="Q152" s="7" t="str">
        <f t="shared" si="3"/>
        <v>Wetenschappelijk Cultuurcentrum - ULB</v>
      </c>
      <c r="R152" s="10">
        <v>6.0</v>
      </c>
      <c r="S152" s="9" t="b">
        <v>0</v>
      </c>
      <c r="T152" s="9" t="b">
        <v>1</v>
      </c>
      <c r="U152" s="10">
        <v>6.0</v>
      </c>
    </row>
    <row r="153">
      <c r="A153" s="7" t="s">
        <v>592</v>
      </c>
      <c r="B153" s="7" t="s">
        <v>593</v>
      </c>
      <c r="C153" s="8" t="s">
        <v>328</v>
      </c>
      <c r="D153" s="7" t="s">
        <v>594</v>
      </c>
      <c r="E153" s="8" t="b">
        <f t="shared" ref="E153:K153" si="153">IF(IFERROR(SEARCH(E$1, $D153),0) &gt;= 1, TRUE,FALSE)</f>
        <v>0</v>
      </c>
      <c r="F153" s="8" t="b">
        <f t="shared" si="153"/>
        <v>0</v>
      </c>
      <c r="G153" s="8" t="b">
        <f t="shared" si="153"/>
        <v>0</v>
      </c>
      <c r="H153" s="8" t="b">
        <f t="shared" si="153"/>
        <v>0</v>
      </c>
      <c r="I153" s="8" t="b">
        <f t="shared" si="153"/>
        <v>0</v>
      </c>
      <c r="J153" s="8" t="b">
        <f t="shared" si="153"/>
        <v>0</v>
      </c>
      <c r="K153" s="8" t="b">
        <f t="shared" si="153"/>
        <v>0</v>
      </c>
      <c r="L153" s="9" t="s">
        <v>557</v>
      </c>
      <c r="M153" s="9" t="b">
        <v>1</v>
      </c>
      <c r="N153" s="9" t="b">
        <v>0</v>
      </c>
      <c r="O153" s="9" t="b">
        <v>0</v>
      </c>
      <c r="P153" s="9" t="b">
        <v>0</v>
      </c>
      <c r="Q153" s="7" t="str">
        <f t="shared" si="3"/>
        <v>Centrum voor grafische kunst </v>
      </c>
      <c r="R153" s="10">
        <v>8.0</v>
      </c>
      <c r="S153" s="9" t="b">
        <v>0</v>
      </c>
      <c r="T153" s="9" t="b">
        <v>1</v>
      </c>
      <c r="U153" s="10">
        <v>8.0</v>
      </c>
    </row>
    <row r="154">
      <c r="A154" s="7" t="s">
        <v>344</v>
      </c>
      <c r="B154" s="7" t="s">
        <v>595</v>
      </c>
      <c r="C154" s="8" t="s">
        <v>328</v>
      </c>
      <c r="D154" s="7" t="s">
        <v>596</v>
      </c>
      <c r="E154" s="8" t="b">
        <f t="shared" ref="E154:K154" si="154">IF(IFERROR(SEARCH(E$1, $D154),0) &gt;= 1, TRUE,FALSE)</f>
        <v>0</v>
      </c>
      <c r="F154" s="8" t="b">
        <f t="shared" si="154"/>
        <v>0</v>
      </c>
      <c r="G154" s="8" t="b">
        <f t="shared" si="154"/>
        <v>0</v>
      </c>
      <c r="H154" s="8" t="b">
        <f t="shared" si="154"/>
        <v>0</v>
      </c>
      <c r="I154" s="8" t="b">
        <f t="shared" si="154"/>
        <v>1</v>
      </c>
      <c r="J154" s="8" t="b">
        <f t="shared" si="154"/>
        <v>0</v>
      </c>
      <c r="K154" s="8" t="b">
        <f t="shared" si="154"/>
        <v>0</v>
      </c>
      <c r="L154" s="9" t="s">
        <v>570</v>
      </c>
      <c r="M154" s="9" t="b">
        <v>1</v>
      </c>
      <c r="N154" s="9" t="b">
        <v>1</v>
      </c>
      <c r="O154" s="9" t="b">
        <v>1</v>
      </c>
      <c r="P154" s="9" t="b">
        <v>1</v>
      </c>
      <c r="Q154" s="7" t="str">
        <f t="shared" si="3"/>
        <v>Centrum voor Innovatie en Design van Grand-Hornu</v>
      </c>
      <c r="R154" s="10">
        <v>10.0</v>
      </c>
      <c r="S154" s="9" t="b">
        <v>0</v>
      </c>
      <c r="T154" s="9" t="b">
        <v>1</v>
      </c>
      <c r="U154" s="10">
        <v>10.0</v>
      </c>
    </row>
    <row r="155">
      <c r="A155" s="7" t="s">
        <v>346</v>
      </c>
      <c r="B155" s="7" t="s">
        <v>597</v>
      </c>
      <c r="C155" s="8" t="s">
        <v>328</v>
      </c>
      <c r="D155" s="7" t="s">
        <v>598</v>
      </c>
      <c r="E155" s="8" t="b">
        <f t="shared" ref="E155:K155" si="155">IF(IFERROR(SEARCH(E$1, $D155),0) &gt;= 1, TRUE,FALSE)</f>
        <v>0</v>
      </c>
      <c r="F155" s="8" t="b">
        <f t="shared" si="155"/>
        <v>0</v>
      </c>
      <c r="G155" s="8" t="b">
        <f t="shared" si="155"/>
        <v>0</v>
      </c>
      <c r="H155" s="8" t="b">
        <f t="shared" si="155"/>
        <v>0</v>
      </c>
      <c r="I155" s="8" t="b">
        <f t="shared" si="155"/>
        <v>1</v>
      </c>
      <c r="J155" s="8" t="b">
        <f t="shared" si="155"/>
        <v>0</v>
      </c>
      <c r="K155" s="8" t="b">
        <f t="shared" si="155"/>
        <v>0</v>
      </c>
      <c r="L155" s="9" t="s">
        <v>572</v>
      </c>
      <c r="M155" s="9" t="b">
        <v>1</v>
      </c>
      <c r="N155" s="9" t="b">
        <v>1</v>
      </c>
      <c r="O155" s="9" t="b">
        <v>0</v>
      </c>
      <c r="P155" s="9" t="b">
        <v>1</v>
      </c>
      <c r="Q155" s="7" t="str">
        <f t="shared" si="3"/>
        <v>Domein van het Kasteel van Seneffe</v>
      </c>
      <c r="R155" s="10">
        <v>6.0</v>
      </c>
      <c r="S155" s="9" t="b">
        <v>0</v>
      </c>
      <c r="T155" s="9" t="b">
        <v>1</v>
      </c>
      <c r="U155" s="10">
        <v>6.0</v>
      </c>
    </row>
    <row r="156">
      <c r="A156" s="7" t="s">
        <v>348</v>
      </c>
      <c r="B156" s="7" t="s">
        <v>599</v>
      </c>
      <c r="C156" s="8" t="s">
        <v>328</v>
      </c>
      <c r="D156" s="7" t="s">
        <v>600</v>
      </c>
      <c r="E156" s="8" t="b">
        <f t="shared" ref="E156:K156" si="156">IF(IFERROR(SEARCH(E$1, $D156),0) &gt;= 1, TRUE,FALSE)</f>
        <v>0</v>
      </c>
      <c r="F156" s="8" t="b">
        <f t="shared" si="156"/>
        <v>0</v>
      </c>
      <c r="G156" s="8" t="b">
        <f t="shared" si="156"/>
        <v>0</v>
      </c>
      <c r="H156" s="8" t="b">
        <f t="shared" si="156"/>
        <v>0</v>
      </c>
      <c r="I156" s="8" t="b">
        <f t="shared" si="156"/>
        <v>0</v>
      </c>
      <c r="J156" s="8" t="b">
        <f t="shared" si="156"/>
        <v>0</v>
      </c>
      <c r="K156" s="8" t="b">
        <f t="shared" si="156"/>
        <v>0</v>
      </c>
      <c r="L156" s="9" t="s">
        <v>557</v>
      </c>
      <c r="M156" s="9" t="b">
        <v>1</v>
      </c>
      <c r="N156" s="9" t="b">
        <v>0</v>
      </c>
      <c r="O156" s="9" t="b">
        <v>0</v>
      </c>
      <c r="P156" s="9" t="b">
        <v>0</v>
      </c>
      <c r="Q156" s="7" t="str">
        <f t="shared" si="3"/>
        <v>Gallo-Romeins Museum van Aat</v>
      </c>
      <c r="R156" s="10">
        <v>6.0</v>
      </c>
      <c r="S156" s="9" t="b">
        <v>0</v>
      </c>
      <c r="T156" s="9" t="b">
        <f>FALSE</f>
        <v>0</v>
      </c>
      <c r="U156" s="18"/>
    </row>
    <row r="157">
      <c r="A157" s="7" t="s">
        <v>350</v>
      </c>
      <c r="B157" s="7" t="s">
        <v>601</v>
      </c>
      <c r="C157" s="8" t="s">
        <v>328</v>
      </c>
      <c r="D157" s="7" t="s">
        <v>600</v>
      </c>
      <c r="E157" s="8" t="b">
        <f t="shared" ref="E157:K157" si="157">IF(IFERROR(SEARCH(E$1, $D157),0) &gt;= 1, TRUE,FALSE)</f>
        <v>0</v>
      </c>
      <c r="F157" s="8" t="b">
        <f t="shared" si="157"/>
        <v>0</v>
      </c>
      <c r="G157" s="8" t="b">
        <f t="shared" si="157"/>
        <v>0</v>
      </c>
      <c r="H157" s="8" t="b">
        <f t="shared" si="157"/>
        <v>0</v>
      </c>
      <c r="I157" s="8" t="b">
        <f t="shared" si="157"/>
        <v>0</v>
      </c>
      <c r="J157" s="8" t="b">
        <f t="shared" si="157"/>
        <v>0</v>
      </c>
      <c r="K157" s="8" t="b">
        <f t="shared" si="157"/>
        <v>0</v>
      </c>
      <c r="L157" s="9" t="s">
        <v>602</v>
      </c>
      <c r="M157" s="9" t="b">
        <v>1</v>
      </c>
      <c r="N157" s="9" t="b">
        <v>0</v>
      </c>
      <c r="O157" s="9" t="b">
        <v>1</v>
      </c>
      <c r="P157" s="9" t="b">
        <v>1</v>
      </c>
      <c r="Q157" s="7" t="str">
        <f t="shared" si="3"/>
        <v>Hospitaal Onze-Lieve-Vrouw met de Roos</v>
      </c>
      <c r="R157" s="10">
        <v>13.0</v>
      </c>
      <c r="S157" s="9" t="b">
        <v>0</v>
      </c>
      <c r="T157" s="9" t="b">
        <v>1</v>
      </c>
      <c r="U157" s="10">
        <v>13.0</v>
      </c>
    </row>
    <row r="158">
      <c r="A158" s="7" t="s">
        <v>352</v>
      </c>
      <c r="B158" s="7" t="s">
        <v>603</v>
      </c>
      <c r="C158" s="8" t="s">
        <v>328</v>
      </c>
      <c r="D158" s="7" t="s">
        <v>604</v>
      </c>
      <c r="E158" s="8" t="b">
        <f t="shared" ref="E158:K158" si="158">IF(IFERROR(SEARCH(E$1, $D158),0) &gt;= 1, TRUE,FALSE)</f>
        <v>0</v>
      </c>
      <c r="F158" s="8" t="b">
        <f t="shared" si="158"/>
        <v>0</v>
      </c>
      <c r="G158" s="8" t="b">
        <f t="shared" si="158"/>
        <v>0</v>
      </c>
      <c r="H158" s="8" t="b">
        <f t="shared" si="158"/>
        <v>0</v>
      </c>
      <c r="I158" s="8" t="b">
        <f t="shared" si="158"/>
        <v>0</v>
      </c>
      <c r="J158" s="8" t="b">
        <f t="shared" si="158"/>
        <v>0</v>
      </c>
      <c r="K158" s="8" t="b">
        <f t="shared" si="158"/>
        <v>0</v>
      </c>
      <c r="L158" s="9" t="s">
        <v>602</v>
      </c>
      <c r="M158" s="9" t="b">
        <v>1</v>
      </c>
      <c r="N158" s="9" t="b">
        <v>0</v>
      </c>
      <c r="O158" s="9" t="b">
        <v>0</v>
      </c>
      <c r="P158" s="9" t="b">
        <v>1</v>
      </c>
      <c r="Q158" s="7" t="str">
        <f t="shared" si="3"/>
        <v>Keramis - Centrum van de Keramiek</v>
      </c>
      <c r="R158" s="10">
        <v>8.0</v>
      </c>
      <c r="S158" s="9" t="b">
        <v>0</v>
      </c>
      <c r="T158" s="9" t="b">
        <v>1</v>
      </c>
      <c r="U158" s="10">
        <v>8.0</v>
      </c>
    </row>
    <row r="159">
      <c r="A159" s="7" t="s">
        <v>354</v>
      </c>
      <c r="B159" s="7" t="s">
        <v>605</v>
      </c>
      <c r="C159" s="8" t="s">
        <v>328</v>
      </c>
      <c r="D159" s="7" t="s">
        <v>604</v>
      </c>
      <c r="E159" s="8" t="b">
        <f t="shared" ref="E159:K159" si="159">IF(IFERROR(SEARCH(E$1, $D159),0) &gt;= 1, TRUE,FALSE)</f>
        <v>0</v>
      </c>
      <c r="F159" s="8" t="b">
        <f t="shared" si="159"/>
        <v>0</v>
      </c>
      <c r="G159" s="8" t="b">
        <f t="shared" si="159"/>
        <v>0</v>
      </c>
      <c r="H159" s="8" t="b">
        <f t="shared" si="159"/>
        <v>0</v>
      </c>
      <c r="I159" s="8" t="b">
        <f t="shared" si="159"/>
        <v>0</v>
      </c>
      <c r="J159" s="8" t="b">
        <f t="shared" si="159"/>
        <v>0</v>
      </c>
      <c r="K159" s="8" t="b">
        <f t="shared" si="159"/>
        <v>0</v>
      </c>
      <c r="L159" s="9" t="s">
        <v>557</v>
      </c>
      <c r="M159" s="9" t="b">
        <v>1</v>
      </c>
      <c r="N159" s="9" t="b">
        <v>0</v>
      </c>
      <c r="O159" s="9" t="b">
        <v>0</v>
      </c>
      <c r="P159" s="9" t="b">
        <v>0</v>
      </c>
      <c r="Q159" s="7" t="str">
        <f t="shared" si="3"/>
        <v>Het Reuzenhuis</v>
      </c>
      <c r="R159" s="10">
        <v>8.0</v>
      </c>
      <c r="S159" s="9" t="b">
        <v>0</v>
      </c>
      <c r="T159" s="9" t="b">
        <v>0</v>
      </c>
      <c r="U159" s="7"/>
    </row>
    <row r="160">
      <c r="A160" s="7" t="s">
        <v>356</v>
      </c>
      <c r="B160" s="7" t="s">
        <v>606</v>
      </c>
      <c r="C160" s="8" t="s">
        <v>328</v>
      </c>
      <c r="D160" s="7" t="s">
        <v>600</v>
      </c>
      <c r="E160" s="8" t="b">
        <f t="shared" ref="E160:K160" si="160">IF(IFERROR(SEARCH(E$1, $D160),0) &gt;= 1, TRUE,FALSE)</f>
        <v>0</v>
      </c>
      <c r="F160" s="8" t="b">
        <f t="shared" si="160"/>
        <v>0</v>
      </c>
      <c r="G160" s="8" t="b">
        <f t="shared" si="160"/>
        <v>0</v>
      </c>
      <c r="H160" s="8" t="b">
        <f t="shared" si="160"/>
        <v>0</v>
      </c>
      <c r="I160" s="8" t="b">
        <f t="shared" si="160"/>
        <v>0</v>
      </c>
      <c r="J160" s="8" t="b">
        <f t="shared" si="160"/>
        <v>0</v>
      </c>
      <c r="K160" s="8" t="b">
        <f t="shared" si="160"/>
        <v>0</v>
      </c>
      <c r="L160" s="9" t="s">
        <v>557</v>
      </c>
      <c r="M160" s="9" t="b">
        <v>1</v>
      </c>
      <c r="N160" s="9" t="b">
        <v>0</v>
      </c>
      <c r="O160" s="9" t="b">
        <v>0</v>
      </c>
      <c r="P160" s="9" t="b">
        <v>0</v>
      </c>
      <c r="Q160" s="7" t="str">
        <f t="shared" si="3"/>
        <v>Het Huis Van Gogh</v>
      </c>
      <c r="R160" s="10">
        <v>4.0</v>
      </c>
      <c r="S160" s="9" t="b">
        <v>0</v>
      </c>
      <c r="T160" s="9" t="b">
        <f t="shared" ref="T160:T161" si="162">FALSE</f>
        <v>0</v>
      </c>
      <c r="U160" s="18"/>
    </row>
    <row r="161">
      <c r="A161" s="7"/>
      <c r="B161" s="7" t="s">
        <v>607</v>
      </c>
      <c r="C161" s="8" t="s">
        <v>328</v>
      </c>
      <c r="D161" s="7" t="s">
        <v>608</v>
      </c>
      <c r="E161" s="8" t="b">
        <f t="shared" ref="E161:K161" si="161">IF(IFERROR(SEARCH(E$1, $D161),0) &gt;= 1, TRUE,FALSE)</f>
        <v>0</v>
      </c>
      <c r="F161" s="8" t="b">
        <f t="shared" si="161"/>
        <v>0</v>
      </c>
      <c r="G161" s="8" t="b">
        <f t="shared" si="161"/>
        <v>0</v>
      </c>
      <c r="H161" s="8" t="b">
        <f t="shared" si="161"/>
        <v>0</v>
      </c>
      <c r="I161" s="8" t="b">
        <f t="shared" si="161"/>
        <v>0</v>
      </c>
      <c r="J161" s="8" t="b">
        <f t="shared" si="161"/>
        <v>0</v>
      </c>
      <c r="K161" s="8" t="b">
        <f t="shared" si="161"/>
        <v>0</v>
      </c>
      <c r="L161" s="9" t="s">
        <v>570</v>
      </c>
      <c r="M161" s="9" t="b">
        <v>1</v>
      </c>
      <c r="N161" s="9" t="b">
        <v>1</v>
      </c>
      <c r="O161" s="9" t="b">
        <v>1</v>
      </c>
      <c r="P161" s="9" t="b">
        <v>1</v>
      </c>
      <c r="Q161" s="7" t="str">
        <f t="shared" si="3"/>
        <v>Le Bois du Cazier </v>
      </c>
      <c r="R161" s="10">
        <v>9.0</v>
      </c>
      <c r="S161" s="9" t="b">
        <v>0</v>
      </c>
      <c r="T161" s="9" t="b">
        <f t="shared" si="162"/>
        <v>0</v>
      </c>
      <c r="U161" s="18"/>
    </row>
    <row r="162">
      <c r="A162" s="7" t="s">
        <v>359</v>
      </c>
      <c r="B162" s="7" t="s">
        <v>609</v>
      </c>
      <c r="C162" s="8" t="s">
        <v>328</v>
      </c>
      <c r="D162" s="7" t="s">
        <v>610</v>
      </c>
      <c r="E162" s="8" t="b">
        <f t="shared" ref="E162:K162" si="163">IF(IFERROR(SEARCH(E$1, $D162),0) &gt;= 1, TRUE,FALSE)</f>
        <v>0</v>
      </c>
      <c r="F162" s="8" t="b">
        <f t="shared" si="163"/>
        <v>0</v>
      </c>
      <c r="G162" s="8" t="b">
        <f t="shared" si="163"/>
        <v>0</v>
      </c>
      <c r="H162" s="8" t="b">
        <f t="shared" si="163"/>
        <v>0</v>
      </c>
      <c r="I162" s="8" t="b">
        <f t="shared" si="163"/>
        <v>1</v>
      </c>
      <c r="J162" s="8" t="b">
        <f t="shared" si="163"/>
        <v>0</v>
      </c>
      <c r="K162" s="8" t="b">
        <f t="shared" si="163"/>
        <v>0</v>
      </c>
      <c r="L162" s="9" t="s">
        <v>572</v>
      </c>
      <c r="M162" s="9" t="b">
        <v>1</v>
      </c>
      <c r="N162" s="9" t="b">
        <v>1</v>
      </c>
      <c r="O162" s="9" t="b">
        <v>0</v>
      </c>
      <c r="P162" s="9" t="b">
        <v>1</v>
      </c>
      <c r="Q162" s="7" t="str">
        <f t="shared" si="3"/>
        <v>MACS | Museum voor Hedendaagse Kunsten Grand-Hornu</v>
      </c>
      <c r="R162" s="10">
        <v>10.0</v>
      </c>
      <c r="S162" s="9" t="b">
        <v>0</v>
      </c>
      <c r="T162" s="9" t="b">
        <v>1</v>
      </c>
      <c r="U162" s="10">
        <v>10.0</v>
      </c>
    </row>
    <row r="163">
      <c r="A163" s="7"/>
      <c r="B163" s="7" t="s">
        <v>611</v>
      </c>
      <c r="C163" s="8" t="s">
        <v>328</v>
      </c>
      <c r="D163" s="7" t="s">
        <v>612</v>
      </c>
      <c r="E163" s="8" t="b">
        <f t="shared" ref="E163:K163" si="164">IF(IFERROR(SEARCH(E$1, $D163),0) &gt;= 1, TRUE,FALSE)</f>
        <v>0</v>
      </c>
      <c r="F163" s="8" t="b">
        <f t="shared" si="164"/>
        <v>0</v>
      </c>
      <c r="G163" s="8" t="b">
        <f t="shared" si="164"/>
        <v>0</v>
      </c>
      <c r="H163" s="8" t="b">
        <f t="shared" si="164"/>
        <v>0</v>
      </c>
      <c r="I163" s="8" t="b">
        <f t="shared" si="164"/>
        <v>0</v>
      </c>
      <c r="J163" s="8" t="b">
        <f t="shared" si="164"/>
        <v>0</v>
      </c>
      <c r="K163" s="8" t="b">
        <f t="shared" si="164"/>
        <v>0</v>
      </c>
      <c r="L163" s="9" t="s">
        <v>572</v>
      </c>
      <c r="M163" s="9" t="b">
        <v>1</v>
      </c>
      <c r="N163" s="9" t="b">
        <v>1</v>
      </c>
      <c r="O163" s="9" t="b">
        <v>0</v>
      </c>
      <c r="P163" s="9" t="b">
        <v>1</v>
      </c>
      <c r="Q163" s="7" t="str">
        <f t="shared" si="3"/>
        <v>Maison de l’Imprimerie </v>
      </c>
      <c r="R163" s="10">
        <v>5.0</v>
      </c>
      <c r="S163" s="9" t="b">
        <v>0</v>
      </c>
      <c r="T163" s="9" t="b">
        <v>1</v>
      </c>
      <c r="U163" s="10">
        <v>5.0</v>
      </c>
    </row>
    <row r="164">
      <c r="A164" s="7"/>
      <c r="B164" s="7" t="s">
        <v>613</v>
      </c>
      <c r="C164" s="8" t="s">
        <v>328</v>
      </c>
      <c r="D164" s="7" t="s">
        <v>614</v>
      </c>
      <c r="E164" s="8" t="b">
        <f t="shared" ref="E164:K164" si="165">IF(IFERROR(SEARCH(E$1, $D164),0) &gt;= 1, TRUE,FALSE)</f>
        <v>0</v>
      </c>
      <c r="F164" s="8" t="b">
        <f t="shared" si="165"/>
        <v>0</v>
      </c>
      <c r="G164" s="8" t="b">
        <f t="shared" si="165"/>
        <v>0</v>
      </c>
      <c r="H164" s="8" t="b">
        <f t="shared" si="165"/>
        <v>1</v>
      </c>
      <c r="I164" s="8" t="b">
        <f t="shared" si="165"/>
        <v>1</v>
      </c>
      <c r="J164" s="8" t="b">
        <f t="shared" si="165"/>
        <v>0</v>
      </c>
      <c r="K164" s="8" t="b">
        <f t="shared" si="165"/>
        <v>0</v>
      </c>
      <c r="L164" s="9" t="s">
        <v>557</v>
      </c>
      <c r="M164" s="9" t="b">
        <v>1</v>
      </c>
      <c r="N164" s="9" t="b">
        <v>0</v>
      </c>
      <c r="O164" s="9" t="b">
        <v>0</v>
      </c>
      <c r="P164" s="9" t="b">
        <v>0</v>
      </c>
      <c r="Q164" s="7" t="str">
        <f t="shared" si="3"/>
        <v>Maison Losseau </v>
      </c>
      <c r="R164" s="10">
        <v>5.0</v>
      </c>
      <c r="S164" s="9" t="b">
        <v>0</v>
      </c>
      <c r="T164" s="9" t="b">
        <f>FALSE</f>
        <v>0</v>
      </c>
      <c r="U164" s="18"/>
    </row>
    <row r="165">
      <c r="A165" s="7"/>
      <c r="B165" s="7" t="s">
        <v>615</v>
      </c>
      <c r="C165" s="8" t="s">
        <v>328</v>
      </c>
      <c r="D165" s="7" t="s">
        <v>582</v>
      </c>
      <c r="E165" s="8" t="b">
        <f t="shared" ref="E165:K165" si="166">IF(IFERROR(SEARCH(E$1, $D165),0) &gt;= 1, TRUE,FALSE)</f>
        <v>0</v>
      </c>
      <c r="F165" s="8" t="b">
        <f t="shared" si="166"/>
        <v>0</v>
      </c>
      <c r="G165" s="8" t="b">
        <f t="shared" si="166"/>
        <v>0</v>
      </c>
      <c r="H165" s="8" t="b">
        <f t="shared" si="166"/>
        <v>0</v>
      </c>
      <c r="I165" s="8" t="b">
        <f t="shared" si="166"/>
        <v>1</v>
      </c>
      <c r="J165" s="8" t="b">
        <f t="shared" si="166"/>
        <v>0</v>
      </c>
      <c r="K165" s="8" t="b">
        <f t="shared" si="166"/>
        <v>0</v>
      </c>
      <c r="L165" s="9" t="s">
        <v>557</v>
      </c>
      <c r="M165" s="9" t="b">
        <v>1</v>
      </c>
      <c r="N165" s="9" t="b">
        <v>0</v>
      </c>
      <c r="O165" s="9" t="b">
        <v>0</v>
      </c>
      <c r="P165" s="9" t="b">
        <v>0</v>
      </c>
      <c r="Q165" s="7" t="str">
        <f t="shared" si="3"/>
        <v>Mons Memorial Museum </v>
      </c>
      <c r="R165" s="10">
        <v>9.0</v>
      </c>
      <c r="S165" s="9" t="b">
        <v>0</v>
      </c>
      <c r="T165" s="9" t="b">
        <v>1</v>
      </c>
      <c r="U165" s="10">
        <v>9.0</v>
      </c>
    </row>
    <row r="166">
      <c r="A166" s="7"/>
      <c r="B166" s="7" t="s">
        <v>616</v>
      </c>
      <c r="C166" s="8" t="s">
        <v>328</v>
      </c>
      <c r="D166" s="7" t="s">
        <v>612</v>
      </c>
      <c r="E166" s="8" t="b">
        <f t="shared" ref="E166:K166" si="167">IF(IFERROR(SEARCH(E$1, $D166),0) &gt;= 1, TRUE,FALSE)</f>
        <v>0</v>
      </c>
      <c r="F166" s="8" t="b">
        <f t="shared" si="167"/>
        <v>0</v>
      </c>
      <c r="G166" s="8" t="b">
        <f t="shared" si="167"/>
        <v>0</v>
      </c>
      <c r="H166" s="8" t="b">
        <f t="shared" si="167"/>
        <v>0</v>
      </c>
      <c r="I166" s="8" t="b">
        <f t="shared" si="167"/>
        <v>0</v>
      </c>
      <c r="J166" s="8" t="b">
        <f t="shared" si="167"/>
        <v>0</v>
      </c>
      <c r="K166" s="8" t="b">
        <f t="shared" si="167"/>
        <v>0</v>
      </c>
      <c r="L166" s="9" t="s">
        <v>572</v>
      </c>
      <c r="M166" s="9" t="b">
        <v>1</v>
      </c>
      <c r="N166" s="9" t="b">
        <v>1</v>
      </c>
      <c r="O166" s="9" t="b">
        <v>0</v>
      </c>
      <c r="P166" s="9" t="b">
        <v>1</v>
      </c>
      <c r="Q166" s="7" t="str">
        <f t="shared" si="3"/>
        <v>MUMONS </v>
      </c>
      <c r="R166" s="10">
        <v>5.0</v>
      </c>
      <c r="S166" s="9" t="b">
        <v>0</v>
      </c>
      <c r="T166" s="9" t="b">
        <v>1</v>
      </c>
      <c r="U166" s="10">
        <v>5.0</v>
      </c>
    </row>
    <row r="167">
      <c r="A167" s="7"/>
      <c r="B167" s="7" t="s">
        <v>617</v>
      </c>
      <c r="C167" s="8" t="s">
        <v>328</v>
      </c>
      <c r="D167" s="7" t="s">
        <v>580</v>
      </c>
      <c r="E167" s="8" t="b">
        <f t="shared" ref="E167:K167" si="168">IF(IFERROR(SEARCH(E$1, $D167),0) &gt;= 1, TRUE,FALSE)</f>
        <v>0</v>
      </c>
      <c r="F167" s="8" t="b">
        <f t="shared" si="168"/>
        <v>0</v>
      </c>
      <c r="G167" s="8" t="b">
        <f t="shared" si="168"/>
        <v>0</v>
      </c>
      <c r="H167" s="8" t="b">
        <f t="shared" si="168"/>
        <v>0</v>
      </c>
      <c r="I167" s="8" t="b">
        <f t="shared" si="168"/>
        <v>1</v>
      </c>
      <c r="J167" s="8" t="b">
        <f t="shared" si="168"/>
        <v>0</v>
      </c>
      <c r="K167" s="8" t="b">
        <f t="shared" si="168"/>
        <v>0</v>
      </c>
      <c r="L167" s="9" t="s">
        <v>557</v>
      </c>
      <c r="M167" s="9" t="b">
        <v>1</v>
      </c>
      <c r="N167" s="9" t="b">
        <v>0</v>
      </c>
      <c r="O167" s="9" t="b">
        <v>0</v>
      </c>
      <c r="P167" s="9" t="b">
        <v>0</v>
      </c>
      <c r="Q167" s="7" t="str">
        <f t="shared" si="3"/>
        <v>Mundaneum </v>
      </c>
      <c r="R167" s="10">
        <v>9.0</v>
      </c>
      <c r="S167" s="9" t="b">
        <f>TRUE</f>
        <v>1</v>
      </c>
      <c r="T167" s="9" t="b">
        <f t="shared" ref="T167:T169" si="170">FALSE</f>
        <v>0</v>
      </c>
      <c r="U167" s="18"/>
    </row>
    <row r="168">
      <c r="A168" s="7" t="s">
        <v>368</v>
      </c>
      <c r="B168" s="7" t="s">
        <v>618</v>
      </c>
      <c r="C168" s="8" t="s">
        <v>328</v>
      </c>
      <c r="D168" s="7" t="s">
        <v>600</v>
      </c>
      <c r="E168" s="8" t="b">
        <f t="shared" ref="E168:K168" si="169">IF(IFERROR(SEARCH(E$1, $D168),0) &gt;= 1, TRUE,FALSE)</f>
        <v>0</v>
      </c>
      <c r="F168" s="8" t="b">
        <f t="shared" si="169"/>
        <v>0</v>
      </c>
      <c r="G168" s="8" t="b">
        <f t="shared" si="169"/>
        <v>0</v>
      </c>
      <c r="H168" s="8" t="b">
        <f t="shared" si="169"/>
        <v>0</v>
      </c>
      <c r="I168" s="8" t="b">
        <f t="shared" si="169"/>
        <v>0</v>
      </c>
      <c r="J168" s="8" t="b">
        <f t="shared" si="169"/>
        <v>0</v>
      </c>
      <c r="K168" s="8" t="b">
        <f t="shared" si="169"/>
        <v>0</v>
      </c>
      <c r="L168" s="9" t="s">
        <v>557</v>
      </c>
      <c r="M168" s="9" t="b">
        <v>1</v>
      </c>
      <c r="N168" s="9" t="b">
        <v>0</v>
      </c>
      <c r="O168" s="9" t="b">
        <v>0</v>
      </c>
      <c r="P168" s="9" t="b">
        <v>0</v>
      </c>
      <c r="Q168" s="7" t="str">
        <f t="shared" si="3"/>
        <v>Archeologiemuseum</v>
      </c>
      <c r="R168" s="10">
        <v>0.0</v>
      </c>
      <c r="S168" s="9" t="b">
        <v>1</v>
      </c>
      <c r="T168" s="9" t="b">
        <f t="shared" si="170"/>
        <v>0</v>
      </c>
      <c r="U168" s="7"/>
    </row>
    <row r="169">
      <c r="A169" s="7" t="s">
        <v>370</v>
      </c>
      <c r="B169" s="7" t="s">
        <v>619</v>
      </c>
      <c r="C169" s="8" t="s">
        <v>328</v>
      </c>
      <c r="D169" s="7" t="s">
        <v>4</v>
      </c>
      <c r="E169" s="8" t="b">
        <f t="shared" ref="E169:K169" si="171">IF(IFERROR(SEARCH(E$1, $D169),0) &gt;= 1, TRUE,FALSE)</f>
        <v>0</v>
      </c>
      <c r="F169" s="8" t="b">
        <f t="shared" si="171"/>
        <v>0</v>
      </c>
      <c r="G169" s="8" t="b">
        <f t="shared" si="171"/>
        <v>0</v>
      </c>
      <c r="H169" s="8" t="b">
        <f t="shared" si="171"/>
        <v>0</v>
      </c>
      <c r="I169" s="8" t="b">
        <f t="shared" si="171"/>
        <v>0</v>
      </c>
      <c r="J169" s="8" t="b">
        <f t="shared" si="171"/>
        <v>0</v>
      </c>
      <c r="K169" s="8" t="b">
        <f t="shared" si="171"/>
        <v>0</v>
      </c>
      <c r="L169" s="9" t="s">
        <v>557</v>
      </c>
      <c r="M169" s="9" t="b">
        <v>1</v>
      </c>
      <c r="N169" s="9" t="b">
        <v>0</v>
      </c>
      <c r="O169" s="9" t="b">
        <v>0</v>
      </c>
      <c r="P169" s="9" t="b">
        <v>0</v>
      </c>
      <c r="Q169" s="7" t="str">
        <f t="shared" si="3"/>
        <v>Folkloremuseum</v>
      </c>
      <c r="R169" s="10">
        <v>4.0</v>
      </c>
      <c r="S169" s="9" t="b">
        <v>0</v>
      </c>
      <c r="T169" s="9" t="b">
        <f t="shared" si="170"/>
        <v>0</v>
      </c>
      <c r="U169" s="18"/>
    </row>
    <row r="170">
      <c r="A170" s="7" t="s">
        <v>372</v>
      </c>
      <c r="B170" s="7" t="s">
        <v>620</v>
      </c>
      <c r="C170" s="8" t="s">
        <v>328</v>
      </c>
      <c r="D170" s="7" t="s">
        <v>594</v>
      </c>
      <c r="E170" s="8" t="b">
        <f t="shared" ref="E170:K170" si="172">IF(IFERROR(SEARCH(E$1, $D170),0) &gt;= 1, TRUE,FALSE)</f>
        <v>0</v>
      </c>
      <c r="F170" s="8" t="b">
        <f t="shared" si="172"/>
        <v>0</v>
      </c>
      <c r="G170" s="8" t="b">
        <f t="shared" si="172"/>
        <v>0</v>
      </c>
      <c r="H170" s="8" t="b">
        <f t="shared" si="172"/>
        <v>0</v>
      </c>
      <c r="I170" s="8" t="b">
        <f t="shared" si="172"/>
        <v>0</v>
      </c>
      <c r="J170" s="8" t="b">
        <f t="shared" si="172"/>
        <v>0</v>
      </c>
      <c r="K170" s="8" t="b">
        <f t="shared" si="172"/>
        <v>0</v>
      </c>
      <c r="L170" s="9" t="s">
        <v>566</v>
      </c>
      <c r="M170" s="9" t="b">
        <v>1</v>
      </c>
      <c r="N170" s="9" t="b">
        <v>1</v>
      </c>
      <c r="O170" s="9" t="b">
        <v>0</v>
      </c>
      <c r="P170" s="9" t="b">
        <v>0</v>
      </c>
      <c r="Q170" s="7" t="str">
        <f t="shared" si="3"/>
        <v>Fotografiemuseum</v>
      </c>
      <c r="R170" s="10">
        <v>4.0</v>
      </c>
      <c r="S170" s="9" t="b">
        <v>0</v>
      </c>
      <c r="T170" s="9" t="b">
        <v>1</v>
      </c>
      <c r="U170" s="10">
        <v>8.0</v>
      </c>
    </row>
    <row r="171">
      <c r="A171" s="7" t="s">
        <v>374</v>
      </c>
      <c r="B171" s="7" t="s">
        <v>621</v>
      </c>
      <c r="C171" s="8" t="s">
        <v>328</v>
      </c>
      <c r="D171" s="7" t="s">
        <v>622</v>
      </c>
      <c r="E171" s="8" t="b">
        <f t="shared" ref="E171:K171" si="173">IF(IFERROR(SEARCH(E$1, $D171),0) &gt;= 1, TRUE,FALSE)</f>
        <v>0</v>
      </c>
      <c r="F171" s="8" t="b">
        <f t="shared" si="173"/>
        <v>0</v>
      </c>
      <c r="G171" s="8" t="b">
        <f t="shared" si="173"/>
        <v>0</v>
      </c>
      <c r="H171" s="8" t="b">
        <f t="shared" si="173"/>
        <v>0</v>
      </c>
      <c r="I171" s="8" t="b">
        <f t="shared" si="173"/>
        <v>0</v>
      </c>
      <c r="J171" s="8" t="b">
        <f t="shared" si="173"/>
        <v>0</v>
      </c>
      <c r="K171" s="8" t="b">
        <f t="shared" si="173"/>
        <v>0</v>
      </c>
      <c r="L171" s="9" t="s">
        <v>566</v>
      </c>
      <c r="M171" s="9" t="b">
        <v>1</v>
      </c>
      <c r="N171" s="9" t="b">
        <v>1</v>
      </c>
      <c r="O171" s="9" t="b">
        <v>0</v>
      </c>
      <c r="P171" s="9" t="b">
        <v>0</v>
      </c>
      <c r="Q171" s="7" t="str">
        <f t="shared" si="3"/>
        <v>Lintweverijmuseum van Komen</v>
      </c>
      <c r="R171" s="10">
        <v>7.0</v>
      </c>
      <c r="S171" s="9" t="b">
        <v>0</v>
      </c>
      <c r="T171" s="9" t="b">
        <f>FALSE</f>
        <v>0</v>
      </c>
      <c r="U171" s="18"/>
    </row>
    <row r="172">
      <c r="A172" s="7"/>
      <c r="B172" s="7" t="s">
        <v>623</v>
      </c>
      <c r="C172" s="8" t="s">
        <v>328</v>
      </c>
      <c r="D172" s="7" t="s">
        <v>604</v>
      </c>
      <c r="E172" s="8" t="b">
        <f t="shared" ref="E172:K172" si="174">IF(IFERROR(SEARCH(E$1, $D172),0) &gt;= 1, TRUE,FALSE)</f>
        <v>0</v>
      </c>
      <c r="F172" s="8" t="b">
        <f t="shared" si="174"/>
        <v>0</v>
      </c>
      <c r="G172" s="8" t="b">
        <f t="shared" si="174"/>
        <v>0</v>
      </c>
      <c r="H172" s="8" t="b">
        <f t="shared" si="174"/>
        <v>0</v>
      </c>
      <c r="I172" s="8" t="b">
        <f t="shared" si="174"/>
        <v>0</v>
      </c>
      <c r="J172" s="8" t="b">
        <f t="shared" si="174"/>
        <v>0</v>
      </c>
      <c r="K172" s="8" t="b">
        <f t="shared" si="174"/>
        <v>0</v>
      </c>
      <c r="L172" s="9" t="s">
        <v>557</v>
      </c>
      <c r="M172" s="9" t="b">
        <v>1</v>
      </c>
      <c r="N172" s="9" t="b">
        <v>0</v>
      </c>
      <c r="O172" s="9" t="b">
        <v>0</v>
      </c>
      <c r="P172" s="9" t="b">
        <v>0</v>
      </c>
      <c r="Q172" s="7" t="str">
        <f t="shared" si="3"/>
        <v>Musée des arts de la Marionnette </v>
      </c>
      <c r="R172" s="10">
        <v>0.0</v>
      </c>
      <c r="S172" s="9" t="b">
        <v>0</v>
      </c>
      <c r="T172" s="9" t="b">
        <f>TRUE</f>
        <v>1</v>
      </c>
      <c r="U172" s="10">
        <v>0.0</v>
      </c>
    </row>
    <row r="173">
      <c r="A173" s="7" t="s">
        <v>377</v>
      </c>
      <c r="B173" s="7" t="s">
        <v>624</v>
      </c>
      <c r="C173" s="8" t="s">
        <v>328</v>
      </c>
      <c r="D173" s="7" t="s">
        <v>594</v>
      </c>
      <c r="E173" s="8" t="b">
        <f t="shared" ref="E173:K173" si="175">IF(IFERROR(SEARCH(E$1, $D173),0) &gt;= 1, TRUE,FALSE)</f>
        <v>0</v>
      </c>
      <c r="F173" s="8" t="b">
        <f t="shared" si="175"/>
        <v>0</v>
      </c>
      <c r="G173" s="8" t="b">
        <f t="shared" si="175"/>
        <v>0</v>
      </c>
      <c r="H173" s="8" t="b">
        <f t="shared" si="175"/>
        <v>0</v>
      </c>
      <c r="I173" s="8" t="b">
        <f t="shared" si="175"/>
        <v>0</v>
      </c>
      <c r="J173" s="8" t="b">
        <f t="shared" si="175"/>
        <v>0</v>
      </c>
      <c r="K173" s="8" t="b">
        <f t="shared" si="175"/>
        <v>0</v>
      </c>
      <c r="L173" s="9" t="s">
        <v>566</v>
      </c>
      <c r="M173" s="9" t="b">
        <v>1</v>
      </c>
      <c r="N173" s="9" t="b">
        <v>1</v>
      </c>
      <c r="O173" s="9" t="b">
        <v>0</v>
      </c>
      <c r="P173" s="9" t="b">
        <v>0</v>
      </c>
      <c r="Q173" s="7" t="str">
        <f t="shared" si="3"/>
        <v>Museum voor Schone Kunsten van Doornik</v>
      </c>
      <c r="R173" s="10">
        <v>4.0</v>
      </c>
      <c r="S173" s="9" t="b">
        <v>0</v>
      </c>
      <c r="T173" s="9" t="b">
        <v>1</v>
      </c>
      <c r="U173" s="10">
        <v>4.0</v>
      </c>
    </row>
    <row r="174">
      <c r="A174" s="7" t="s">
        <v>379</v>
      </c>
      <c r="B174" s="7" t="s">
        <v>625</v>
      </c>
      <c r="C174" s="8" t="s">
        <v>328</v>
      </c>
      <c r="D174" s="7" t="s">
        <v>4</v>
      </c>
      <c r="E174" s="8" t="b">
        <f t="shared" ref="E174:K174" si="176">IF(IFERROR(SEARCH(E$1, $D174),0) &gt;= 1, TRUE,FALSE)</f>
        <v>0</v>
      </c>
      <c r="F174" s="8" t="b">
        <f t="shared" si="176"/>
        <v>0</v>
      </c>
      <c r="G174" s="8" t="b">
        <f t="shared" si="176"/>
        <v>0</v>
      </c>
      <c r="H174" s="8" t="b">
        <f t="shared" si="176"/>
        <v>0</v>
      </c>
      <c r="I174" s="8" t="b">
        <f t="shared" si="176"/>
        <v>0</v>
      </c>
      <c r="J174" s="8" t="b">
        <f t="shared" si="176"/>
        <v>0</v>
      </c>
      <c r="K174" s="8" t="b">
        <f t="shared" si="176"/>
        <v>0</v>
      </c>
      <c r="L174" s="9" t="s">
        <v>557</v>
      </c>
      <c r="M174" s="9" t="b">
        <v>1</v>
      </c>
      <c r="N174" s="9" t="b">
        <v>0</v>
      </c>
      <c r="O174" s="9" t="b">
        <v>0</v>
      </c>
      <c r="P174" s="9" t="b">
        <v>0</v>
      </c>
      <c r="Q174" s="7" t="str">
        <f t="shared" si="3"/>
        <v>Museum voor militaire geschiedenis</v>
      </c>
      <c r="R174" s="10">
        <v>4.0</v>
      </c>
      <c r="S174" s="9" t="b">
        <v>0</v>
      </c>
      <c r="T174" s="9" t="b">
        <f>FALSE</f>
        <v>0</v>
      </c>
      <c r="U174" s="18"/>
    </row>
    <row r="175">
      <c r="A175" s="7" t="s">
        <v>381</v>
      </c>
      <c r="B175" s="7" t="s">
        <v>626</v>
      </c>
      <c r="C175" s="8" t="s">
        <v>328</v>
      </c>
      <c r="D175" s="7" t="s">
        <v>612</v>
      </c>
      <c r="E175" s="8" t="b">
        <f t="shared" ref="E175:K175" si="177">IF(IFERROR(SEARCH(E$1, $D175),0) &gt;= 1, TRUE,FALSE)</f>
        <v>0</v>
      </c>
      <c r="F175" s="8" t="b">
        <f t="shared" si="177"/>
        <v>0</v>
      </c>
      <c r="G175" s="8" t="b">
        <f t="shared" si="177"/>
        <v>0</v>
      </c>
      <c r="H175" s="8" t="b">
        <f t="shared" si="177"/>
        <v>0</v>
      </c>
      <c r="I175" s="8" t="b">
        <f t="shared" si="177"/>
        <v>0</v>
      </c>
      <c r="J175" s="8" t="b">
        <f t="shared" si="177"/>
        <v>0</v>
      </c>
      <c r="K175" s="8" t="b">
        <f t="shared" si="177"/>
        <v>0</v>
      </c>
      <c r="L175" s="9" t="s">
        <v>566</v>
      </c>
      <c r="M175" s="9" t="b">
        <v>1</v>
      </c>
      <c r="N175" s="9" t="b">
        <v>1</v>
      </c>
      <c r="O175" s="9" t="b">
        <v>0</v>
      </c>
      <c r="P175" s="9" t="b">
        <v>0</v>
      </c>
      <c r="Q175" s="7" t="str">
        <f t="shared" si="3"/>
        <v>Natuurhistorisch Museum en Vivarium</v>
      </c>
      <c r="R175" s="10">
        <v>4.0</v>
      </c>
      <c r="S175" s="9" t="b">
        <f>FALSE</f>
        <v>0</v>
      </c>
      <c r="T175" s="9" t="b">
        <v>1</v>
      </c>
      <c r="U175" s="10">
        <v>4.0</v>
      </c>
    </row>
    <row r="176">
      <c r="A176" s="7" t="s">
        <v>383</v>
      </c>
      <c r="B176" s="7" t="s">
        <v>627</v>
      </c>
      <c r="C176" s="8" t="s">
        <v>328</v>
      </c>
      <c r="D176" s="7" t="s">
        <v>4</v>
      </c>
      <c r="E176" s="8" t="b">
        <f t="shared" ref="E176:K176" si="178">IF(IFERROR(SEARCH(E$1, $D176),0) &gt;= 1, TRUE,FALSE)</f>
        <v>0</v>
      </c>
      <c r="F176" s="8" t="b">
        <f t="shared" si="178"/>
        <v>0</v>
      </c>
      <c r="G176" s="8" t="b">
        <f t="shared" si="178"/>
        <v>0</v>
      </c>
      <c r="H176" s="8" t="b">
        <f t="shared" si="178"/>
        <v>0</v>
      </c>
      <c r="I176" s="8" t="b">
        <f t="shared" si="178"/>
        <v>0</v>
      </c>
      <c r="J176" s="8" t="b">
        <f t="shared" si="178"/>
        <v>0</v>
      </c>
      <c r="K176" s="8" t="b">
        <f t="shared" si="178"/>
        <v>0</v>
      </c>
      <c r="L176" s="9" t="s">
        <v>557</v>
      </c>
      <c r="M176" s="9" t="b">
        <v>1</v>
      </c>
      <c r="N176" s="9" t="b">
        <v>0</v>
      </c>
      <c r="O176" s="9" t="b">
        <v>0</v>
      </c>
      <c r="P176" s="9" t="b">
        <v>0</v>
      </c>
      <c r="Q176" s="7" t="str">
        <f t="shared" si="3"/>
        <v>Doudoumuseum</v>
      </c>
      <c r="R176" s="10">
        <v>9.0</v>
      </c>
      <c r="S176" s="9" t="b">
        <v>0</v>
      </c>
      <c r="T176" s="9" t="b">
        <v>0</v>
      </c>
      <c r="U176" s="7"/>
    </row>
    <row r="177">
      <c r="A177" s="7" t="s">
        <v>385</v>
      </c>
      <c r="B177" s="7" t="s">
        <v>628</v>
      </c>
      <c r="C177" s="8" t="s">
        <v>328</v>
      </c>
      <c r="D177" s="7" t="s">
        <v>600</v>
      </c>
      <c r="E177" s="8" t="b">
        <f t="shared" ref="E177:K177" si="179">IF(IFERROR(SEARCH(E$1, $D177),0) &gt;= 1, TRUE,FALSE)</f>
        <v>0</v>
      </c>
      <c r="F177" s="8" t="b">
        <f t="shared" si="179"/>
        <v>0</v>
      </c>
      <c r="G177" s="8" t="b">
        <f t="shared" si="179"/>
        <v>0</v>
      </c>
      <c r="H177" s="8" t="b">
        <f t="shared" si="179"/>
        <v>0</v>
      </c>
      <c r="I177" s="8" t="b">
        <f t="shared" si="179"/>
        <v>0</v>
      </c>
      <c r="J177" s="8" t="b">
        <f t="shared" si="179"/>
        <v>0</v>
      </c>
      <c r="K177" s="8" t="b">
        <f t="shared" si="179"/>
        <v>0</v>
      </c>
      <c r="L177" s="9" t="s">
        <v>570</v>
      </c>
      <c r="M177" s="9" t="b">
        <v>1</v>
      </c>
      <c r="N177" s="9" t="b">
        <v>1</v>
      </c>
      <c r="O177" s="9" t="b">
        <v>1</v>
      </c>
      <c r="P177" s="9" t="b">
        <v>1</v>
      </c>
      <c r="Q177" s="7" t="str">
        <f t="shared" si="3"/>
        <v>Internationaal Museum van het Carnaval en het Masker</v>
      </c>
      <c r="R177" s="10">
        <v>8.0</v>
      </c>
      <c r="S177" s="9" t="b">
        <v>0</v>
      </c>
      <c r="T177" s="9" t="b">
        <v>1</v>
      </c>
      <c r="U177" s="10">
        <v>8.0</v>
      </c>
    </row>
    <row r="178">
      <c r="A178" s="7" t="s">
        <v>387</v>
      </c>
      <c r="B178" s="7" t="s">
        <v>629</v>
      </c>
      <c r="C178" s="8" t="s">
        <v>328</v>
      </c>
      <c r="D178" s="7" t="s">
        <v>604</v>
      </c>
      <c r="E178" s="8" t="b">
        <f t="shared" ref="E178:K178" si="180">IF(IFERROR(SEARCH(E$1, $D178),0) &gt;= 1, TRUE,FALSE)</f>
        <v>0</v>
      </c>
      <c r="F178" s="8" t="b">
        <f t="shared" si="180"/>
        <v>0</v>
      </c>
      <c r="G178" s="8" t="b">
        <f t="shared" si="180"/>
        <v>0</v>
      </c>
      <c r="H178" s="8" t="b">
        <f t="shared" si="180"/>
        <v>0</v>
      </c>
      <c r="I178" s="8" t="b">
        <f t="shared" si="180"/>
        <v>0</v>
      </c>
      <c r="J178" s="8" t="b">
        <f t="shared" si="180"/>
        <v>0</v>
      </c>
      <c r="K178" s="8" t="b">
        <f t="shared" si="180"/>
        <v>0</v>
      </c>
      <c r="L178" s="9" t="s">
        <v>572</v>
      </c>
      <c r="M178" s="9" t="b">
        <v>1</v>
      </c>
      <c r="N178" s="9" t="b">
        <v>1</v>
      </c>
      <c r="O178" s="9" t="b">
        <v>0</v>
      </c>
      <c r="P178" s="9" t="b">
        <v>1</v>
      </c>
      <c r="Q178" s="7" t="str">
        <f t="shared" si="3"/>
        <v>Koninklijk Museum van Mariemont</v>
      </c>
      <c r="R178" s="10">
        <v>9.0</v>
      </c>
      <c r="S178" s="9" t="b">
        <v>1</v>
      </c>
      <c r="T178" s="9" t="b">
        <v>1</v>
      </c>
      <c r="U178" s="10">
        <v>9.0</v>
      </c>
    </row>
    <row r="179">
      <c r="A179" s="7"/>
      <c r="B179" s="7" t="s">
        <v>630</v>
      </c>
      <c r="C179" s="8" t="s">
        <v>328</v>
      </c>
      <c r="D179" s="7" t="s">
        <v>600</v>
      </c>
      <c r="E179" s="8" t="b">
        <f t="shared" ref="E179:K179" si="181">IF(IFERROR(SEARCH(E$1, $D179),0) &gt;= 1, TRUE,FALSE)</f>
        <v>0</v>
      </c>
      <c r="F179" s="8" t="b">
        <f t="shared" si="181"/>
        <v>0</v>
      </c>
      <c r="G179" s="8" t="b">
        <f t="shared" si="181"/>
        <v>0</v>
      </c>
      <c r="H179" s="8" t="b">
        <f t="shared" si="181"/>
        <v>0</v>
      </c>
      <c r="I179" s="8" t="b">
        <f t="shared" si="181"/>
        <v>0</v>
      </c>
      <c r="J179" s="8" t="b">
        <f t="shared" si="181"/>
        <v>0</v>
      </c>
      <c r="K179" s="8" t="b">
        <f t="shared" si="181"/>
        <v>0</v>
      </c>
      <c r="L179" s="9" t="s">
        <v>572</v>
      </c>
      <c r="M179" s="9" t="b">
        <v>1</v>
      </c>
      <c r="N179" s="9" t="b">
        <v>1</v>
      </c>
      <c r="O179" s="9" t="b">
        <v>0</v>
      </c>
      <c r="P179" s="9" t="b">
        <v>1</v>
      </c>
      <c r="Q179" s="7" t="str">
        <f t="shared" si="3"/>
        <v>Plugstreet 14-18 experience </v>
      </c>
      <c r="R179" s="10">
        <v>5.0</v>
      </c>
      <c r="S179" s="9" t="b">
        <v>0</v>
      </c>
      <c r="T179" s="9" t="b">
        <f>TRUE</f>
        <v>1</v>
      </c>
      <c r="U179" s="10">
        <v>5.0</v>
      </c>
    </row>
    <row r="180">
      <c r="A180" s="7"/>
      <c r="B180" s="7" t="s">
        <v>631</v>
      </c>
      <c r="C180" s="8" t="s">
        <v>328</v>
      </c>
      <c r="D180" s="7" t="s">
        <v>600</v>
      </c>
      <c r="E180" s="8" t="b">
        <f t="shared" ref="E180:K180" si="182">IF(IFERROR(SEARCH(E$1, $D180),0) &gt;= 1, TRUE,FALSE)</f>
        <v>0</v>
      </c>
      <c r="F180" s="8" t="b">
        <f t="shared" si="182"/>
        <v>0</v>
      </c>
      <c r="G180" s="8" t="b">
        <f t="shared" si="182"/>
        <v>0</v>
      </c>
      <c r="H180" s="8" t="b">
        <f t="shared" si="182"/>
        <v>0</v>
      </c>
      <c r="I180" s="8" t="b">
        <f t="shared" si="182"/>
        <v>0</v>
      </c>
      <c r="J180" s="8" t="b">
        <f t="shared" si="182"/>
        <v>0</v>
      </c>
      <c r="K180" s="8" t="b">
        <f t="shared" si="182"/>
        <v>0</v>
      </c>
      <c r="L180" s="9" t="s">
        <v>557</v>
      </c>
      <c r="M180" s="9" t="b">
        <v>1</v>
      </c>
      <c r="N180" s="9" t="b">
        <v>0</v>
      </c>
      <c r="O180" s="9" t="b">
        <v>0</v>
      </c>
      <c r="P180" s="9" t="b">
        <v>0</v>
      </c>
      <c r="Q180" s="7" t="str">
        <f t="shared" si="3"/>
        <v>Silex’s </v>
      </c>
      <c r="R180" s="10">
        <v>6.0</v>
      </c>
      <c r="S180" s="9" t="b">
        <f>TRUE</f>
        <v>1</v>
      </c>
      <c r="T180" s="9" t="b">
        <f>FALSE</f>
        <v>0</v>
      </c>
      <c r="U180" s="7"/>
    </row>
    <row r="181">
      <c r="A181" s="7" t="s">
        <v>391</v>
      </c>
      <c r="B181" s="7" t="s">
        <v>632</v>
      </c>
      <c r="C181" s="8" t="s">
        <v>328</v>
      </c>
      <c r="D181" s="7" t="s">
        <v>633</v>
      </c>
      <c r="E181" s="8" t="b">
        <f t="shared" ref="E181:K181" si="183">IF(IFERROR(SEARCH(E$1, $D181),0) &gt;= 1, TRUE,FALSE)</f>
        <v>0</v>
      </c>
      <c r="F181" s="8" t="b">
        <f t="shared" si="183"/>
        <v>0</v>
      </c>
      <c r="G181" s="8" t="b">
        <f t="shared" si="183"/>
        <v>1</v>
      </c>
      <c r="H181" s="8" t="b">
        <f t="shared" si="183"/>
        <v>0</v>
      </c>
      <c r="I181" s="8" t="b">
        <f t="shared" si="183"/>
        <v>0</v>
      </c>
      <c r="J181" s="8" t="b">
        <f t="shared" si="183"/>
        <v>0</v>
      </c>
      <c r="K181" s="8" t="b">
        <f t="shared" si="183"/>
        <v>0</v>
      </c>
      <c r="L181" s="9" t="s">
        <v>557</v>
      </c>
      <c r="M181" s="9" t="b">
        <v>1</v>
      </c>
      <c r="N181" s="9" t="b">
        <v>0</v>
      </c>
      <c r="O181" s="9" t="b">
        <v>0</v>
      </c>
      <c r="P181" s="9" t="b">
        <v>0</v>
      </c>
      <c r="Q181" s="7" t="str">
        <f t="shared" si="3"/>
        <v>TAMAT | Museum voor Wandtapijten en Textielkunsten van de Federatie Wallonië-Brussel</v>
      </c>
      <c r="R181" s="10">
        <v>7.0</v>
      </c>
      <c r="S181" s="9" t="b">
        <v>0</v>
      </c>
      <c r="T181" s="9" t="b">
        <f>TRUE</f>
        <v>1</v>
      </c>
      <c r="U181" s="10">
        <v>7.0</v>
      </c>
    </row>
    <row r="182">
      <c r="A182" s="7"/>
      <c r="B182" s="7" t="s">
        <v>394</v>
      </c>
      <c r="C182" s="8" t="s">
        <v>395</v>
      </c>
      <c r="D182" s="7" t="s">
        <v>4</v>
      </c>
      <c r="E182" s="8" t="b">
        <f t="shared" ref="E182:K182" si="184">IF(IFERROR(SEARCH(E$1, $D182),0) &gt;= 1, TRUE,FALSE)</f>
        <v>0</v>
      </c>
      <c r="F182" s="8" t="b">
        <f t="shared" si="184"/>
        <v>0</v>
      </c>
      <c r="G182" s="8" t="b">
        <f t="shared" si="184"/>
        <v>0</v>
      </c>
      <c r="H182" s="8" t="b">
        <f t="shared" si="184"/>
        <v>0</v>
      </c>
      <c r="I182" s="8" t="b">
        <f t="shared" si="184"/>
        <v>0</v>
      </c>
      <c r="J182" s="8" t="b">
        <f t="shared" si="184"/>
        <v>0</v>
      </c>
      <c r="K182" s="8" t="b">
        <f t="shared" si="184"/>
        <v>0</v>
      </c>
      <c r="L182" s="9" t="s">
        <v>558</v>
      </c>
      <c r="M182" s="9" t="b">
        <v>0</v>
      </c>
      <c r="N182" s="9" t="b">
        <v>1</v>
      </c>
      <c r="O182" s="9" t="b">
        <v>0</v>
      </c>
      <c r="P182" s="9" t="b">
        <v>0</v>
      </c>
      <c r="Q182" s="7" t="str">
        <f t="shared" si="3"/>
        <v>Bastogne Barracks</v>
      </c>
      <c r="R182" s="10">
        <v>12.0</v>
      </c>
      <c r="S182" s="9" t="b">
        <v>0</v>
      </c>
      <c r="T182" s="9" t="b">
        <v>0</v>
      </c>
      <c r="U182" s="7"/>
    </row>
    <row r="183">
      <c r="A183" s="7"/>
      <c r="B183" s="7" t="s">
        <v>396</v>
      </c>
      <c r="C183" s="8" t="s">
        <v>395</v>
      </c>
      <c r="D183" s="7" t="s">
        <v>206</v>
      </c>
      <c r="E183" s="8" t="b">
        <f t="shared" ref="E183:K183" si="185">IF(IFERROR(SEARCH(E$1, $D183),0) &gt;= 1, TRUE,FALSE)</f>
        <v>0</v>
      </c>
      <c r="F183" s="8" t="b">
        <f t="shared" si="185"/>
        <v>0</v>
      </c>
      <c r="G183" s="8" t="b">
        <f t="shared" si="185"/>
        <v>0</v>
      </c>
      <c r="H183" s="8" t="b">
        <f t="shared" si="185"/>
        <v>0</v>
      </c>
      <c r="I183" s="8" t="b">
        <f t="shared" si="185"/>
        <v>1</v>
      </c>
      <c r="J183" s="8" t="b">
        <f t="shared" si="185"/>
        <v>0</v>
      </c>
      <c r="K183" s="8" t="b">
        <f t="shared" si="185"/>
        <v>0</v>
      </c>
      <c r="L183" s="9" t="s">
        <v>557</v>
      </c>
      <c r="M183" s="9" t="b">
        <v>1</v>
      </c>
      <c r="N183" s="9" t="b">
        <v>0</v>
      </c>
      <c r="O183" s="9" t="b">
        <v>0</v>
      </c>
      <c r="P183" s="9" t="b">
        <v>0</v>
      </c>
      <c r="Q183" s="7" t="str">
        <f t="shared" si="3"/>
        <v>DHAM | Durbuy History &amp; Art Museum</v>
      </c>
      <c r="R183" s="10">
        <v>6.0</v>
      </c>
      <c r="S183" s="9" t="b">
        <v>0</v>
      </c>
      <c r="T183" s="9" t="b">
        <v>1</v>
      </c>
      <c r="U183" s="10">
        <v>6.0</v>
      </c>
    </row>
    <row r="184">
      <c r="A184" s="7"/>
      <c r="B184" s="7" t="s">
        <v>397</v>
      </c>
      <c r="C184" s="8" t="s">
        <v>395</v>
      </c>
      <c r="D184" s="7" t="s">
        <v>634</v>
      </c>
      <c r="E184" s="8" t="b">
        <f t="shared" ref="E184:K184" si="186">IF(IFERROR(SEARCH(E$1, $D184),0) &gt;= 1, TRUE,FALSE)</f>
        <v>0</v>
      </c>
      <c r="F184" s="8" t="b">
        <f t="shared" si="186"/>
        <v>0</v>
      </c>
      <c r="G184" s="8" t="b">
        <f t="shared" si="186"/>
        <v>1</v>
      </c>
      <c r="H184" s="8" t="b">
        <f t="shared" si="186"/>
        <v>0</v>
      </c>
      <c r="I184" s="8" t="b">
        <f t="shared" si="186"/>
        <v>1</v>
      </c>
      <c r="J184" s="8" t="b">
        <f t="shared" si="186"/>
        <v>0</v>
      </c>
      <c r="K184" s="8" t="b">
        <f t="shared" si="186"/>
        <v>0</v>
      </c>
      <c r="L184" s="9" t="s">
        <v>557</v>
      </c>
      <c r="M184" s="9" t="b">
        <v>1</v>
      </c>
      <c r="N184" s="9" t="b">
        <v>0</v>
      </c>
      <c r="O184" s="9" t="b">
        <v>0</v>
      </c>
      <c r="P184" s="9" t="b">
        <v>0</v>
      </c>
      <c r="Q184" s="7" t="str">
        <f t="shared" si="3"/>
        <v>FAM | Famenne &amp; Art Museum</v>
      </c>
      <c r="R184" s="10">
        <v>5.0</v>
      </c>
      <c r="S184" s="9" t="b">
        <v>0</v>
      </c>
      <c r="T184" s="9" t="b">
        <v>1</v>
      </c>
      <c r="U184" s="10">
        <v>5.0</v>
      </c>
    </row>
    <row r="185">
      <c r="A185" s="7" t="s">
        <v>399</v>
      </c>
      <c r="B185" s="7" t="s">
        <v>400</v>
      </c>
      <c r="C185" s="8" t="s">
        <v>395</v>
      </c>
      <c r="D185" s="7" t="s">
        <v>600</v>
      </c>
      <c r="E185" s="8" t="b">
        <f t="shared" ref="E185:K185" si="187">IF(IFERROR(SEARCH(E$1, $D185),0) &gt;= 1, TRUE,FALSE)</f>
        <v>0</v>
      </c>
      <c r="F185" s="8" t="b">
        <f t="shared" si="187"/>
        <v>0</v>
      </c>
      <c r="G185" s="8" t="b">
        <f t="shared" si="187"/>
        <v>0</v>
      </c>
      <c r="H185" s="8" t="b">
        <f t="shared" si="187"/>
        <v>0</v>
      </c>
      <c r="I185" s="8" t="b">
        <f t="shared" si="187"/>
        <v>0</v>
      </c>
      <c r="J185" s="8" t="b">
        <f t="shared" si="187"/>
        <v>0</v>
      </c>
      <c r="K185" s="8" t="b">
        <f t="shared" si="187"/>
        <v>0</v>
      </c>
      <c r="L185" s="9" t="s">
        <v>565</v>
      </c>
      <c r="M185" s="9" t="b">
        <v>1</v>
      </c>
      <c r="N185" s="9" t="b">
        <v>0</v>
      </c>
      <c r="O185" s="9" t="b">
        <v>1</v>
      </c>
      <c r="P185" s="9" t="b">
        <v>1</v>
      </c>
      <c r="Q185" s="7" t="str">
        <f t="shared" si="3"/>
        <v>Megalietenhuis</v>
      </c>
      <c r="R185" s="10">
        <v>4.0</v>
      </c>
      <c r="S185" s="9" t="b">
        <f>TRUE</f>
        <v>1</v>
      </c>
      <c r="T185" s="9" t="b">
        <f>FALSE</f>
        <v>0</v>
      </c>
      <c r="U185" s="18"/>
    </row>
    <row r="186">
      <c r="A186" s="7"/>
      <c r="B186" s="7" t="s">
        <v>401</v>
      </c>
      <c r="C186" s="8" t="s">
        <v>395</v>
      </c>
      <c r="D186" s="7" t="s">
        <v>9</v>
      </c>
      <c r="E186" s="8" t="b">
        <f t="shared" ref="E186:K186" si="188">IF(IFERROR(SEARCH(E$1, $D186),0) &gt;= 1, TRUE,FALSE)</f>
        <v>0</v>
      </c>
      <c r="F186" s="8" t="b">
        <f t="shared" si="188"/>
        <v>0</v>
      </c>
      <c r="G186" s="8" t="b">
        <f t="shared" si="188"/>
        <v>0</v>
      </c>
      <c r="H186" s="8" t="b">
        <f t="shared" si="188"/>
        <v>0</v>
      </c>
      <c r="I186" s="8" t="b">
        <f t="shared" si="188"/>
        <v>0</v>
      </c>
      <c r="J186" s="8" t="b">
        <f t="shared" si="188"/>
        <v>0</v>
      </c>
      <c r="K186" s="8" t="b">
        <f t="shared" si="188"/>
        <v>0</v>
      </c>
      <c r="L186" s="9" t="s">
        <v>568</v>
      </c>
      <c r="M186" s="9" t="b">
        <v>1</v>
      </c>
      <c r="N186" s="9" t="b">
        <v>0</v>
      </c>
      <c r="O186" s="9" t="b">
        <v>0</v>
      </c>
      <c r="P186" s="9" t="b">
        <v>1</v>
      </c>
      <c r="Q186" s="7" t="str">
        <f t="shared" si="3"/>
        <v>Mudia</v>
      </c>
      <c r="R186" s="10">
        <v>15.5</v>
      </c>
      <c r="S186" s="9" t="b">
        <v>0</v>
      </c>
      <c r="T186" s="9" t="b">
        <v>0</v>
      </c>
      <c r="U186" s="7"/>
    </row>
    <row r="187">
      <c r="A187" s="7" t="s">
        <v>402</v>
      </c>
      <c r="B187" s="7" t="s">
        <v>403</v>
      </c>
      <c r="C187" s="8" t="s">
        <v>395</v>
      </c>
      <c r="D187" s="7" t="s">
        <v>600</v>
      </c>
      <c r="E187" s="8" t="b">
        <f t="shared" ref="E187:K187" si="189">IF(IFERROR(SEARCH(E$1, $D187),0) &gt;= 1, TRUE,FALSE)</f>
        <v>0</v>
      </c>
      <c r="F187" s="8" t="b">
        <f t="shared" si="189"/>
        <v>0</v>
      </c>
      <c r="G187" s="8" t="b">
        <f t="shared" si="189"/>
        <v>0</v>
      </c>
      <c r="H187" s="8" t="b">
        <f t="shared" si="189"/>
        <v>0</v>
      </c>
      <c r="I187" s="8" t="b">
        <f t="shared" si="189"/>
        <v>0</v>
      </c>
      <c r="J187" s="8" t="b">
        <f t="shared" si="189"/>
        <v>0</v>
      </c>
      <c r="K187" s="8" t="b">
        <f t="shared" si="189"/>
        <v>0</v>
      </c>
      <c r="L187" s="9" t="s">
        <v>557</v>
      </c>
      <c r="M187" s="9" t="b">
        <v>1</v>
      </c>
      <c r="N187" s="9" t="b">
        <v>0</v>
      </c>
      <c r="O187" s="9" t="b">
        <v>0</v>
      </c>
      <c r="P187" s="9" t="b">
        <v>0</v>
      </c>
      <c r="Q187" s="7" t="str">
        <f t="shared" si="3"/>
        <v>Archeologisch Museum van Aarlen</v>
      </c>
      <c r="R187" s="10">
        <v>6.0</v>
      </c>
      <c r="S187" s="9" t="b">
        <v>0</v>
      </c>
      <c r="T187" s="9" t="b">
        <f>FALSE</f>
        <v>0</v>
      </c>
      <c r="U187" s="18"/>
    </row>
    <row r="188">
      <c r="A188" s="7" t="s">
        <v>404</v>
      </c>
      <c r="B188" s="7" t="s">
        <v>405</v>
      </c>
      <c r="C188" s="8" t="s">
        <v>395</v>
      </c>
      <c r="D188" s="7" t="s">
        <v>206</v>
      </c>
      <c r="E188" s="8" t="b">
        <f t="shared" ref="E188:K188" si="190">IF(IFERROR(SEARCH(E$1, $D188),0) &gt;= 1, TRUE,FALSE)</f>
        <v>0</v>
      </c>
      <c r="F188" s="8" t="b">
        <f t="shared" si="190"/>
        <v>0</v>
      </c>
      <c r="G188" s="8" t="b">
        <f t="shared" si="190"/>
        <v>0</v>
      </c>
      <c r="H188" s="8" t="b">
        <f t="shared" si="190"/>
        <v>0</v>
      </c>
      <c r="I188" s="8" t="b">
        <f t="shared" si="190"/>
        <v>1</v>
      </c>
      <c r="J188" s="8" t="b">
        <f t="shared" si="190"/>
        <v>0</v>
      </c>
      <c r="K188" s="8" t="b">
        <f t="shared" si="190"/>
        <v>0</v>
      </c>
      <c r="L188" s="9" t="s">
        <v>557</v>
      </c>
      <c r="M188" s="9" t="b">
        <v>1</v>
      </c>
      <c r="N188" s="9" t="b">
        <v>0</v>
      </c>
      <c r="O188" s="9" t="b">
        <v>0</v>
      </c>
      <c r="P188" s="9" t="b">
        <v>0</v>
      </c>
      <c r="Q188" s="7" t="str">
        <f t="shared" si="3"/>
        <v>Gaspar Museum</v>
      </c>
      <c r="R188" s="10">
        <v>6.0</v>
      </c>
      <c r="S188" s="9" t="b">
        <v>0</v>
      </c>
      <c r="T188" s="9" t="b">
        <v>1</v>
      </c>
      <c r="U188" s="10">
        <v>6.0</v>
      </c>
    </row>
    <row r="189">
      <c r="A189" s="7" t="s">
        <v>406</v>
      </c>
      <c r="B189" s="7" t="s">
        <v>407</v>
      </c>
      <c r="C189" s="8" t="s">
        <v>395</v>
      </c>
      <c r="D189" s="7" t="s">
        <v>203</v>
      </c>
      <c r="E189" s="8" t="b">
        <f t="shared" ref="E189:K189" si="191">IF(IFERROR(SEARCH(E$1, $D189),0) &gt;= 1, TRUE,FALSE)</f>
        <v>0</v>
      </c>
      <c r="F189" s="8" t="b">
        <f t="shared" si="191"/>
        <v>0</v>
      </c>
      <c r="G189" s="8" t="b">
        <f t="shared" si="191"/>
        <v>0</v>
      </c>
      <c r="H189" s="8" t="b">
        <f t="shared" si="191"/>
        <v>1</v>
      </c>
      <c r="I189" s="8" t="b">
        <f t="shared" si="191"/>
        <v>1</v>
      </c>
      <c r="J189" s="8" t="b">
        <f t="shared" si="191"/>
        <v>0</v>
      </c>
      <c r="K189" s="8" t="b">
        <f t="shared" si="191"/>
        <v>0</v>
      </c>
      <c r="L189" s="9" t="s">
        <v>572</v>
      </c>
      <c r="M189" s="9" t="b">
        <v>1</v>
      </c>
      <c r="N189" s="9" t="b">
        <v>1</v>
      </c>
      <c r="O189" s="9" t="b">
        <v>0</v>
      </c>
      <c r="P189" s="9" t="b">
        <v>1</v>
      </c>
      <c r="Q189" s="7" t="str">
        <f t="shared" si="3"/>
        <v>Het Gaume Museum</v>
      </c>
      <c r="R189" s="10">
        <v>0.0</v>
      </c>
      <c r="S189" s="9" t="b">
        <v>0</v>
      </c>
      <c r="T189" s="9" t="b">
        <v>1</v>
      </c>
      <c r="U189" s="10">
        <v>0.0</v>
      </c>
    </row>
    <row r="190">
      <c r="A190" s="7" t="s">
        <v>408</v>
      </c>
      <c r="B190" s="7" t="s">
        <v>635</v>
      </c>
      <c r="C190" s="8" t="s">
        <v>395</v>
      </c>
      <c r="D190" s="7" t="s">
        <v>636</v>
      </c>
      <c r="E190" s="8" t="b">
        <f t="shared" ref="E190:K190" si="192">IF(IFERROR(SEARCH(E$1, $D190),0) &gt;= 1, TRUE,FALSE)</f>
        <v>0</v>
      </c>
      <c r="F190" s="8" t="b">
        <f t="shared" si="192"/>
        <v>0</v>
      </c>
      <c r="G190" s="8" t="b">
        <f t="shared" si="192"/>
        <v>0</v>
      </c>
      <c r="H190" s="8" t="b">
        <f t="shared" si="192"/>
        <v>1</v>
      </c>
      <c r="I190" s="8" t="b">
        <f t="shared" si="192"/>
        <v>0</v>
      </c>
      <c r="J190" s="8" t="b">
        <f t="shared" si="192"/>
        <v>0</v>
      </c>
      <c r="K190" s="8" t="b">
        <f t="shared" si="192"/>
        <v>0</v>
      </c>
      <c r="L190" s="9" t="s">
        <v>565</v>
      </c>
      <c r="M190" s="9" t="b">
        <v>1</v>
      </c>
      <c r="N190" s="9" t="b">
        <v>0</v>
      </c>
      <c r="O190" s="9" t="b">
        <v>1</v>
      </c>
      <c r="P190" s="9" t="b">
        <v>1</v>
      </c>
      <c r="Q190" s="7" t="str">
        <f t="shared" si="3"/>
        <v>Museum van de Grote Ardennen</v>
      </c>
      <c r="R190" s="10">
        <v>9.0</v>
      </c>
      <c r="S190" s="9" t="b">
        <v>0</v>
      </c>
      <c r="T190" s="9" t="b">
        <v>1</v>
      </c>
      <c r="U190" s="10">
        <v>9.0</v>
      </c>
    </row>
    <row r="191">
      <c r="A191" s="7" t="s">
        <v>411</v>
      </c>
      <c r="B191" s="7" t="s">
        <v>412</v>
      </c>
      <c r="C191" s="8" t="s">
        <v>413</v>
      </c>
      <c r="D191" s="7" t="s">
        <v>258</v>
      </c>
      <c r="E191" s="8" t="b">
        <f t="shared" ref="E191:K191" si="193">IF(IFERROR(SEARCH(E$1, $D191),0) &gt;= 1, TRUE,FALSE)</f>
        <v>0</v>
      </c>
      <c r="F191" s="8" t="b">
        <f t="shared" si="193"/>
        <v>0</v>
      </c>
      <c r="G191" s="8" t="b">
        <f t="shared" si="193"/>
        <v>0</v>
      </c>
      <c r="H191" s="8" t="b">
        <f t="shared" si="193"/>
        <v>1</v>
      </c>
      <c r="I191" s="8" t="b">
        <f t="shared" si="193"/>
        <v>1</v>
      </c>
      <c r="J191" s="8" t="b">
        <f t="shared" si="193"/>
        <v>0</v>
      </c>
      <c r="K191" s="8" t="b">
        <f t="shared" si="193"/>
        <v>0</v>
      </c>
      <c r="L191" s="7"/>
      <c r="M191" s="9" t="b">
        <v>0</v>
      </c>
      <c r="N191" s="9" t="b">
        <v>0</v>
      </c>
      <c r="O191" s="9" t="b">
        <v>0</v>
      </c>
      <c r="P191" s="9" t="b">
        <v>0</v>
      </c>
      <c r="Q191" s="7" t="str">
        <f t="shared" si="3"/>
        <v>AMVB | Archief en Museum voor het Vlaams leven te Brussel</v>
      </c>
      <c r="R191" s="10">
        <v>6.0</v>
      </c>
      <c r="S191" s="9" t="b">
        <v>0</v>
      </c>
      <c r="T191" s="9" t="b">
        <v>1</v>
      </c>
      <c r="U191" s="10">
        <v>0.0</v>
      </c>
    </row>
    <row r="192">
      <c r="A192" s="7"/>
      <c r="B192" s="7" t="s">
        <v>414</v>
      </c>
      <c r="C192" s="8" t="s">
        <v>413</v>
      </c>
      <c r="D192" s="7" t="s">
        <v>9</v>
      </c>
      <c r="E192" s="8" t="b">
        <f t="shared" ref="E192:K192" si="194">IF(IFERROR(SEARCH(E$1, $D192),0) &gt;= 1, TRUE,FALSE)</f>
        <v>0</v>
      </c>
      <c r="F192" s="8" t="b">
        <f t="shared" si="194"/>
        <v>0</v>
      </c>
      <c r="G192" s="8" t="b">
        <f t="shared" si="194"/>
        <v>0</v>
      </c>
      <c r="H192" s="8" t="b">
        <f t="shared" si="194"/>
        <v>0</v>
      </c>
      <c r="I192" s="8" t="b">
        <f t="shared" si="194"/>
        <v>0</v>
      </c>
      <c r="J192" s="8" t="b">
        <f t="shared" si="194"/>
        <v>0</v>
      </c>
      <c r="K192" s="8" t="b">
        <f t="shared" si="194"/>
        <v>0</v>
      </c>
      <c r="L192" s="9" t="s">
        <v>566</v>
      </c>
      <c r="M192" s="9" t="b">
        <v>1</v>
      </c>
      <c r="N192" s="9" t="b">
        <v>1</v>
      </c>
      <c r="O192" s="9" t="b">
        <v>0</v>
      </c>
      <c r="P192" s="9" t="b">
        <v>0</v>
      </c>
      <c r="Q192" s="7" t="str">
        <f t="shared" si="3"/>
        <v>ARGOS | centre for audiovisual arts</v>
      </c>
      <c r="R192" s="10">
        <v>10.0</v>
      </c>
      <c r="S192" s="9" t="b">
        <v>0</v>
      </c>
      <c r="T192" s="9" t="b">
        <v>1</v>
      </c>
      <c r="U192" s="10">
        <v>10.0</v>
      </c>
    </row>
    <row r="193">
      <c r="A193" s="7"/>
      <c r="B193" s="7" t="s">
        <v>415</v>
      </c>
      <c r="C193" s="8" t="s">
        <v>413</v>
      </c>
      <c r="D193" s="7" t="s">
        <v>188</v>
      </c>
      <c r="E193" s="8" t="b">
        <f t="shared" ref="E193:K193" si="195">IF(IFERROR(SEARCH(E$1, $D193),0) &gt;= 1, TRUE,FALSE)</f>
        <v>0</v>
      </c>
      <c r="F193" s="8" t="b">
        <f t="shared" si="195"/>
        <v>0</v>
      </c>
      <c r="G193" s="8" t="b">
        <f t="shared" si="195"/>
        <v>0</v>
      </c>
      <c r="H193" s="8" t="b">
        <f t="shared" si="195"/>
        <v>0</v>
      </c>
      <c r="I193" s="8" t="b">
        <f t="shared" si="195"/>
        <v>0</v>
      </c>
      <c r="J193" s="8" t="b">
        <f t="shared" si="195"/>
        <v>0</v>
      </c>
      <c r="K193" s="8" t="b">
        <f t="shared" si="195"/>
        <v>0</v>
      </c>
      <c r="L193" s="7"/>
      <c r="M193" s="9" t="b">
        <v>0</v>
      </c>
      <c r="N193" s="9" t="b">
        <v>0</v>
      </c>
      <c r="O193" s="9" t="b">
        <v>0</v>
      </c>
      <c r="P193" s="9" t="b">
        <v>0</v>
      </c>
      <c r="Q193" s="7" t="str">
        <f t="shared" si="3"/>
        <v>Art et marges musée museum</v>
      </c>
      <c r="R193" s="10">
        <v>6.0</v>
      </c>
      <c r="S193" s="9" t="b">
        <v>0</v>
      </c>
      <c r="T193" s="9" t="b">
        <v>1</v>
      </c>
      <c r="U193" s="10">
        <v>6.0</v>
      </c>
    </row>
    <row r="194">
      <c r="A194" s="7" t="s">
        <v>416</v>
      </c>
      <c r="B194" s="7"/>
      <c r="C194" s="8" t="s">
        <v>413</v>
      </c>
      <c r="D194" s="7" t="s">
        <v>5</v>
      </c>
      <c r="E194" s="8" t="b">
        <f t="shared" ref="E194:K194" si="196">IF(IFERROR(SEARCH(E$1, $D194),0) &gt;= 1, TRUE,FALSE)</f>
        <v>0</v>
      </c>
      <c r="F194" s="8" t="b">
        <f t="shared" si="196"/>
        <v>0</v>
      </c>
      <c r="G194" s="8" t="b">
        <f t="shared" si="196"/>
        <v>0</v>
      </c>
      <c r="H194" s="8" t="b">
        <f t="shared" si="196"/>
        <v>0</v>
      </c>
      <c r="I194" s="8" t="b">
        <f t="shared" si="196"/>
        <v>0</v>
      </c>
      <c r="J194" s="8" t="b">
        <f t="shared" si="196"/>
        <v>0</v>
      </c>
      <c r="K194" s="8" t="b">
        <f t="shared" si="196"/>
        <v>0</v>
      </c>
      <c r="L194" s="9" t="s">
        <v>570</v>
      </c>
      <c r="M194" s="9" t="b">
        <v>1</v>
      </c>
      <c r="N194" s="9" t="b">
        <v>1</v>
      </c>
      <c r="O194" s="9" t="b">
        <v>1</v>
      </c>
      <c r="P194" s="9" t="b">
        <v>1</v>
      </c>
      <c r="Q194" s="7" t="str">
        <f t="shared" si="3"/>
        <v>Autoworld Brussels</v>
      </c>
      <c r="R194" s="10">
        <v>15.0</v>
      </c>
      <c r="S194" s="9" t="b">
        <v>0</v>
      </c>
      <c r="T194" s="9" t="b">
        <v>0</v>
      </c>
      <c r="U194" s="18"/>
    </row>
    <row r="195">
      <c r="A195" s="7"/>
      <c r="B195" s="7" t="s">
        <v>417</v>
      </c>
      <c r="C195" s="8" t="s">
        <v>413</v>
      </c>
      <c r="D195" s="7" t="s">
        <v>9</v>
      </c>
      <c r="E195" s="8" t="b">
        <f t="shared" ref="E195:K195" si="197">IF(IFERROR(SEARCH(E$1, $D195),0) &gt;= 1, TRUE,FALSE)</f>
        <v>0</v>
      </c>
      <c r="F195" s="8" t="b">
        <f t="shared" si="197"/>
        <v>0</v>
      </c>
      <c r="G195" s="8" t="b">
        <f t="shared" si="197"/>
        <v>0</v>
      </c>
      <c r="H195" s="8" t="b">
        <f t="shared" si="197"/>
        <v>0</v>
      </c>
      <c r="I195" s="8" t="b">
        <f t="shared" si="197"/>
        <v>0</v>
      </c>
      <c r="J195" s="8" t="b">
        <f t="shared" si="197"/>
        <v>0</v>
      </c>
      <c r="K195" s="8" t="b">
        <f t="shared" si="197"/>
        <v>0</v>
      </c>
      <c r="L195" s="9" t="s">
        <v>577</v>
      </c>
      <c r="M195" s="9" t="b">
        <v>0</v>
      </c>
      <c r="N195" s="9" t="b">
        <v>1</v>
      </c>
      <c r="O195" s="9" t="b">
        <v>0</v>
      </c>
      <c r="P195" s="9" t="b">
        <v>1</v>
      </c>
      <c r="Q195" s="7" t="str">
        <f t="shared" si="3"/>
        <v>Botanique</v>
      </c>
      <c r="R195" s="10">
        <v>0.0</v>
      </c>
      <c r="S195" s="9" t="b">
        <v>0</v>
      </c>
      <c r="T195" s="9" t="b">
        <v>1</v>
      </c>
      <c r="U195" s="19">
        <v>9.0</v>
      </c>
    </row>
    <row r="196">
      <c r="A196" s="7" t="s">
        <v>418</v>
      </c>
      <c r="B196" s="7" t="s">
        <v>419</v>
      </c>
      <c r="C196" s="8" t="s">
        <v>413</v>
      </c>
      <c r="D196" s="7" t="s">
        <v>420</v>
      </c>
      <c r="E196" s="8" t="b">
        <f t="shared" ref="E196:K196" si="198">IF(IFERROR(SEARCH(E$1, $D196),0) &gt;= 1, TRUE,FALSE)</f>
        <v>0</v>
      </c>
      <c r="F196" s="8" t="b">
        <f t="shared" si="198"/>
        <v>0</v>
      </c>
      <c r="G196" s="8" t="b">
        <f t="shared" si="198"/>
        <v>1</v>
      </c>
      <c r="H196" s="8" t="b">
        <f t="shared" si="198"/>
        <v>0</v>
      </c>
      <c r="I196" s="8" t="b">
        <f t="shared" si="198"/>
        <v>1</v>
      </c>
      <c r="J196" s="8" t="b">
        <f t="shared" si="198"/>
        <v>0</v>
      </c>
      <c r="K196" s="8" t="b">
        <f t="shared" si="198"/>
        <v>0</v>
      </c>
      <c r="L196" s="9" t="s">
        <v>572</v>
      </c>
      <c r="M196" s="9" t="b">
        <v>1</v>
      </c>
      <c r="N196" s="9" t="b">
        <v>1</v>
      </c>
      <c r="O196" s="9" t="b">
        <v>0</v>
      </c>
      <c r="P196" s="9" t="b">
        <v>1</v>
      </c>
      <c r="Q196" s="7" t="str">
        <f t="shared" si="3"/>
        <v>Paleis voor Schone Kunsten</v>
      </c>
      <c r="R196" s="10">
        <v>8.0</v>
      </c>
      <c r="S196" s="9" t="b">
        <v>0</v>
      </c>
      <c r="T196" s="9" t="b">
        <v>1</v>
      </c>
      <c r="U196" s="10">
        <v>6.0</v>
      </c>
    </row>
    <row r="197">
      <c r="A197" s="7" t="s">
        <v>423</v>
      </c>
      <c r="B197" s="7"/>
      <c r="C197" s="8" t="s">
        <v>413</v>
      </c>
      <c r="D197" s="7" t="s">
        <v>10</v>
      </c>
      <c r="E197" s="8" t="b">
        <f t="shared" ref="E197:K197" si="199">IF(IFERROR(SEARCH(E$1, $D197),0) &gt;= 1, TRUE,FALSE)</f>
        <v>0</v>
      </c>
      <c r="F197" s="8" t="b">
        <f t="shared" si="199"/>
        <v>0</v>
      </c>
      <c r="G197" s="8" t="b">
        <f t="shared" si="199"/>
        <v>0</v>
      </c>
      <c r="H197" s="8" t="b">
        <f t="shared" si="199"/>
        <v>0</v>
      </c>
      <c r="I197" s="8" t="b">
        <f t="shared" si="199"/>
        <v>0</v>
      </c>
      <c r="J197" s="8" t="b">
        <f t="shared" si="199"/>
        <v>0</v>
      </c>
      <c r="K197" s="8" t="b">
        <f t="shared" si="199"/>
        <v>0</v>
      </c>
      <c r="L197" s="9" t="s">
        <v>565</v>
      </c>
      <c r="M197" s="9" t="b">
        <v>1</v>
      </c>
      <c r="N197" s="9" t="b">
        <v>0</v>
      </c>
      <c r="O197" s="9" t="b">
        <v>1</v>
      </c>
      <c r="P197" s="9" t="b">
        <v>1</v>
      </c>
      <c r="Q197" s="7" t="str">
        <f t="shared" si="3"/>
        <v>Design Museum Brussels</v>
      </c>
      <c r="R197" s="10">
        <v>10.0</v>
      </c>
      <c r="S197" s="9" t="b">
        <v>0</v>
      </c>
      <c r="T197" s="9" t="b">
        <v>1</v>
      </c>
      <c r="U197" s="10">
        <v>8.0</v>
      </c>
    </row>
    <row r="198">
      <c r="A198" s="7"/>
      <c r="B198" s="7" t="s">
        <v>424</v>
      </c>
      <c r="C198" s="8" t="s">
        <v>413</v>
      </c>
      <c r="D198" s="7" t="s">
        <v>9</v>
      </c>
      <c r="E198" s="8" t="b">
        <f t="shared" ref="E198:K198" si="200">IF(IFERROR(SEARCH(E$1, $D198),0) &gt;= 1, TRUE,FALSE)</f>
        <v>0</v>
      </c>
      <c r="F198" s="8" t="b">
        <f t="shared" si="200"/>
        <v>0</v>
      </c>
      <c r="G198" s="8" t="b">
        <f t="shared" si="200"/>
        <v>0</v>
      </c>
      <c r="H198" s="8" t="b">
        <f t="shared" si="200"/>
        <v>0</v>
      </c>
      <c r="I198" s="8" t="b">
        <f t="shared" si="200"/>
        <v>0</v>
      </c>
      <c r="J198" s="8" t="b">
        <f t="shared" si="200"/>
        <v>0</v>
      </c>
      <c r="K198" s="8" t="b">
        <f t="shared" si="200"/>
        <v>0</v>
      </c>
      <c r="L198" s="9" t="s">
        <v>557</v>
      </c>
      <c r="M198" s="9" t="b">
        <v>1</v>
      </c>
      <c r="N198" s="9" t="b">
        <v>0</v>
      </c>
      <c r="O198" s="9" t="b">
        <v>0</v>
      </c>
      <c r="P198" s="9" t="b">
        <v>0</v>
      </c>
      <c r="Q198" s="7" t="str">
        <f t="shared" si="3"/>
        <v>Fondation A Stichting</v>
      </c>
      <c r="R198" s="10">
        <v>7.0</v>
      </c>
      <c r="S198" s="9" t="b">
        <v>0</v>
      </c>
      <c r="T198" s="9" t="b">
        <v>0</v>
      </c>
      <c r="U198" s="7"/>
    </row>
    <row r="199">
      <c r="A199" s="7" t="s">
        <v>425</v>
      </c>
      <c r="B199" s="7" t="s">
        <v>426</v>
      </c>
      <c r="C199" s="8" t="s">
        <v>413</v>
      </c>
      <c r="D199" s="7" t="s">
        <v>9</v>
      </c>
      <c r="E199" s="8" t="b">
        <f t="shared" ref="E199:K199" si="201">IF(IFERROR(SEARCH(E$1, $D199),0) &gt;= 1, TRUE,FALSE)</f>
        <v>0</v>
      </c>
      <c r="F199" s="8" t="b">
        <f t="shared" si="201"/>
        <v>0</v>
      </c>
      <c r="G199" s="8" t="b">
        <f t="shared" si="201"/>
        <v>0</v>
      </c>
      <c r="H199" s="8" t="b">
        <f t="shared" si="201"/>
        <v>0</v>
      </c>
      <c r="I199" s="8" t="b">
        <f t="shared" si="201"/>
        <v>0</v>
      </c>
      <c r="J199" s="8" t="b">
        <f t="shared" si="201"/>
        <v>0</v>
      </c>
      <c r="K199" s="8" t="b">
        <f t="shared" si="201"/>
        <v>0</v>
      </c>
      <c r="L199" s="9" t="s">
        <v>566</v>
      </c>
      <c r="M199" s="9" t="b">
        <v>1</v>
      </c>
      <c r="N199" s="9" t="b">
        <v>1</v>
      </c>
      <c r="O199" s="9" t="b">
        <v>0</v>
      </c>
      <c r="P199" s="9" t="b">
        <v>0</v>
      </c>
      <c r="Q199" s="7" t="str">
        <f t="shared" si="3"/>
        <v>Villa Empain - Stichting Boghossian</v>
      </c>
      <c r="R199" s="10">
        <v>12.0</v>
      </c>
      <c r="S199" s="9" t="b">
        <v>0</v>
      </c>
      <c r="T199" s="9" t="b">
        <v>1</v>
      </c>
      <c r="U199" s="10">
        <v>12.0</v>
      </c>
    </row>
    <row r="200">
      <c r="A200" s="7" t="s">
        <v>427</v>
      </c>
      <c r="B200" s="7" t="s">
        <v>428</v>
      </c>
      <c r="C200" s="8" t="s">
        <v>413</v>
      </c>
      <c r="D200" s="7" t="s">
        <v>600</v>
      </c>
      <c r="E200" s="8" t="b">
        <f t="shared" ref="E200:K200" si="202">IF(IFERROR(SEARCH(E$1, $D200),0) &gt;= 1, TRUE,FALSE)</f>
        <v>0</v>
      </c>
      <c r="F200" s="8" t="b">
        <f t="shared" si="202"/>
        <v>0</v>
      </c>
      <c r="G200" s="8" t="b">
        <f t="shared" si="202"/>
        <v>0</v>
      </c>
      <c r="H200" s="8" t="b">
        <f t="shared" si="202"/>
        <v>0</v>
      </c>
      <c r="I200" s="8" t="b">
        <f t="shared" si="202"/>
        <v>0</v>
      </c>
      <c r="J200" s="8" t="b">
        <f t="shared" si="202"/>
        <v>0</v>
      </c>
      <c r="K200" s="8" t="b">
        <f t="shared" si="202"/>
        <v>0</v>
      </c>
      <c r="L200" s="9" t="s">
        <v>557</v>
      </c>
      <c r="M200" s="9" t="b">
        <v>1</v>
      </c>
      <c r="N200" s="9" t="b">
        <v>0</v>
      </c>
      <c r="O200" s="9" t="b">
        <v>0</v>
      </c>
      <c r="P200" s="9" t="b">
        <v>0</v>
      </c>
      <c r="Q200" s="7" t="str">
        <f t="shared" si="3"/>
        <v>Brel Stichting</v>
      </c>
      <c r="R200" s="10">
        <v>14.0</v>
      </c>
      <c r="S200" s="9" t="b">
        <v>0</v>
      </c>
      <c r="T200" s="9" t="b">
        <v>0</v>
      </c>
      <c r="U200" s="7"/>
    </row>
    <row r="201">
      <c r="A201" s="7"/>
      <c r="B201" s="7" t="s">
        <v>429</v>
      </c>
      <c r="C201" s="8" t="s">
        <v>413</v>
      </c>
      <c r="D201" s="7" t="s">
        <v>10</v>
      </c>
      <c r="E201" s="8" t="b">
        <f t="shared" ref="E201:K201" si="203">IF(IFERROR(SEARCH(E$1, $D201),0) &gt;= 1, TRUE,FALSE)</f>
        <v>0</v>
      </c>
      <c r="F201" s="8" t="b">
        <f t="shared" si="203"/>
        <v>0</v>
      </c>
      <c r="G201" s="8" t="b">
        <f t="shared" si="203"/>
        <v>0</v>
      </c>
      <c r="H201" s="8" t="b">
        <f t="shared" si="203"/>
        <v>0</v>
      </c>
      <c r="I201" s="8" t="b">
        <f t="shared" si="203"/>
        <v>0</v>
      </c>
      <c r="J201" s="8" t="b">
        <f t="shared" si="203"/>
        <v>0</v>
      </c>
      <c r="K201" s="8" t="b">
        <f t="shared" si="203"/>
        <v>0</v>
      </c>
      <c r="L201" s="9" t="s">
        <v>557</v>
      </c>
      <c r="M201" s="9" t="b">
        <v>1</v>
      </c>
      <c r="N201" s="9" t="b">
        <v>0</v>
      </c>
      <c r="O201" s="9" t="b">
        <v>0</v>
      </c>
      <c r="P201" s="9" t="b">
        <v>0</v>
      </c>
      <c r="Q201" s="7" t="str">
        <f t="shared" si="3"/>
        <v>Fondation CAB</v>
      </c>
      <c r="R201" s="10">
        <v>6.0</v>
      </c>
      <c r="S201" s="9" t="b">
        <v>0</v>
      </c>
      <c r="T201" s="9" t="b">
        <v>0</v>
      </c>
      <c r="U201" s="7"/>
    </row>
    <row r="202">
      <c r="A202" s="7" t="s">
        <v>430</v>
      </c>
      <c r="B202" s="7"/>
      <c r="C202" s="8" t="s">
        <v>413</v>
      </c>
      <c r="D202" s="7" t="s">
        <v>431</v>
      </c>
      <c r="E202" s="8" t="b">
        <f t="shared" ref="E202:K202" si="204">IF(IFERROR(SEARCH(E$1, $D202),0) &gt;= 1, TRUE,FALSE)</f>
        <v>0</v>
      </c>
      <c r="F202" s="8" t="b">
        <f t="shared" si="204"/>
        <v>0</v>
      </c>
      <c r="G202" s="8" t="b">
        <f t="shared" si="204"/>
        <v>1</v>
      </c>
      <c r="H202" s="8" t="b">
        <f t="shared" si="204"/>
        <v>0</v>
      </c>
      <c r="I202" s="8" t="b">
        <f t="shared" si="204"/>
        <v>0</v>
      </c>
      <c r="J202" s="8" t="b">
        <f t="shared" si="204"/>
        <v>0</v>
      </c>
      <c r="K202" s="8" t="b">
        <f t="shared" si="204"/>
        <v>0</v>
      </c>
      <c r="L202" s="9" t="s">
        <v>557</v>
      </c>
      <c r="M202" s="9" t="b">
        <v>1</v>
      </c>
      <c r="N202" s="9" t="b">
        <v>0</v>
      </c>
      <c r="O202" s="9" t="b">
        <v>0</v>
      </c>
      <c r="P202" s="9" t="b">
        <v>0</v>
      </c>
      <c r="Q202" s="7" t="str">
        <f t="shared" si="3"/>
        <v>GardeRobe MannekenPis</v>
      </c>
      <c r="R202" s="10">
        <v>5.0</v>
      </c>
      <c r="S202" s="9" t="b">
        <v>0</v>
      </c>
      <c r="T202" s="9" t="b">
        <v>1</v>
      </c>
      <c r="U202" s="10">
        <v>0.0</v>
      </c>
    </row>
    <row r="203">
      <c r="A203" s="7" t="s">
        <v>432</v>
      </c>
      <c r="B203" s="7"/>
      <c r="C203" s="8" t="s">
        <v>413</v>
      </c>
      <c r="D203" s="7" t="s">
        <v>433</v>
      </c>
      <c r="E203" s="8" t="b">
        <f t="shared" ref="E203:K203" si="205">IF(IFERROR(SEARCH(E$1, $D203),0) &gt;= 1, TRUE,FALSE)</f>
        <v>0</v>
      </c>
      <c r="F203" s="8" t="b">
        <f t="shared" si="205"/>
        <v>0</v>
      </c>
      <c r="G203" s="8" t="b">
        <f t="shared" si="205"/>
        <v>0</v>
      </c>
      <c r="H203" s="8" t="b">
        <f t="shared" si="205"/>
        <v>0</v>
      </c>
      <c r="I203" s="8" t="b">
        <f t="shared" si="205"/>
        <v>0</v>
      </c>
      <c r="J203" s="8" t="b">
        <f t="shared" si="205"/>
        <v>0</v>
      </c>
      <c r="K203" s="8" t="b">
        <f t="shared" si="205"/>
        <v>0</v>
      </c>
      <c r="L203" s="9" t="s">
        <v>577</v>
      </c>
      <c r="M203" s="9" t="b">
        <v>0</v>
      </c>
      <c r="N203" s="9" t="b">
        <v>1</v>
      </c>
      <c r="O203" s="9" t="b">
        <v>0</v>
      </c>
      <c r="P203" s="9" t="b">
        <v>0</v>
      </c>
      <c r="Q203" s="7" t="str">
        <f t="shared" si="3"/>
        <v>iMAL</v>
      </c>
      <c r="R203" s="14">
        <v>10.0</v>
      </c>
      <c r="S203" s="9" t="b">
        <v>0</v>
      </c>
      <c r="T203" s="9" t="b">
        <v>0</v>
      </c>
      <c r="U203" s="18"/>
    </row>
    <row r="204">
      <c r="A204" s="7"/>
      <c r="B204" s="7" t="s">
        <v>434</v>
      </c>
      <c r="C204" s="8" t="s">
        <v>413</v>
      </c>
      <c r="D204" s="7" t="s">
        <v>637</v>
      </c>
      <c r="E204" s="8" t="b">
        <f t="shared" ref="E204:K204" si="206">IF(IFERROR(SEARCH(E$1, $D204),0) &gt;= 1, TRUE,FALSE)</f>
        <v>0</v>
      </c>
      <c r="F204" s="8" t="b">
        <f t="shared" si="206"/>
        <v>0</v>
      </c>
      <c r="G204" s="8" t="b">
        <f t="shared" si="206"/>
        <v>0</v>
      </c>
      <c r="H204" s="8" t="b">
        <f t="shared" si="206"/>
        <v>0</v>
      </c>
      <c r="I204" s="8" t="b">
        <f t="shared" si="206"/>
        <v>1</v>
      </c>
      <c r="J204" s="8" t="b">
        <f t="shared" si="206"/>
        <v>0</v>
      </c>
      <c r="K204" s="8" t="b">
        <f t="shared" si="206"/>
        <v>0</v>
      </c>
      <c r="L204" s="9" t="s">
        <v>572</v>
      </c>
      <c r="M204" s="9" t="b">
        <v>1</v>
      </c>
      <c r="N204" s="9" t="b">
        <v>1</v>
      </c>
      <c r="O204" s="9" t="b">
        <v>0</v>
      </c>
      <c r="P204" s="9" t="b">
        <v>1</v>
      </c>
      <c r="Q204" s="7" t="str">
        <f t="shared" si="3"/>
        <v>KANAL | Centre Pompidou</v>
      </c>
      <c r="R204" s="14">
        <v>0.0</v>
      </c>
      <c r="S204" s="9" t="b">
        <v>1</v>
      </c>
      <c r="T204" s="9" t="b">
        <v>0</v>
      </c>
      <c r="U204" s="7"/>
    </row>
    <row r="205">
      <c r="A205" s="7" t="s">
        <v>435</v>
      </c>
      <c r="B205" s="7"/>
      <c r="C205" s="8" t="s">
        <v>413</v>
      </c>
      <c r="D205" s="7" t="s">
        <v>410</v>
      </c>
      <c r="E205" s="8" t="b">
        <f t="shared" ref="E205:K205" si="207">IF(IFERROR(SEARCH(E$1, $D205),0) &gt;= 1, TRUE,FALSE)</f>
        <v>0</v>
      </c>
      <c r="F205" s="8" t="b">
        <f t="shared" si="207"/>
        <v>0</v>
      </c>
      <c r="G205" s="8" t="b">
        <f t="shared" si="207"/>
        <v>0</v>
      </c>
      <c r="H205" s="8" t="b">
        <f t="shared" si="207"/>
        <v>1</v>
      </c>
      <c r="I205" s="8" t="b">
        <f t="shared" si="207"/>
        <v>0</v>
      </c>
      <c r="J205" s="8" t="b">
        <f t="shared" si="207"/>
        <v>0</v>
      </c>
      <c r="K205" s="8" t="b">
        <f t="shared" si="207"/>
        <v>0</v>
      </c>
      <c r="L205" s="9" t="s">
        <v>572</v>
      </c>
      <c r="M205" s="9" t="b">
        <v>1</v>
      </c>
      <c r="N205" s="9" t="b">
        <v>1</v>
      </c>
      <c r="O205" s="9" t="b">
        <v>0</v>
      </c>
      <c r="P205" s="9" t="b">
        <v>1</v>
      </c>
      <c r="Q205" s="7" t="str">
        <f t="shared" si="3"/>
        <v>KBR museum</v>
      </c>
      <c r="R205" s="10">
        <v>11.0</v>
      </c>
      <c r="S205" s="9" t="b">
        <v>0</v>
      </c>
      <c r="T205" s="9" t="b">
        <v>0</v>
      </c>
      <c r="U205" s="7"/>
    </row>
    <row r="206">
      <c r="A206" s="7" t="s">
        <v>436</v>
      </c>
      <c r="B206" s="7" t="s">
        <v>437</v>
      </c>
      <c r="C206" s="8" t="s">
        <v>413</v>
      </c>
      <c r="D206" s="7" t="s">
        <v>438</v>
      </c>
      <c r="E206" s="8" t="b">
        <f t="shared" ref="E206:K206" si="208">IF(IFERROR(SEARCH(E$1, $D206),0) &gt;= 1, TRUE,FALSE)</f>
        <v>0</v>
      </c>
      <c r="F206" s="8" t="b">
        <f t="shared" si="208"/>
        <v>0</v>
      </c>
      <c r="G206" s="8" t="b">
        <f t="shared" si="208"/>
        <v>0</v>
      </c>
      <c r="H206" s="8" t="b">
        <f t="shared" si="208"/>
        <v>0</v>
      </c>
      <c r="I206" s="8" t="b">
        <f t="shared" si="208"/>
        <v>1</v>
      </c>
      <c r="J206" s="8" t="b">
        <f t="shared" si="208"/>
        <v>0</v>
      </c>
      <c r="K206" s="8" t="b">
        <f t="shared" si="208"/>
        <v>0</v>
      </c>
      <c r="L206" s="9" t="s">
        <v>557</v>
      </c>
      <c r="M206" s="9" t="b">
        <v>1</v>
      </c>
      <c r="N206" s="9" t="b">
        <v>0</v>
      </c>
      <c r="O206" s="9" t="b">
        <v>0</v>
      </c>
      <c r="P206" s="9" t="b">
        <v>0</v>
      </c>
      <c r="Q206" s="7" t="str">
        <f t="shared" si="3"/>
        <v>LAB·AN x Hotel van Eetvelde</v>
      </c>
      <c r="R206" s="10">
        <v>12.0</v>
      </c>
      <c r="S206" s="9" t="b">
        <v>0</v>
      </c>
      <c r="T206" s="9" t="b">
        <v>0</v>
      </c>
      <c r="U206" s="7"/>
    </row>
    <row r="207">
      <c r="A207" s="7" t="s">
        <v>439</v>
      </c>
      <c r="B207" s="7" t="s">
        <v>440</v>
      </c>
      <c r="C207" s="8" t="s">
        <v>413</v>
      </c>
      <c r="D207" s="7" t="s">
        <v>4</v>
      </c>
      <c r="E207" s="8" t="b">
        <f t="shared" ref="E207:K207" si="209">IF(IFERROR(SEARCH(E$1, $D207),0) &gt;= 1, TRUE,FALSE)</f>
        <v>0</v>
      </c>
      <c r="F207" s="8" t="b">
        <f t="shared" si="209"/>
        <v>0</v>
      </c>
      <c r="G207" s="8" t="b">
        <f t="shared" si="209"/>
        <v>0</v>
      </c>
      <c r="H207" s="8" t="b">
        <f t="shared" si="209"/>
        <v>0</v>
      </c>
      <c r="I207" s="8" t="b">
        <f t="shared" si="209"/>
        <v>0</v>
      </c>
      <c r="J207" s="8" t="b">
        <f t="shared" si="209"/>
        <v>0</v>
      </c>
      <c r="K207" s="8" t="b">
        <f t="shared" si="209"/>
        <v>0</v>
      </c>
      <c r="L207" s="9" t="s">
        <v>577</v>
      </c>
      <c r="M207" s="9" t="b">
        <v>0</v>
      </c>
      <c r="N207" s="9" t="b">
        <v>1</v>
      </c>
      <c r="O207" s="9" t="b">
        <v>0</v>
      </c>
      <c r="P207" s="9" t="b">
        <v>0</v>
      </c>
      <c r="Q207" s="7" t="str">
        <f t="shared" si="3"/>
        <v>Brussels Museum voor Arbeid en Industrie</v>
      </c>
      <c r="R207" s="10">
        <v>8.0</v>
      </c>
      <c r="S207" s="9" t="b">
        <v>0</v>
      </c>
      <c r="T207" s="9" t="b">
        <v>1</v>
      </c>
      <c r="U207" s="10">
        <v>8.0</v>
      </c>
    </row>
    <row r="208">
      <c r="A208" s="7" t="s">
        <v>441</v>
      </c>
      <c r="B208" s="7" t="s">
        <v>442</v>
      </c>
      <c r="C208" s="8" t="s">
        <v>413</v>
      </c>
      <c r="D208" s="7" t="s">
        <v>598</v>
      </c>
      <c r="E208" s="8" t="b">
        <f t="shared" ref="E208:K208" si="210">IF(IFERROR(SEARCH(E$1, $D208),0) &gt;= 1, TRUE,FALSE)</f>
        <v>0</v>
      </c>
      <c r="F208" s="8" t="b">
        <f t="shared" si="210"/>
        <v>0</v>
      </c>
      <c r="G208" s="8" t="b">
        <f t="shared" si="210"/>
        <v>0</v>
      </c>
      <c r="H208" s="8" t="b">
        <f t="shared" si="210"/>
        <v>0</v>
      </c>
      <c r="I208" s="8" t="b">
        <f t="shared" si="210"/>
        <v>1</v>
      </c>
      <c r="J208" s="8" t="b">
        <f t="shared" si="210"/>
        <v>0</v>
      </c>
      <c r="K208" s="8" t="b">
        <f t="shared" si="210"/>
        <v>0</v>
      </c>
      <c r="L208" s="9" t="s">
        <v>557</v>
      </c>
      <c r="M208" s="9" t="b">
        <v>1</v>
      </c>
      <c r="N208" s="9" t="b">
        <v>0</v>
      </c>
      <c r="O208" s="9" t="b">
        <v>0</v>
      </c>
      <c r="P208" s="9" t="b">
        <v>0</v>
      </c>
      <c r="Q208" s="7" t="str">
        <f t="shared" si="3"/>
        <v>Het Autrique Huis</v>
      </c>
      <c r="R208" s="10">
        <v>9.0</v>
      </c>
      <c r="S208" s="9" t="b">
        <v>0</v>
      </c>
      <c r="T208" s="9" t="b">
        <v>1</v>
      </c>
      <c r="U208" s="19">
        <v>9.0</v>
      </c>
    </row>
    <row r="209">
      <c r="A209" s="7" t="s">
        <v>443</v>
      </c>
      <c r="B209" s="7" t="s">
        <v>444</v>
      </c>
      <c r="C209" s="8" t="s">
        <v>413</v>
      </c>
      <c r="D209" s="7" t="s">
        <v>638</v>
      </c>
      <c r="E209" s="8" t="b">
        <f t="shared" ref="E209:K209" si="211">IF(IFERROR(SEARCH(E$1, $D209),0) &gt;= 1, TRUE,FALSE)</f>
        <v>0</v>
      </c>
      <c r="F209" s="8" t="b">
        <f t="shared" si="211"/>
        <v>0</v>
      </c>
      <c r="G209" s="8" t="b">
        <f t="shared" si="211"/>
        <v>0</v>
      </c>
      <c r="H209" s="8" t="b">
        <f t="shared" si="211"/>
        <v>0</v>
      </c>
      <c r="I209" s="8" t="b">
        <f t="shared" si="211"/>
        <v>1</v>
      </c>
      <c r="J209" s="8" t="b">
        <f t="shared" si="211"/>
        <v>0</v>
      </c>
      <c r="K209" s="8" t="b">
        <f t="shared" si="211"/>
        <v>0</v>
      </c>
      <c r="L209" s="7"/>
      <c r="M209" s="9" t="b">
        <v>0</v>
      </c>
      <c r="N209" s="9" t="b">
        <v>0</v>
      </c>
      <c r="O209" s="9" t="b">
        <v>0</v>
      </c>
      <c r="P209" s="9" t="b">
        <v>0</v>
      </c>
      <c r="Q209" s="7" t="str">
        <f t="shared" si="3"/>
        <v>Het Stadhuis van Brussel</v>
      </c>
      <c r="R209" s="10">
        <v>15.0</v>
      </c>
      <c r="S209" s="9" t="b">
        <v>0</v>
      </c>
      <c r="T209" s="9" t="b">
        <v>0</v>
      </c>
      <c r="U209" s="7"/>
    </row>
    <row r="210">
      <c r="A210" s="7" t="s">
        <v>445</v>
      </c>
      <c r="B210" s="7" t="s">
        <v>446</v>
      </c>
      <c r="C210" s="8" t="s">
        <v>413</v>
      </c>
      <c r="D210" s="7" t="s">
        <v>614</v>
      </c>
      <c r="E210" s="8" t="b">
        <f t="shared" ref="E210:K210" si="212">IF(IFERROR(SEARCH(E$1, $D210),0) &gt;= 1, TRUE,FALSE)</f>
        <v>0</v>
      </c>
      <c r="F210" s="8" t="b">
        <f t="shared" si="212"/>
        <v>0</v>
      </c>
      <c r="G210" s="8" t="b">
        <f t="shared" si="212"/>
        <v>0</v>
      </c>
      <c r="H210" s="8" t="b">
        <f t="shared" si="212"/>
        <v>1</v>
      </c>
      <c r="I210" s="8" t="b">
        <f t="shared" si="212"/>
        <v>1</v>
      </c>
      <c r="J210" s="8" t="b">
        <f t="shared" si="212"/>
        <v>0</v>
      </c>
      <c r="K210" s="8" t="b">
        <f t="shared" si="212"/>
        <v>0</v>
      </c>
      <c r="L210" s="9" t="s">
        <v>557</v>
      </c>
      <c r="M210" s="9" t="b">
        <v>1</v>
      </c>
      <c r="N210" s="9" t="b">
        <v>0</v>
      </c>
      <c r="O210" s="9" t="b">
        <v>0</v>
      </c>
      <c r="P210" s="9" t="b">
        <v>0</v>
      </c>
      <c r="Q210" s="7" t="str">
        <f t="shared" si="3"/>
        <v>Erasmushuis &amp; Begijnhof</v>
      </c>
      <c r="R210" s="10">
        <v>5.0</v>
      </c>
      <c r="S210" s="9" t="b">
        <v>0</v>
      </c>
      <c r="T210" s="9" t="b">
        <v>0</v>
      </c>
      <c r="U210" s="7"/>
    </row>
    <row r="211">
      <c r="A211" s="7"/>
      <c r="B211" s="7" t="s">
        <v>447</v>
      </c>
      <c r="C211" s="8" t="s">
        <v>413</v>
      </c>
      <c r="D211" s="7" t="s">
        <v>292</v>
      </c>
      <c r="E211" s="8" t="b">
        <f t="shared" ref="E211:K211" si="213">IF(IFERROR(SEARCH(E$1, $D211),0) &gt;= 1, TRUE,FALSE)</f>
        <v>0</v>
      </c>
      <c r="F211" s="8" t="b">
        <f t="shared" si="213"/>
        <v>0</v>
      </c>
      <c r="G211" s="8" t="b">
        <f t="shared" si="213"/>
        <v>0</v>
      </c>
      <c r="H211" s="8" t="b">
        <f t="shared" si="213"/>
        <v>0</v>
      </c>
      <c r="I211" s="8" t="b">
        <f t="shared" si="213"/>
        <v>1</v>
      </c>
      <c r="J211" s="8" t="b">
        <f t="shared" si="213"/>
        <v>0</v>
      </c>
      <c r="K211" s="8" t="b">
        <f t="shared" si="213"/>
        <v>0</v>
      </c>
      <c r="L211" s="9" t="s">
        <v>557</v>
      </c>
      <c r="M211" s="9" t="b">
        <v>1</v>
      </c>
      <c r="N211" s="9" t="b">
        <v>0</v>
      </c>
      <c r="O211" s="9" t="b">
        <v>0</v>
      </c>
      <c r="P211" s="9" t="b">
        <v>0</v>
      </c>
      <c r="Q211" s="7" t="str">
        <f t="shared" si="3"/>
        <v>Maison Hannon</v>
      </c>
      <c r="R211" s="10">
        <v>14.0</v>
      </c>
      <c r="S211" s="9" t="b">
        <v>0</v>
      </c>
      <c r="T211" s="9" t="b">
        <v>1</v>
      </c>
      <c r="U211" s="10">
        <v>14.0</v>
      </c>
    </row>
    <row r="212">
      <c r="A212" s="7" t="s">
        <v>448</v>
      </c>
      <c r="B212" s="7" t="s">
        <v>449</v>
      </c>
      <c r="C212" s="8" t="s">
        <v>413</v>
      </c>
      <c r="D212" s="7" t="s">
        <v>102</v>
      </c>
      <c r="E212" s="8" t="b">
        <f t="shared" ref="E212:K212" si="214">IF(IFERROR(SEARCH(E$1, $D212),0) &gt;= 1, TRUE,FALSE)</f>
        <v>0</v>
      </c>
      <c r="F212" s="8" t="b">
        <f t="shared" si="214"/>
        <v>0</v>
      </c>
      <c r="G212" s="8" t="b">
        <f t="shared" si="214"/>
        <v>0</v>
      </c>
      <c r="H212" s="8" t="b">
        <f t="shared" si="214"/>
        <v>0</v>
      </c>
      <c r="I212" s="8" t="b">
        <f t="shared" si="214"/>
        <v>0</v>
      </c>
      <c r="J212" s="8" t="b">
        <f t="shared" si="214"/>
        <v>0</v>
      </c>
      <c r="K212" s="8" t="b">
        <f t="shared" si="214"/>
        <v>0</v>
      </c>
      <c r="L212" s="9" t="s">
        <v>557</v>
      </c>
      <c r="M212" s="9" t="b">
        <v>1</v>
      </c>
      <c r="N212" s="9" t="b">
        <v>0</v>
      </c>
      <c r="O212" s="9" t="b">
        <v>0</v>
      </c>
      <c r="P212" s="9" t="b">
        <v>0</v>
      </c>
      <c r="Q212" s="7" t="str">
        <f t="shared" si="3"/>
        <v>MigratieMuseum</v>
      </c>
      <c r="R212" s="10">
        <v>8.0</v>
      </c>
      <c r="S212" s="9" t="b">
        <v>0</v>
      </c>
      <c r="T212" s="9" t="b">
        <v>0</v>
      </c>
      <c r="U212" s="7"/>
    </row>
    <row r="213">
      <c r="A213" s="7" t="s">
        <v>450</v>
      </c>
      <c r="B213" s="7" t="s">
        <v>639</v>
      </c>
      <c r="C213" s="8" t="s">
        <v>413</v>
      </c>
      <c r="D213" s="7" t="s">
        <v>151</v>
      </c>
      <c r="E213" s="8" t="b">
        <f t="shared" ref="E213:K213" si="215">IF(IFERROR(SEARCH(E$1, $D213),0) &gt;= 1, TRUE,FALSE)</f>
        <v>0</v>
      </c>
      <c r="F213" s="8" t="b">
        <f t="shared" si="215"/>
        <v>0</v>
      </c>
      <c r="G213" s="8" t="b">
        <f t="shared" si="215"/>
        <v>0</v>
      </c>
      <c r="H213" s="8" t="b">
        <f t="shared" si="215"/>
        <v>0</v>
      </c>
      <c r="I213" s="8" t="b">
        <f t="shared" si="215"/>
        <v>1</v>
      </c>
      <c r="J213" s="8" t="b">
        <f t="shared" si="215"/>
        <v>0</v>
      </c>
      <c r="K213" s="8" t="b">
        <f t="shared" si="215"/>
        <v>0</v>
      </c>
      <c r="L213" s="9" t="s">
        <v>572</v>
      </c>
      <c r="M213" s="9" t="b">
        <v>1</v>
      </c>
      <c r="N213" s="9" t="b">
        <v>1</v>
      </c>
      <c r="O213" s="9" t="b">
        <v>0</v>
      </c>
      <c r="P213" s="9" t="b">
        <v>1</v>
      </c>
      <c r="Q213" s="7" t="str">
        <f t="shared" si="3"/>
        <v>muziekinstrumentenmuseum</v>
      </c>
      <c r="R213" s="10">
        <v>15.0</v>
      </c>
      <c r="S213" s="9" t="b">
        <v>0</v>
      </c>
      <c r="T213" s="9" t="b">
        <v>0</v>
      </c>
      <c r="U213" s="7"/>
    </row>
    <row r="214">
      <c r="A214" s="7" t="s">
        <v>452</v>
      </c>
      <c r="B214" s="7" t="s">
        <v>453</v>
      </c>
      <c r="C214" s="8" t="s">
        <v>413</v>
      </c>
      <c r="D214" s="7" t="s">
        <v>600</v>
      </c>
      <c r="E214" s="8" t="b">
        <f t="shared" ref="E214:K214" si="216">IF(IFERROR(SEARCH(E$1, $D214),0) &gt;= 1, TRUE,FALSE)</f>
        <v>0</v>
      </c>
      <c r="F214" s="8" t="b">
        <f t="shared" si="216"/>
        <v>0</v>
      </c>
      <c r="G214" s="8" t="b">
        <f t="shared" si="216"/>
        <v>0</v>
      </c>
      <c r="H214" s="8" t="b">
        <f t="shared" si="216"/>
        <v>0</v>
      </c>
      <c r="I214" s="8" t="b">
        <f t="shared" si="216"/>
        <v>0</v>
      </c>
      <c r="J214" s="8" t="b">
        <f t="shared" si="216"/>
        <v>0</v>
      </c>
      <c r="K214" s="8" t="b">
        <f t="shared" si="216"/>
        <v>0</v>
      </c>
      <c r="L214" s="9" t="s">
        <v>559</v>
      </c>
      <c r="M214" s="9" t="b">
        <v>0</v>
      </c>
      <c r="N214" s="9" t="b">
        <v>0</v>
      </c>
      <c r="O214" s="9" t="b">
        <v>1</v>
      </c>
      <c r="P214" s="9" t="b">
        <v>0</v>
      </c>
      <c r="Q214" s="7" t="str">
        <f t="shared" si="3"/>
        <v>Gemeentelijk Museum van Sint-Jans-Molenbeek</v>
      </c>
      <c r="R214" s="10">
        <v>5.0</v>
      </c>
      <c r="S214" s="9" t="b">
        <v>0</v>
      </c>
      <c r="T214" s="9" t="b">
        <v>0</v>
      </c>
      <c r="U214" s="7"/>
    </row>
    <row r="215">
      <c r="A215" s="7" t="s">
        <v>454</v>
      </c>
      <c r="B215" s="7" t="s">
        <v>455</v>
      </c>
      <c r="C215" s="8" t="s">
        <v>413</v>
      </c>
      <c r="D215" s="7" t="s">
        <v>600</v>
      </c>
      <c r="E215" s="8" t="b">
        <f t="shared" ref="E215:K215" si="217">IF(IFERROR(SEARCH(E$1, $D215),0) &gt;= 1, TRUE,FALSE)</f>
        <v>0</v>
      </c>
      <c r="F215" s="8" t="b">
        <f t="shared" si="217"/>
        <v>0</v>
      </c>
      <c r="G215" s="8" t="b">
        <f t="shared" si="217"/>
        <v>0</v>
      </c>
      <c r="H215" s="8" t="b">
        <f t="shared" si="217"/>
        <v>0</v>
      </c>
      <c r="I215" s="8" t="b">
        <f t="shared" si="217"/>
        <v>0</v>
      </c>
      <c r="J215" s="8" t="b">
        <f t="shared" si="217"/>
        <v>0</v>
      </c>
      <c r="K215" s="8" t="b">
        <f t="shared" si="217"/>
        <v>0</v>
      </c>
      <c r="L215" s="9" t="s">
        <v>570</v>
      </c>
      <c r="M215" s="9" t="b">
        <v>1</v>
      </c>
      <c r="N215" s="9" t="b">
        <v>1</v>
      </c>
      <c r="O215" s="9" t="b">
        <v>1</v>
      </c>
      <c r="P215" s="9" t="b">
        <v>1</v>
      </c>
      <c r="Q215" s="7" t="str">
        <f t="shared" si="3"/>
        <v>Museum Kunst &amp; Geschiedenis</v>
      </c>
      <c r="R215" s="10">
        <v>10.0</v>
      </c>
      <c r="S215" s="9" t="b">
        <v>0</v>
      </c>
      <c r="T215" s="9" t="b">
        <v>1</v>
      </c>
      <c r="U215" s="19">
        <v>10.0</v>
      </c>
    </row>
    <row r="216">
      <c r="A216" s="7" t="s">
        <v>456</v>
      </c>
      <c r="B216" s="7" t="s">
        <v>457</v>
      </c>
      <c r="C216" s="8" t="s">
        <v>413</v>
      </c>
      <c r="D216" s="7" t="s">
        <v>640</v>
      </c>
      <c r="E216" s="8" t="b">
        <f t="shared" ref="E216:K216" si="218">IF(IFERROR(SEARCH(E$1, $D216),0) &gt;= 1, TRUE,FALSE)</f>
        <v>0</v>
      </c>
      <c r="F216" s="8" t="b">
        <f t="shared" si="218"/>
        <v>0</v>
      </c>
      <c r="G216" s="8" t="b">
        <f t="shared" si="218"/>
        <v>0</v>
      </c>
      <c r="H216" s="8" t="b">
        <f t="shared" si="218"/>
        <v>0</v>
      </c>
      <c r="I216" s="8" t="b">
        <f t="shared" si="218"/>
        <v>1</v>
      </c>
      <c r="J216" s="8" t="b">
        <f t="shared" si="218"/>
        <v>0</v>
      </c>
      <c r="K216" s="8" t="b">
        <f t="shared" si="218"/>
        <v>0</v>
      </c>
      <c r="L216" s="9" t="s">
        <v>557</v>
      </c>
      <c r="M216" s="9" t="b">
        <v>1</v>
      </c>
      <c r="N216" s="9" t="b">
        <v>0</v>
      </c>
      <c r="O216" s="9" t="b">
        <v>0</v>
      </c>
      <c r="P216" s="9" t="b">
        <v>0</v>
      </c>
      <c r="Q216" s="7" t="str">
        <f t="shared" si="3"/>
        <v>Belgisch Museum van de Vrijmetselarij</v>
      </c>
      <c r="R216" s="10">
        <v>10.0</v>
      </c>
      <c r="S216" s="9" t="b">
        <v>0</v>
      </c>
      <c r="T216" s="9" t="b">
        <v>0</v>
      </c>
      <c r="U216" s="18"/>
    </row>
    <row r="217">
      <c r="A217" s="7" t="s">
        <v>458</v>
      </c>
      <c r="B217" s="7" t="s">
        <v>459</v>
      </c>
      <c r="C217" s="8" t="s">
        <v>413</v>
      </c>
      <c r="D217" s="7" t="s">
        <v>4</v>
      </c>
      <c r="E217" s="8" t="b">
        <f t="shared" ref="E217:K217" si="219">IF(IFERROR(SEARCH(E$1, $D217),0) &gt;= 1, TRUE,FALSE)</f>
        <v>0</v>
      </c>
      <c r="F217" s="8" t="b">
        <f t="shared" si="219"/>
        <v>0</v>
      </c>
      <c r="G217" s="8" t="b">
        <f t="shared" si="219"/>
        <v>0</v>
      </c>
      <c r="H217" s="8" t="b">
        <f t="shared" si="219"/>
        <v>0</v>
      </c>
      <c r="I217" s="8" t="b">
        <f t="shared" si="219"/>
        <v>0</v>
      </c>
      <c r="J217" s="8" t="b">
        <f t="shared" si="219"/>
        <v>0</v>
      </c>
      <c r="K217" s="8" t="b">
        <f t="shared" si="219"/>
        <v>0</v>
      </c>
      <c r="L217" s="9" t="s">
        <v>572</v>
      </c>
      <c r="M217" s="9" t="b">
        <v>1</v>
      </c>
      <c r="N217" s="9" t="b">
        <v>1</v>
      </c>
      <c r="O217" s="9" t="b">
        <v>0</v>
      </c>
      <c r="P217" s="9" t="b">
        <v>1</v>
      </c>
      <c r="Q217" s="7" t="str">
        <f t="shared" si="3"/>
        <v>BELvue museum</v>
      </c>
      <c r="R217" s="10">
        <v>10.0</v>
      </c>
      <c r="S217" s="9" t="b">
        <v>0</v>
      </c>
      <c r="T217" s="9" t="b">
        <v>0</v>
      </c>
      <c r="U217" s="18"/>
    </row>
    <row r="218">
      <c r="A218" s="7" t="s">
        <v>460</v>
      </c>
      <c r="B218" s="7" t="s">
        <v>461</v>
      </c>
      <c r="C218" s="8" t="s">
        <v>413</v>
      </c>
      <c r="D218" s="7" t="s">
        <v>4</v>
      </c>
      <c r="E218" s="8" t="b">
        <f t="shared" ref="E218:K218" si="220">IF(IFERROR(SEARCH(E$1, $D218),0) &gt;= 1, TRUE,FALSE)</f>
        <v>0</v>
      </c>
      <c r="F218" s="8" t="b">
        <f t="shared" si="220"/>
        <v>0</v>
      </c>
      <c r="G218" s="8" t="b">
        <f t="shared" si="220"/>
        <v>0</v>
      </c>
      <c r="H218" s="8" t="b">
        <f t="shared" si="220"/>
        <v>0</v>
      </c>
      <c r="I218" s="8" t="b">
        <f t="shared" si="220"/>
        <v>0</v>
      </c>
      <c r="J218" s="8" t="b">
        <f t="shared" si="220"/>
        <v>0</v>
      </c>
      <c r="K218" s="8" t="b">
        <f t="shared" si="220"/>
        <v>0</v>
      </c>
      <c r="L218" s="9" t="s">
        <v>557</v>
      </c>
      <c r="M218" s="9" t="b">
        <v>1</v>
      </c>
      <c r="N218" s="9" t="b">
        <v>0</v>
      </c>
      <c r="O218" s="9" t="b">
        <v>0</v>
      </c>
      <c r="P218" s="9" t="b">
        <v>0</v>
      </c>
      <c r="Q218" s="7" t="str">
        <f t="shared" si="3"/>
        <v>Brussels Museum van de Molen en de Voeding</v>
      </c>
      <c r="R218" s="10">
        <v>5.0</v>
      </c>
      <c r="S218" s="9" t="b">
        <v>0</v>
      </c>
      <c r="T218" s="9" t="b">
        <v>1</v>
      </c>
      <c r="U218" s="10">
        <v>4.0</v>
      </c>
    </row>
    <row r="219">
      <c r="A219" s="7" t="s">
        <v>462</v>
      </c>
      <c r="B219" s="7" t="s">
        <v>463</v>
      </c>
      <c r="C219" s="8" t="s">
        <v>413</v>
      </c>
      <c r="D219" s="7" t="s">
        <v>9</v>
      </c>
      <c r="E219" s="8" t="b">
        <f t="shared" ref="E219:K219" si="221">IF(IFERROR(SEARCH(E$1, $D219),0) &gt;= 1, TRUE,FALSE)</f>
        <v>0</v>
      </c>
      <c r="F219" s="8" t="b">
        <f t="shared" si="221"/>
        <v>0</v>
      </c>
      <c r="G219" s="8" t="b">
        <f t="shared" si="221"/>
        <v>0</v>
      </c>
      <c r="H219" s="8" t="b">
        <f t="shared" si="221"/>
        <v>0</v>
      </c>
      <c r="I219" s="8" t="b">
        <f t="shared" si="221"/>
        <v>0</v>
      </c>
      <c r="J219" s="8" t="b">
        <f t="shared" si="221"/>
        <v>0</v>
      </c>
      <c r="K219" s="8" t="b">
        <f t="shared" si="221"/>
        <v>0</v>
      </c>
      <c r="L219" s="9" t="s">
        <v>557</v>
      </c>
      <c r="M219" s="9" t="b">
        <v>1</v>
      </c>
      <c r="N219" s="9" t="b">
        <v>0</v>
      </c>
      <c r="O219" s="9" t="b">
        <v>0</v>
      </c>
      <c r="P219" s="9" t="b">
        <v>0</v>
      </c>
      <c r="Q219" s="7" t="str">
        <f t="shared" si="3"/>
        <v>Charlier Museum</v>
      </c>
      <c r="R219" s="10">
        <v>9.0</v>
      </c>
      <c r="S219" s="9" t="b">
        <v>0</v>
      </c>
      <c r="T219" s="9" t="b">
        <v>0</v>
      </c>
      <c r="U219" s="7"/>
    </row>
    <row r="220">
      <c r="A220" s="7" t="s">
        <v>464</v>
      </c>
      <c r="B220" s="7" t="s">
        <v>465</v>
      </c>
      <c r="C220" s="8" t="s">
        <v>413</v>
      </c>
      <c r="D220" s="7" t="s">
        <v>9</v>
      </c>
      <c r="E220" s="8" t="b">
        <f t="shared" ref="E220:K220" si="222">IF(IFERROR(SEARCH(E$1, $D220),0) &gt;= 1, TRUE,FALSE)</f>
        <v>0</v>
      </c>
      <c r="F220" s="8" t="b">
        <f t="shared" si="222"/>
        <v>0</v>
      </c>
      <c r="G220" s="8" t="b">
        <f t="shared" si="222"/>
        <v>0</v>
      </c>
      <c r="H220" s="8" t="b">
        <f t="shared" si="222"/>
        <v>0</v>
      </c>
      <c r="I220" s="8" t="b">
        <f t="shared" si="222"/>
        <v>0</v>
      </c>
      <c r="J220" s="8" t="b">
        <f t="shared" si="222"/>
        <v>0</v>
      </c>
      <c r="K220" s="8" t="b">
        <f t="shared" si="222"/>
        <v>0</v>
      </c>
      <c r="L220" s="9" t="s">
        <v>557</v>
      </c>
      <c r="M220" s="9" t="b">
        <v>1</v>
      </c>
      <c r="N220" s="9" t="b">
        <v>0</v>
      </c>
      <c r="O220" s="9" t="b">
        <v>0</v>
      </c>
      <c r="P220" s="9" t="b">
        <v>0</v>
      </c>
      <c r="Q220" s="7" t="str">
        <f t="shared" si="3"/>
        <v>Museum voor Spontane Kunst</v>
      </c>
      <c r="R220" s="10">
        <v>4.0</v>
      </c>
      <c r="S220" s="9" t="b">
        <v>0</v>
      </c>
      <c r="T220" s="9" t="b">
        <v>0</v>
      </c>
      <c r="U220" s="7"/>
    </row>
    <row r="221">
      <c r="A221" s="7" t="s">
        <v>466</v>
      </c>
      <c r="B221" s="7" t="s">
        <v>467</v>
      </c>
      <c r="C221" s="8" t="s">
        <v>413</v>
      </c>
      <c r="D221" s="7" t="s">
        <v>608</v>
      </c>
      <c r="E221" s="8" t="b">
        <f t="shared" ref="E221:K221" si="223">IF(IFERROR(SEARCH(E$1, $D221),0) &gt;= 1, TRUE,FALSE)</f>
        <v>0</v>
      </c>
      <c r="F221" s="8" t="b">
        <f t="shared" si="223"/>
        <v>0</v>
      </c>
      <c r="G221" s="8" t="b">
        <f t="shared" si="223"/>
        <v>0</v>
      </c>
      <c r="H221" s="8" t="b">
        <f t="shared" si="223"/>
        <v>0</v>
      </c>
      <c r="I221" s="8" t="b">
        <f t="shared" si="223"/>
        <v>0</v>
      </c>
      <c r="J221" s="8" t="b">
        <f t="shared" si="223"/>
        <v>0</v>
      </c>
      <c r="K221" s="8" t="b">
        <f t="shared" si="223"/>
        <v>0</v>
      </c>
      <c r="L221" s="9" t="s">
        <v>557</v>
      </c>
      <c r="M221" s="9" t="b">
        <v>1</v>
      </c>
      <c r="N221" s="9" t="b">
        <v>0</v>
      </c>
      <c r="O221" s="9" t="b">
        <v>0</v>
      </c>
      <c r="P221" s="9" t="b">
        <v>0</v>
      </c>
      <c r="Q221" s="7" t="str">
        <f t="shared" si="3"/>
        <v>Riolenmuseum</v>
      </c>
      <c r="R221" s="10">
        <v>10.0</v>
      </c>
      <c r="S221" s="9" t="b">
        <v>0</v>
      </c>
      <c r="T221" s="9" t="b">
        <v>0</v>
      </c>
      <c r="U221" s="7"/>
    </row>
    <row r="222">
      <c r="A222" s="7" t="s">
        <v>468</v>
      </c>
      <c r="B222" s="7" t="s">
        <v>469</v>
      </c>
      <c r="C222" s="8" t="s">
        <v>413</v>
      </c>
      <c r="D222" s="7" t="s">
        <v>188</v>
      </c>
      <c r="E222" s="8" t="b">
        <f t="shared" ref="E222:K222" si="224">IF(IFERROR(SEARCH(E$1, $D222),0) &gt;= 1, TRUE,FALSE)</f>
        <v>0</v>
      </c>
      <c r="F222" s="8" t="b">
        <f t="shared" si="224"/>
        <v>0</v>
      </c>
      <c r="G222" s="8" t="b">
        <f t="shared" si="224"/>
        <v>0</v>
      </c>
      <c r="H222" s="8" t="b">
        <f t="shared" si="224"/>
        <v>0</v>
      </c>
      <c r="I222" s="8" t="b">
        <f t="shared" si="224"/>
        <v>0</v>
      </c>
      <c r="J222" s="8" t="b">
        <f t="shared" si="224"/>
        <v>0</v>
      </c>
      <c r="K222" s="8" t="b">
        <f t="shared" si="224"/>
        <v>0</v>
      </c>
      <c r="L222" s="9" t="s">
        <v>566</v>
      </c>
      <c r="M222" s="9" t="b">
        <v>1</v>
      </c>
      <c r="N222" s="9" t="b">
        <v>1</v>
      </c>
      <c r="O222" s="9" t="b">
        <v>0</v>
      </c>
      <c r="P222" s="9" t="b">
        <v>0</v>
      </c>
      <c r="Q222" s="7" t="str">
        <f t="shared" si="3"/>
        <v>Stripmuseum Brussel</v>
      </c>
      <c r="R222" s="10">
        <v>14.0</v>
      </c>
      <c r="S222" s="9" t="b">
        <v>0</v>
      </c>
      <c r="T222" s="9" t="b">
        <v>1</v>
      </c>
      <c r="U222" s="10">
        <v>0.0</v>
      </c>
    </row>
    <row r="223">
      <c r="A223" s="7" t="s">
        <v>470</v>
      </c>
      <c r="B223" s="7" t="s">
        <v>471</v>
      </c>
      <c r="C223" s="8" t="s">
        <v>413</v>
      </c>
      <c r="D223" s="7" t="s">
        <v>608</v>
      </c>
      <c r="E223" s="8" t="b">
        <f t="shared" ref="E223:K223" si="225">IF(IFERROR(SEARCH(E$1, $D223),0) &gt;= 1, TRUE,FALSE)</f>
        <v>0</v>
      </c>
      <c r="F223" s="8" t="b">
        <f t="shared" si="225"/>
        <v>0</v>
      </c>
      <c r="G223" s="8" t="b">
        <f t="shared" si="225"/>
        <v>0</v>
      </c>
      <c r="H223" s="8" t="b">
        <f t="shared" si="225"/>
        <v>0</v>
      </c>
      <c r="I223" s="8" t="b">
        <f t="shared" si="225"/>
        <v>0</v>
      </c>
      <c r="J223" s="8" t="b">
        <f t="shared" si="225"/>
        <v>0</v>
      </c>
      <c r="K223" s="8" t="b">
        <f t="shared" si="225"/>
        <v>0</v>
      </c>
      <c r="L223" s="7"/>
      <c r="M223" s="9" t="b">
        <v>0</v>
      </c>
      <c r="N223" s="9" t="b">
        <v>0</v>
      </c>
      <c r="O223" s="9" t="b">
        <v>0</v>
      </c>
      <c r="P223" s="9" t="b">
        <v>0</v>
      </c>
      <c r="Q223" s="7" t="str">
        <f t="shared" si="3"/>
        <v>Museum van de Nationale Bank van België</v>
      </c>
      <c r="R223" s="10">
        <v>0.0</v>
      </c>
      <c r="S223" s="9" t="b">
        <v>0</v>
      </c>
      <c r="T223" s="9" t="b">
        <v>0</v>
      </c>
      <c r="U223" s="7"/>
    </row>
    <row r="224">
      <c r="A224" s="7" t="s">
        <v>472</v>
      </c>
      <c r="B224" s="7" t="s">
        <v>473</v>
      </c>
      <c r="C224" s="8" t="s">
        <v>413</v>
      </c>
      <c r="D224" s="7" t="s">
        <v>608</v>
      </c>
      <c r="E224" s="8" t="b">
        <f t="shared" ref="E224:K224" si="226">IF(IFERROR(SEARCH(E$1, $D224),0) &gt;= 1, TRUE,FALSE)</f>
        <v>0</v>
      </c>
      <c r="F224" s="8" t="b">
        <f t="shared" si="226"/>
        <v>0</v>
      </c>
      <c r="G224" s="8" t="b">
        <f t="shared" si="226"/>
        <v>0</v>
      </c>
      <c r="H224" s="8" t="b">
        <f t="shared" si="226"/>
        <v>0</v>
      </c>
      <c r="I224" s="8" t="b">
        <f t="shared" si="226"/>
        <v>0</v>
      </c>
      <c r="J224" s="8" t="b">
        <f t="shared" si="226"/>
        <v>0</v>
      </c>
      <c r="K224" s="8" t="b">
        <f t="shared" si="226"/>
        <v>0</v>
      </c>
      <c r="L224" s="7"/>
      <c r="M224" s="9" t="b">
        <v>0</v>
      </c>
      <c r="N224" s="9" t="b">
        <v>0</v>
      </c>
      <c r="O224" s="9" t="b">
        <v>0</v>
      </c>
      <c r="P224" s="9" t="b">
        <v>0</v>
      </c>
      <c r="Q224" s="7" t="str">
        <f t="shared" si="3"/>
        <v>Geneeskundemuseum</v>
      </c>
      <c r="R224" s="10">
        <v>5.0</v>
      </c>
      <c r="S224" s="9" t="b">
        <v>0</v>
      </c>
      <c r="T224" s="9" t="b">
        <v>0</v>
      </c>
      <c r="U224" s="7"/>
    </row>
    <row r="225">
      <c r="A225" s="7" t="s">
        <v>474</v>
      </c>
      <c r="B225" s="7" t="s">
        <v>475</v>
      </c>
      <c r="C225" s="8" t="s">
        <v>413</v>
      </c>
      <c r="D225" s="7" t="s">
        <v>206</v>
      </c>
      <c r="E225" s="8" t="b">
        <f t="shared" ref="E225:K225" si="227">IF(IFERROR(SEARCH(E$1, $D225),0) &gt;= 1, TRUE,FALSE)</f>
        <v>0</v>
      </c>
      <c r="F225" s="8" t="b">
        <f t="shared" si="227"/>
        <v>0</v>
      </c>
      <c r="G225" s="8" t="b">
        <f t="shared" si="227"/>
        <v>0</v>
      </c>
      <c r="H225" s="8" t="b">
        <f t="shared" si="227"/>
        <v>0</v>
      </c>
      <c r="I225" s="8" t="b">
        <f t="shared" si="227"/>
        <v>1</v>
      </c>
      <c r="J225" s="8" t="b">
        <f t="shared" si="227"/>
        <v>0</v>
      </c>
      <c r="K225" s="8" t="b">
        <f t="shared" si="227"/>
        <v>0</v>
      </c>
      <c r="L225" s="9" t="s">
        <v>557</v>
      </c>
      <c r="M225" s="9" t="b">
        <v>1</v>
      </c>
      <c r="N225" s="9" t="b">
        <v>0</v>
      </c>
      <c r="O225" s="9" t="b">
        <v>0</v>
      </c>
      <c r="P225" s="9" t="b">
        <v>0</v>
      </c>
      <c r="Q225" s="7" t="str">
        <f t="shared" si="3"/>
        <v>Museum van de Stad Brussel - Broodhuis</v>
      </c>
      <c r="R225" s="10">
        <v>10.0</v>
      </c>
      <c r="S225" s="9" t="b">
        <v>0</v>
      </c>
      <c r="T225" s="9" t="b">
        <v>0</v>
      </c>
      <c r="U225" s="18"/>
    </row>
    <row r="226">
      <c r="A226" s="7" t="s">
        <v>476</v>
      </c>
      <c r="B226" s="7" t="s">
        <v>477</v>
      </c>
      <c r="C226" s="8" t="s">
        <v>413</v>
      </c>
      <c r="D226" s="7" t="s">
        <v>86</v>
      </c>
      <c r="E226" s="8" t="b">
        <f t="shared" ref="E226:K226" si="228">IF(IFERROR(SEARCH(E$1, $D226),0) &gt;= 1, TRUE,FALSE)</f>
        <v>0</v>
      </c>
      <c r="F226" s="8" t="b">
        <f t="shared" si="228"/>
        <v>0</v>
      </c>
      <c r="G226" s="8" t="b">
        <f t="shared" si="228"/>
        <v>0</v>
      </c>
      <c r="H226" s="8" t="b">
        <f t="shared" si="228"/>
        <v>0</v>
      </c>
      <c r="I226" s="8" t="b">
        <f t="shared" si="228"/>
        <v>0</v>
      </c>
      <c r="J226" s="8" t="b">
        <f t="shared" si="228"/>
        <v>0</v>
      </c>
      <c r="K226" s="8" t="b">
        <f t="shared" si="228"/>
        <v>0</v>
      </c>
      <c r="L226" s="9" t="s">
        <v>557</v>
      </c>
      <c r="M226" s="9" t="b">
        <v>1</v>
      </c>
      <c r="N226" s="9" t="b">
        <v>0</v>
      </c>
      <c r="O226" s="9" t="b">
        <v>0</v>
      </c>
      <c r="P226" s="9" t="b">
        <v>0</v>
      </c>
      <c r="Q226" s="7" t="str">
        <f t="shared" si="3"/>
        <v>Museum en Tuinen van Buuren</v>
      </c>
      <c r="R226" s="10">
        <v>18.0</v>
      </c>
      <c r="S226" s="9" t="b">
        <v>0</v>
      </c>
      <c r="T226" s="9" t="b">
        <v>0</v>
      </c>
      <c r="U226" s="7"/>
    </row>
    <row r="227">
      <c r="A227" s="7" t="s">
        <v>478</v>
      </c>
      <c r="B227" s="7" t="s">
        <v>479</v>
      </c>
      <c r="C227" s="8" t="s">
        <v>413</v>
      </c>
      <c r="D227" s="7" t="s">
        <v>8</v>
      </c>
      <c r="E227" s="8" t="b">
        <f t="shared" ref="E227:K227" si="229">IF(IFERROR(SEARCH(E$1, $D227),0) &gt;= 1, TRUE,FALSE)</f>
        <v>0</v>
      </c>
      <c r="F227" s="8" t="b">
        <f t="shared" si="229"/>
        <v>0</v>
      </c>
      <c r="G227" s="8" t="b">
        <f t="shared" si="229"/>
        <v>0</v>
      </c>
      <c r="H227" s="8" t="b">
        <f t="shared" si="229"/>
        <v>0</v>
      </c>
      <c r="I227" s="8" t="b">
        <f t="shared" si="229"/>
        <v>1</v>
      </c>
      <c r="J227" s="8" t="b">
        <f t="shared" si="229"/>
        <v>0</v>
      </c>
      <c r="K227" s="8" t="b">
        <f t="shared" si="229"/>
        <v>0</v>
      </c>
      <c r="L227" s="9" t="s">
        <v>557</v>
      </c>
      <c r="M227" s="9" t="b">
        <v>1</v>
      </c>
      <c r="N227" s="9" t="b">
        <v>0</v>
      </c>
      <c r="O227" s="9" t="b">
        <v>0</v>
      </c>
      <c r="P227" s="9" t="b">
        <v>0</v>
      </c>
      <c r="Q227" s="7" t="str">
        <f t="shared" si="3"/>
        <v>Hortamuseum</v>
      </c>
      <c r="R227" s="10">
        <v>14.0</v>
      </c>
      <c r="S227" s="9" t="b">
        <v>0</v>
      </c>
      <c r="T227" s="9" t="b">
        <v>0</v>
      </c>
      <c r="U227" s="7"/>
    </row>
    <row r="228">
      <c r="A228" s="7" t="s">
        <v>480</v>
      </c>
      <c r="B228" s="7" t="s">
        <v>481</v>
      </c>
      <c r="C228" s="8" t="s">
        <v>413</v>
      </c>
      <c r="D228" s="7" t="s">
        <v>102</v>
      </c>
      <c r="E228" s="8" t="b">
        <f t="shared" ref="E228:K228" si="230">IF(IFERROR(SEARCH(E$1, $D228),0) &gt;= 1, TRUE,FALSE)</f>
        <v>0</v>
      </c>
      <c r="F228" s="8" t="b">
        <f t="shared" si="230"/>
        <v>0</v>
      </c>
      <c r="G228" s="8" t="b">
        <f t="shared" si="230"/>
        <v>0</v>
      </c>
      <c r="H228" s="8" t="b">
        <f t="shared" si="230"/>
        <v>0</v>
      </c>
      <c r="I228" s="8" t="b">
        <f t="shared" si="230"/>
        <v>0</v>
      </c>
      <c r="J228" s="8" t="b">
        <f t="shared" si="230"/>
        <v>0</v>
      </c>
      <c r="K228" s="8" t="b">
        <f t="shared" si="230"/>
        <v>0</v>
      </c>
      <c r="L228" s="7"/>
      <c r="M228" s="9" t="b">
        <v>0</v>
      </c>
      <c r="N228" s="9" t="b">
        <v>0</v>
      </c>
      <c r="O228" s="9" t="b">
        <v>0</v>
      </c>
      <c r="P228" s="9" t="b">
        <v>0</v>
      </c>
      <c r="Q228" s="7" t="str">
        <f t="shared" si="3"/>
        <v>Joods Museum van België</v>
      </c>
      <c r="R228" s="10">
        <v>10.0</v>
      </c>
      <c r="S228" s="9" t="b">
        <v>1</v>
      </c>
      <c r="T228" s="9" t="b">
        <v>0</v>
      </c>
      <c r="U228" s="7"/>
    </row>
    <row r="229">
      <c r="A229" s="7" t="s">
        <v>482</v>
      </c>
      <c r="B229" s="7" t="s">
        <v>483</v>
      </c>
      <c r="C229" s="8" t="s">
        <v>413</v>
      </c>
      <c r="D229" s="7" t="s">
        <v>393</v>
      </c>
      <c r="E229" s="8" t="b">
        <f t="shared" ref="E229:K229" si="231">IF(IFERROR(SEARCH(E$1, $D229),0) &gt;= 1, TRUE,FALSE)</f>
        <v>0</v>
      </c>
      <c r="F229" s="8" t="b">
        <f t="shared" si="231"/>
        <v>0</v>
      </c>
      <c r="G229" s="8" t="b">
        <f t="shared" si="231"/>
        <v>1</v>
      </c>
      <c r="H229" s="8" t="b">
        <f t="shared" si="231"/>
        <v>0</v>
      </c>
      <c r="I229" s="8" t="b">
        <f t="shared" si="231"/>
        <v>0</v>
      </c>
      <c r="J229" s="8" t="b">
        <f t="shared" si="231"/>
        <v>0</v>
      </c>
      <c r="K229" s="8" t="b">
        <f t="shared" si="231"/>
        <v>0</v>
      </c>
      <c r="L229" s="9" t="s">
        <v>557</v>
      </c>
      <c r="M229" s="9" t="b">
        <v>1</v>
      </c>
      <c r="N229" s="9" t="b">
        <v>0</v>
      </c>
      <c r="O229" s="9" t="b">
        <v>0</v>
      </c>
      <c r="P229" s="9" t="b">
        <v>0</v>
      </c>
      <c r="Q229" s="7" t="str">
        <f t="shared" si="3"/>
        <v>Mode &amp; Kant Museum</v>
      </c>
      <c r="R229" s="10">
        <v>10.0</v>
      </c>
      <c r="S229" s="9" t="b">
        <v>0</v>
      </c>
      <c r="T229" s="9" t="b">
        <v>0</v>
      </c>
      <c r="U229" s="18"/>
    </row>
    <row r="230">
      <c r="A230" s="7" t="s">
        <v>484</v>
      </c>
      <c r="B230" s="7" t="s">
        <v>485</v>
      </c>
      <c r="C230" s="8" t="s">
        <v>413</v>
      </c>
      <c r="D230" s="7" t="s">
        <v>9</v>
      </c>
      <c r="E230" s="8" t="b">
        <f t="shared" ref="E230:K230" si="232">IF(IFERROR(SEARCH(E$1, $D230),0) &gt;= 1, TRUE,FALSE)</f>
        <v>0</v>
      </c>
      <c r="F230" s="8" t="b">
        <f t="shared" si="232"/>
        <v>0</v>
      </c>
      <c r="G230" s="8" t="b">
        <f t="shared" si="232"/>
        <v>0</v>
      </c>
      <c r="H230" s="8" t="b">
        <f t="shared" si="232"/>
        <v>0</v>
      </c>
      <c r="I230" s="8" t="b">
        <f t="shared" si="232"/>
        <v>0</v>
      </c>
      <c r="J230" s="8" t="b">
        <f t="shared" si="232"/>
        <v>0</v>
      </c>
      <c r="K230" s="8" t="b">
        <f t="shared" si="232"/>
        <v>0</v>
      </c>
      <c r="L230" s="9" t="s">
        <v>557</v>
      </c>
      <c r="M230" s="9" t="b">
        <v>1</v>
      </c>
      <c r="N230" s="9" t="b">
        <v>0</v>
      </c>
      <c r="O230" s="9" t="b">
        <v>0</v>
      </c>
      <c r="P230" s="9" t="b">
        <v>0</v>
      </c>
      <c r="Q230" s="7" t="str">
        <f t="shared" si="3"/>
        <v>René Magritte Museum &amp; Museum voor abstracte kuns</v>
      </c>
      <c r="R230" s="10">
        <v>15.0</v>
      </c>
      <c r="S230" s="9" t="b">
        <v>0</v>
      </c>
      <c r="T230" s="9" t="b">
        <v>0</v>
      </c>
      <c r="U230" s="7"/>
    </row>
    <row r="231">
      <c r="A231" s="7" t="s">
        <v>486</v>
      </c>
      <c r="B231" s="7" t="s">
        <v>487</v>
      </c>
      <c r="C231" s="8" t="s">
        <v>413</v>
      </c>
      <c r="D231" s="7" t="s">
        <v>171</v>
      </c>
      <c r="E231" s="8" t="b">
        <f t="shared" ref="E231:K231" si="233">IF(IFERROR(SEARCH(E$1, $D231),0) &gt;= 1, TRUE,FALSE)</f>
        <v>0</v>
      </c>
      <c r="F231" s="8" t="b">
        <f t="shared" si="233"/>
        <v>0</v>
      </c>
      <c r="G231" s="8" t="b">
        <f t="shared" si="233"/>
        <v>0</v>
      </c>
      <c r="H231" s="8" t="b">
        <f t="shared" si="233"/>
        <v>0</v>
      </c>
      <c r="I231" s="8" t="b">
        <f t="shared" si="233"/>
        <v>1</v>
      </c>
      <c r="J231" s="8" t="b">
        <f t="shared" si="233"/>
        <v>0</v>
      </c>
      <c r="K231" s="8" t="b">
        <f t="shared" si="233"/>
        <v>0</v>
      </c>
      <c r="L231" s="9" t="s">
        <v>570</v>
      </c>
      <c r="M231" s="9" t="b">
        <v>1</v>
      </c>
      <c r="N231" s="9" t="b">
        <v>1</v>
      </c>
      <c r="O231" s="9" t="b">
        <v>1</v>
      </c>
      <c r="P231" s="9" t="b">
        <v>1</v>
      </c>
      <c r="Q231" s="7" t="str">
        <f t="shared" si="3"/>
        <v>Koninklijk Museum van het Leger en de Krijgsgeschiedenis</v>
      </c>
      <c r="R231" s="10">
        <v>12.0</v>
      </c>
      <c r="S231" s="9" t="b">
        <v>0</v>
      </c>
      <c r="T231" s="9" t="b">
        <v>0</v>
      </c>
      <c r="U231" s="7"/>
    </row>
    <row r="232">
      <c r="A232" s="7" t="s">
        <v>488</v>
      </c>
      <c r="B232" s="7" t="s">
        <v>489</v>
      </c>
      <c r="C232" s="8" t="s">
        <v>413</v>
      </c>
      <c r="D232" s="7" t="s">
        <v>600</v>
      </c>
      <c r="E232" s="8" t="b">
        <f t="shared" ref="E232:K232" si="234">IF(IFERROR(SEARCH(E$1, $D232),0) &gt;= 1, TRUE,FALSE)</f>
        <v>0</v>
      </c>
      <c r="F232" s="8" t="b">
        <f t="shared" si="234"/>
        <v>0</v>
      </c>
      <c r="G232" s="8" t="b">
        <f t="shared" si="234"/>
        <v>0</v>
      </c>
      <c r="H232" s="8" t="b">
        <f t="shared" si="234"/>
        <v>0</v>
      </c>
      <c r="I232" s="8" t="b">
        <f t="shared" si="234"/>
        <v>0</v>
      </c>
      <c r="J232" s="8" t="b">
        <f t="shared" si="234"/>
        <v>0</v>
      </c>
      <c r="K232" s="8" t="b">
        <f t="shared" si="234"/>
        <v>0</v>
      </c>
      <c r="L232" s="9" t="s">
        <v>568</v>
      </c>
      <c r="M232" s="9" t="b">
        <v>1</v>
      </c>
      <c r="N232" s="9" t="b">
        <v>0</v>
      </c>
      <c r="O232" s="9" t="b">
        <v>0</v>
      </c>
      <c r="P232" s="9" t="b">
        <v>1</v>
      </c>
      <c r="Q232" s="7" t="str">
        <f t="shared" si="3"/>
        <v>Coudenbergpaleis</v>
      </c>
      <c r="R232" s="10">
        <v>10.0</v>
      </c>
      <c r="S232" s="9" t="b">
        <v>0</v>
      </c>
      <c r="T232" s="9" t="b">
        <v>0</v>
      </c>
      <c r="U232" s="7"/>
    </row>
    <row r="233">
      <c r="A233" s="7" t="s">
        <v>490</v>
      </c>
      <c r="B233" s="7" t="s">
        <v>491</v>
      </c>
      <c r="C233" s="8" t="s">
        <v>413</v>
      </c>
      <c r="D233" s="7" t="s">
        <v>5</v>
      </c>
      <c r="E233" s="8" t="b">
        <f t="shared" ref="E233:K233" si="235">IF(IFERROR(SEARCH(E$1, $D233),0) &gt;= 1, TRUE,FALSE)</f>
        <v>0</v>
      </c>
      <c r="F233" s="8" t="b">
        <f t="shared" si="235"/>
        <v>0</v>
      </c>
      <c r="G233" s="8" t="b">
        <f t="shared" si="235"/>
        <v>0</v>
      </c>
      <c r="H233" s="8" t="b">
        <f t="shared" si="235"/>
        <v>0</v>
      </c>
      <c r="I233" s="8" t="b">
        <f t="shared" si="235"/>
        <v>0</v>
      </c>
      <c r="J233" s="8" t="b">
        <f t="shared" si="235"/>
        <v>0</v>
      </c>
      <c r="K233" s="8" t="b">
        <f t="shared" si="235"/>
        <v>0</v>
      </c>
      <c r="L233" s="9" t="s">
        <v>569</v>
      </c>
      <c r="M233" s="9" t="b">
        <v>1</v>
      </c>
      <c r="N233" s="9" t="b">
        <v>0</v>
      </c>
      <c r="O233" s="9" t="b">
        <v>1</v>
      </c>
      <c r="P233" s="9" t="b">
        <v>0</v>
      </c>
      <c r="Q233" s="7" t="str">
        <f t="shared" si="3"/>
        <v>Planetarium Brussel</v>
      </c>
      <c r="R233" s="10">
        <v>8.0</v>
      </c>
      <c r="S233" s="9" t="b">
        <v>0</v>
      </c>
      <c r="T233" s="9" t="b">
        <v>0</v>
      </c>
      <c r="U233" s="7"/>
    </row>
    <row r="234">
      <c r="A234" s="7" t="s">
        <v>492</v>
      </c>
      <c r="B234" s="7" t="s">
        <v>493</v>
      </c>
      <c r="C234" s="8" t="s">
        <v>413</v>
      </c>
      <c r="D234" s="7" t="s">
        <v>582</v>
      </c>
      <c r="E234" s="8" t="b">
        <f t="shared" ref="E234:K234" si="236">IF(IFERROR(SEARCH(E$1, $D234),0) &gt;= 1, TRUE,FALSE)</f>
        <v>0</v>
      </c>
      <c r="F234" s="8" t="b">
        <f t="shared" si="236"/>
        <v>0</v>
      </c>
      <c r="G234" s="8" t="b">
        <f t="shared" si="236"/>
        <v>0</v>
      </c>
      <c r="H234" s="8" t="b">
        <f t="shared" si="236"/>
        <v>0</v>
      </c>
      <c r="I234" s="8" t="b">
        <f t="shared" si="236"/>
        <v>1</v>
      </c>
      <c r="J234" s="8" t="b">
        <f t="shared" si="236"/>
        <v>0</v>
      </c>
      <c r="K234" s="8" t="b">
        <f t="shared" si="236"/>
        <v>0</v>
      </c>
      <c r="L234" s="9" t="s">
        <v>557</v>
      </c>
      <c r="M234" s="9" t="b">
        <v>1</v>
      </c>
      <c r="N234" s="9" t="b">
        <v>0</v>
      </c>
      <c r="O234" s="9" t="b">
        <v>0</v>
      </c>
      <c r="P234" s="9" t="b">
        <v>0</v>
      </c>
      <c r="Q234" s="7" t="str">
        <f t="shared" si="3"/>
        <v>Hallepoort</v>
      </c>
      <c r="R234" s="10">
        <v>7.0</v>
      </c>
      <c r="S234" s="9" t="b">
        <v>0</v>
      </c>
      <c r="T234" s="9" t="b">
        <v>0</v>
      </c>
      <c r="U234" s="7"/>
    </row>
    <row r="235">
      <c r="A235" s="7" t="s">
        <v>494</v>
      </c>
      <c r="B235" s="7" t="s">
        <v>495</v>
      </c>
      <c r="C235" s="8" t="s">
        <v>413</v>
      </c>
      <c r="D235" s="7" t="s">
        <v>9</v>
      </c>
      <c r="E235" s="8" t="b">
        <f t="shared" ref="E235:K235" si="237">IF(IFERROR(SEARCH(E$1, $D235),0) &gt;= 1, TRUE,FALSE)</f>
        <v>0</v>
      </c>
      <c r="F235" s="8" t="b">
        <f t="shared" si="237"/>
        <v>0</v>
      </c>
      <c r="G235" s="8" t="b">
        <f t="shared" si="237"/>
        <v>0</v>
      </c>
      <c r="H235" s="8" t="b">
        <f t="shared" si="237"/>
        <v>0</v>
      </c>
      <c r="I235" s="8" t="b">
        <f t="shared" si="237"/>
        <v>0</v>
      </c>
      <c r="J235" s="8" t="b">
        <f t="shared" si="237"/>
        <v>0</v>
      </c>
      <c r="K235" s="8" t="b">
        <f t="shared" si="237"/>
        <v>0</v>
      </c>
      <c r="L235" s="9" t="s">
        <v>570</v>
      </c>
      <c r="M235" s="9" t="b">
        <v>1</v>
      </c>
      <c r="N235" s="9" t="b">
        <v>1</v>
      </c>
      <c r="O235" s="9" t="b">
        <v>1</v>
      </c>
      <c r="P235" s="9" t="b">
        <v>1</v>
      </c>
      <c r="Q235" s="7" t="str">
        <f t="shared" si="3"/>
        <v>Centrum voor Hedendaagse Kunst</v>
      </c>
      <c r="R235" s="10">
        <v>12.0</v>
      </c>
      <c r="S235" s="9" t="b">
        <v>0</v>
      </c>
      <c r="T235" s="9" t="b">
        <v>1</v>
      </c>
      <c r="U235" s="10">
        <v>12.0</v>
      </c>
    </row>
    <row r="236">
      <c r="A236" s="7" t="s">
        <v>496</v>
      </c>
      <c r="B236" s="7"/>
      <c r="C236" s="8" t="s">
        <v>413</v>
      </c>
      <c r="D236" s="7" t="s">
        <v>497</v>
      </c>
      <c r="E236" s="8" t="b">
        <f t="shared" ref="E236:K236" si="238">IF(IFERROR(SEARCH(E$1, $D236),0) &gt;= 1, TRUE,FALSE)</f>
        <v>0</v>
      </c>
      <c r="F236" s="8" t="b">
        <f t="shared" si="238"/>
        <v>0</v>
      </c>
      <c r="G236" s="8" t="b">
        <f t="shared" si="238"/>
        <v>0</v>
      </c>
      <c r="H236" s="8" t="b">
        <f t="shared" si="238"/>
        <v>1</v>
      </c>
      <c r="I236" s="8" t="b">
        <f t="shared" si="238"/>
        <v>0</v>
      </c>
      <c r="J236" s="8" t="b">
        <f t="shared" si="238"/>
        <v>0</v>
      </c>
      <c r="K236" s="8" t="b">
        <f t="shared" si="238"/>
        <v>0</v>
      </c>
      <c r="L236" s="9" t="s">
        <v>557</v>
      </c>
      <c r="M236" s="9" t="b">
        <v>1</v>
      </c>
      <c r="N236" s="9" t="b">
        <v>0</v>
      </c>
      <c r="O236" s="9" t="b">
        <v>0</v>
      </c>
      <c r="P236" s="9" t="b">
        <v>0</v>
      </c>
      <c r="Q236" s="7" t="str">
        <f t="shared" si="3"/>
        <v>Wittockiana</v>
      </c>
      <c r="R236" s="10">
        <v>7.0</v>
      </c>
      <c r="S236" s="9" t="b">
        <v>0</v>
      </c>
      <c r="T236" s="9" t="b">
        <v>0</v>
      </c>
      <c r="U236" s="7"/>
    </row>
    <row r="237">
      <c r="A237" s="7" t="s">
        <v>498</v>
      </c>
      <c r="B237" s="7" t="s">
        <v>499</v>
      </c>
      <c r="C237" s="8" t="s">
        <v>500</v>
      </c>
      <c r="D237" s="7" t="s">
        <v>4</v>
      </c>
      <c r="E237" s="8" t="b">
        <f t="shared" ref="E237:K237" si="239">IF(IFERROR(SEARCH(E$1, $D237),0) &gt;= 1, TRUE,FALSE)</f>
        <v>0</v>
      </c>
      <c r="F237" s="8" t="b">
        <f t="shared" si="239"/>
        <v>0</v>
      </c>
      <c r="G237" s="8" t="b">
        <f t="shared" si="239"/>
        <v>0</v>
      </c>
      <c r="H237" s="8" t="b">
        <f t="shared" si="239"/>
        <v>0</v>
      </c>
      <c r="I237" s="8" t="b">
        <f t="shared" si="239"/>
        <v>0</v>
      </c>
      <c r="J237" s="8" t="b">
        <f t="shared" si="239"/>
        <v>0</v>
      </c>
      <c r="K237" s="8" t="b">
        <f t="shared" si="239"/>
        <v>0</v>
      </c>
      <c r="L237" s="9" t="s">
        <v>557</v>
      </c>
      <c r="M237" s="9" t="b">
        <v>1</v>
      </c>
      <c r="N237" s="9" t="b">
        <v>0</v>
      </c>
      <c r="O237" s="9" t="b">
        <v>0</v>
      </c>
      <c r="P237" s="9" t="b">
        <v>0</v>
      </c>
      <c r="Q237" s="7" t="str">
        <f t="shared" si="3"/>
        <v>Amsab-Instituut voor Sociale Geschiedenis</v>
      </c>
      <c r="R237" s="10">
        <v>0.0</v>
      </c>
      <c r="S237" s="9" t="b">
        <v>0</v>
      </c>
      <c r="T237" s="9" t="b">
        <v>1</v>
      </c>
      <c r="U237" s="10">
        <v>0.0</v>
      </c>
    </row>
    <row r="238">
      <c r="A238" s="7" t="s">
        <v>501</v>
      </c>
      <c r="B238" s="7" t="s">
        <v>502</v>
      </c>
      <c r="C238" s="8" t="s">
        <v>500</v>
      </c>
      <c r="D238" s="7" t="s">
        <v>503</v>
      </c>
      <c r="E238" s="8" t="b">
        <f t="shared" ref="E238:K238" si="240">IF(IFERROR(SEARCH(E$1, $D238),0) &gt;= 1, TRUE,FALSE)</f>
        <v>0</v>
      </c>
      <c r="F238" s="8" t="b">
        <f t="shared" si="240"/>
        <v>0</v>
      </c>
      <c r="G238" s="8" t="b">
        <f t="shared" si="240"/>
        <v>0</v>
      </c>
      <c r="H238" s="8" t="b">
        <f t="shared" si="240"/>
        <v>1</v>
      </c>
      <c r="I238" s="8" t="b">
        <f t="shared" si="240"/>
        <v>0</v>
      </c>
      <c r="J238" s="8" t="b">
        <f t="shared" si="240"/>
        <v>0</v>
      </c>
      <c r="K238" s="8" t="b">
        <f t="shared" si="240"/>
        <v>0</v>
      </c>
      <c r="L238" s="9" t="s">
        <v>569</v>
      </c>
      <c r="M238" s="9" t="b">
        <v>1</v>
      </c>
      <c r="N238" s="9" t="b">
        <v>0</v>
      </c>
      <c r="O238" s="9" t="b">
        <v>1</v>
      </c>
      <c r="P238" s="9" t="b">
        <v>0</v>
      </c>
      <c r="Q238" s="7" t="str">
        <f t="shared" si="3"/>
        <v>Curiosum | Een huis vol herinnering</v>
      </c>
      <c r="R238" s="10">
        <v>8.0</v>
      </c>
      <c r="S238" s="9" t="b">
        <v>0</v>
      </c>
      <c r="T238" s="9" t="b">
        <v>0</v>
      </c>
      <c r="U238" s="7"/>
    </row>
    <row r="239">
      <c r="A239" s="7" t="s">
        <v>504</v>
      </c>
      <c r="B239" s="7"/>
      <c r="C239" s="8" t="s">
        <v>500</v>
      </c>
      <c r="D239" s="7" t="s">
        <v>10</v>
      </c>
      <c r="E239" s="8" t="b">
        <f t="shared" ref="E239:K239" si="241">IF(IFERROR(SEARCH(E$1, $D239),0) &gt;= 1, TRUE,FALSE)</f>
        <v>0</v>
      </c>
      <c r="F239" s="8" t="b">
        <f t="shared" si="241"/>
        <v>0</v>
      </c>
      <c r="G239" s="8" t="b">
        <f t="shared" si="241"/>
        <v>0</v>
      </c>
      <c r="H239" s="8" t="b">
        <f t="shared" si="241"/>
        <v>0</v>
      </c>
      <c r="I239" s="8" t="b">
        <f t="shared" si="241"/>
        <v>0</v>
      </c>
      <c r="J239" s="8" t="b">
        <f t="shared" si="241"/>
        <v>0</v>
      </c>
      <c r="K239" s="8" t="b">
        <f t="shared" si="241"/>
        <v>0</v>
      </c>
      <c r="L239" s="9" t="s">
        <v>557</v>
      </c>
      <c r="M239" s="9" t="b">
        <v>1</v>
      </c>
      <c r="N239" s="9" t="b">
        <v>0</v>
      </c>
      <c r="O239" s="9" t="b">
        <v>0</v>
      </c>
      <c r="P239" s="9" t="b">
        <v>0</v>
      </c>
      <c r="Q239" s="7" t="str">
        <f t="shared" si="3"/>
        <v>Design Museum Gent</v>
      </c>
      <c r="R239" s="10">
        <v>5.0</v>
      </c>
      <c r="S239" s="9" t="b">
        <v>1</v>
      </c>
      <c r="T239" s="9" t="b">
        <v>0</v>
      </c>
      <c r="U239" s="7"/>
    </row>
    <row r="240">
      <c r="A240" s="7" t="s">
        <v>505</v>
      </c>
      <c r="B240" s="7" t="s">
        <v>506</v>
      </c>
      <c r="C240" s="8" t="s">
        <v>500</v>
      </c>
      <c r="D240" s="7" t="s">
        <v>114</v>
      </c>
      <c r="E240" s="8" t="b">
        <f t="shared" ref="E240:K240" si="242">IF(IFERROR(SEARCH(E$1, $D240),0) &gt;= 1, TRUE,FALSE)</f>
        <v>0</v>
      </c>
      <c r="F240" s="8" t="b">
        <f t="shared" si="242"/>
        <v>0</v>
      </c>
      <c r="G240" s="8" t="b">
        <f t="shared" si="242"/>
        <v>0</v>
      </c>
      <c r="H240" s="8" t="b">
        <f t="shared" si="242"/>
        <v>0</v>
      </c>
      <c r="I240" s="8" t="b">
        <f t="shared" si="242"/>
        <v>0</v>
      </c>
      <c r="J240" s="8" t="b">
        <f t="shared" si="242"/>
        <v>0</v>
      </c>
      <c r="K240" s="8" t="b">
        <f t="shared" si="242"/>
        <v>0</v>
      </c>
      <c r="L240" s="9" t="s">
        <v>557</v>
      </c>
      <c r="M240" s="9" t="b">
        <v>1</v>
      </c>
      <c r="N240" s="9" t="b">
        <v>0</v>
      </c>
      <c r="O240" s="9" t="b">
        <v>0</v>
      </c>
      <c r="P240" s="9" t="b">
        <v>0</v>
      </c>
      <c r="Q240" s="7" t="str">
        <f t="shared" si="3"/>
        <v>GUM | Gents Universiteitsmuseum</v>
      </c>
      <c r="R240" s="10">
        <v>12.0</v>
      </c>
      <c r="S240" s="9" t="b">
        <v>0</v>
      </c>
      <c r="T240" s="9" t="b">
        <v>0</v>
      </c>
      <c r="U240" s="18"/>
    </row>
    <row r="241">
      <c r="A241" s="7"/>
      <c r="B241" s="7" t="s">
        <v>507</v>
      </c>
      <c r="C241" s="8" t="s">
        <v>500</v>
      </c>
      <c r="D241" s="7" t="s">
        <v>9</v>
      </c>
      <c r="E241" s="8" t="b">
        <f t="shared" ref="E241:K241" si="243">IF(IFERROR(SEARCH(E$1, $D241),0) &gt;= 1, TRUE,FALSE)</f>
        <v>0</v>
      </c>
      <c r="F241" s="8" t="b">
        <f t="shared" si="243"/>
        <v>0</v>
      </c>
      <c r="G241" s="8" t="b">
        <f t="shared" si="243"/>
        <v>0</v>
      </c>
      <c r="H241" s="8" t="b">
        <f t="shared" si="243"/>
        <v>0</v>
      </c>
      <c r="I241" s="8" t="b">
        <f t="shared" si="243"/>
        <v>0</v>
      </c>
      <c r="J241" s="8" t="b">
        <f t="shared" si="243"/>
        <v>0</v>
      </c>
      <c r="K241" s="8" t="b">
        <f t="shared" si="243"/>
        <v>0</v>
      </c>
      <c r="L241" s="9" t="s">
        <v>557</v>
      </c>
      <c r="M241" s="9" t="b">
        <v>1</v>
      </c>
      <c r="N241" s="9" t="b">
        <v>0</v>
      </c>
      <c r="O241" s="9" t="b">
        <v>0</v>
      </c>
      <c r="P241" s="9" t="b">
        <v>0</v>
      </c>
      <c r="Q241" s="7" t="str">
        <f t="shared" si="3"/>
        <v>Herbert Foundation</v>
      </c>
      <c r="R241" s="10">
        <v>12.0</v>
      </c>
      <c r="S241" s="9" t="b">
        <v>0</v>
      </c>
      <c r="T241" s="9" t="b">
        <v>0</v>
      </c>
      <c r="U241" s="7"/>
    </row>
    <row r="242">
      <c r="A242" s="7" t="s">
        <v>508</v>
      </c>
      <c r="B242" s="7" t="s">
        <v>509</v>
      </c>
      <c r="C242" s="8" t="s">
        <v>500</v>
      </c>
      <c r="D242" s="7" t="s">
        <v>46</v>
      </c>
      <c r="E242" s="8" t="b">
        <f t="shared" ref="E242:K242" si="244">IF(IFERROR(SEARCH(E$1, $D242),0) &gt;= 1, TRUE,FALSE)</f>
        <v>0</v>
      </c>
      <c r="F242" s="8" t="b">
        <f t="shared" si="244"/>
        <v>0</v>
      </c>
      <c r="G242" s="8" t="b">
        <f t="shared" si="244"/>
        <v>0</v>
      </c>
      <c r="H242" s="8" t="b">
        <f t="shared" si="244"/>
        <v>0</v>
      </c>
      <c r="I242" s="8" t="b">
        <f t="shared" si="244"/>
        <v>0</v>
      </c>
      <c r="J242" s="8" t="b">
        <f t="shared" si="244"/>
        <v>0</v>
      </c>
      <c r="K242" s="8" t="b">
        <f t="shared" si="244"/>
        <v>0</v>
      </c>
      <c r="L242" s="9" t="s">
        <v>566</v>
      </c>
      <c r="M242" s="9" t="b">
        <v>1</v>
      </c>
      <c r="N242" s="9" t="b">
        <v>1</v>
      </c>
      <c r="O242" s="9" t="b">
        <v>0</v>
      </c>
      <c r="P242" s="9" t="b">
        <v>0</v>
      </c>
      <c r="Q242" s="7" t="str">
        <f t="shared" si="3"/>
        <v>Huis van Alijn</v>
      </c>
      <c r="R242" s="10">
        <v>9.0</v>
      </c>
      <c r="S242" s="9" t="b">
        <v>0</v>
      </c>
      <c r="T242" s="9" t="b">
        <v>1</v>
      </c>
      <c r="U242" s="10">
        <v>9.0</v>
      </c>
    </row>
    <row r="243">
      <c r="A243" s="7" t="s">
        <v>510</v>
      </c>
      <c r="B243" s="7" t="s">
        <v>511</v>
      </c>
      <c r="C243" s="8" t="s">
        <v>500</v>
      </c>
      <c r="D243" s="7" t="s">
        <v>114</v>
      </c>
      <c r="E243" s="8" t="b">
        <f t="shared" ref="E243:K243" si="245">IF(IFERROR(SEARCH(E$1, $D243),0) &gt;= 1, TRUE,FALSE)</f>
        <v>0</v>
      </c>
      <c r="F243" s="8" t="b">
        <f t="shared" si="245"/>
        <v>0</v>
      </c>
      <c r="G243" s="8" t="b">
        <f t="shared" si="245"/>
        <v>0</v>
      </c>
      <c r="H243" s="8" t="b">
        <f t="shared" si="245"/>
        <v>0</v>
      </c>
      <c r="I243" s="8" t="b">
        <f t="shared" si="245"/>
        <v>0</v>
      </c>
      <c r="J243" s="8" t="b">
        <f t="shared" si="245"/>
        <v>0</v>
      </c>
      <c r="K243" s="8" t="b">
        <f t="shared" si="245"/>
        <v>0</v>
      </c>
      <c r="L243" s="7"/>
      <c r="M243" s="9" t="b">
        <v>0</v>
      </c>
      <c r="N243" s="9" t="b">
        <v>0</v>
      </c>
      <c r="O243" s="9" t="b">
        <v>0</v>
      </c>
      <c r="P243" s="9" t="b">
        <v>0</v>
      </c>
      <c r="Q243" s="7" t="str">
        <f t="shared" si="3"/>
        <v>Industriemuseum</v>
      </c>
      <c r="R243" s="10">
        <v>9.0</v>
      </c>
      <c r="S243" s="9" t="b">
        <v>0</v>
      </c>
      <c r="T243" s="9" t="b">
        <v>0</v>
      </c>
      <c r="U243" s="18"/>
    </row>
    <row r="244">
      <c r="A244" s="7" t="s">
        <v>512</v>
      </c>
      <c r="B244" s="7" t="s">
        <v>513</v>
      </c>
      <c r="C244" s="8" t="s">
        <v>500</v>
      </c>
      <c r="D244" s="7" t="s">
        <v>114</v>
      </c>
      <c r="E244" s="8" t="b">
        <f t="shared" ref="E244:K244" si="246">IF(IFERROR(SEARCH(E$1, $D244),0) &gt;= 1, TRUE,FALSE)</f>
        <v>0</v>
      </c>
      <c r="F244" s="8" t="b">
        <f t="shared" si="246"/>
        <v>0</v>
      </c>
      <c r="G244" s="8" t="b">
        <f t="shared" si="246"/>
        <v>0</v>
      </c>
      <c r="H244" s="8" t="b">
        <f t="shared" si="246"/>
        <v>0</v>
      </c>
      <c r="I244" s="8" t="b">
        <f t="shared" si="246"/>
        <v>0</v>
      </c>
      <c r="J244" s="8" t="b">
        <f t="shared" si="246"/>
        <v>0</v>
      </c>
      <c r="K244" s="8" t="b">
        <f t="shared" si="246"/>
        <v>0</v>
      </c>
      <c r="L244" s="9" t="s">
        <v>569</v>
      </c>
      <c r="M244" s="9" t="b">
        <v>1</v>
      </c>
      <c r="N244" s="9" t="b">
        <v>0</v>
      </c>
      <c r="O244" s="9" t="b">
        <v>1</v>
      </c>
      <c r="P244" s="9" t="b">
        <v>0</v>
      </c>
      <c r="Q244" s="7" t="str">
        <f t="shared" si="3"/>
        <v>Mercatormuseum</v>
      </c>
      <c r="R244" s="10">
        <v>8.0</v>
      </c>
      <c r="S244" s="9" t="b">
        <v>1</v>
      </c>
      <c r="T244" s="9" t="b">
        <v>0</v>
      </c>
      <c r="U244" s="7"/>
    </row>
    <row r="245">
      <c r="A245" s="7" t="s">
        <v>514</v>
      </c>
      <c r="B245" s="7" t="s">
        <v>515</v>
      </c>
      <c r="C245" s="8" t="s">
        <v>500</v>
      </c>
      <c r="D245" s="7" t="s">
        <v>4</v>
      </c>
      <c r="E245" s="8" t="b">
        <f t="shared" ref="E245:K245" si="247">IF(IFERROR(SEARCH(E$1, $D245),0) &gt;= 1, TRUE,FALSE)</f>
        <v>0</v>
      </c>
      <c r="F245" s="8" t="b">
        <f t="shared" si="247"/>
        <v>0</v>
      </c>
      <c r="G245" s="8" t="b">
        <f t="shared" si="247"/>
        <v>0</v>
      </c>
      <c r="H245" s="8" t="b">
        <f t="shared" si="247"/>
        <v>0</v>
      </c>
      <c r="I245" s="8" t="b">
        <f t="shared" si="247"/>
        <v>0</v>
      </c>
      <c r="J245" s="8" t="b">
        <f t="shared" si="247"/>
        <v>0</v>
      </c>
      <c r="K245" s="8" t="b">
        <f t="shared" si="247"/>
        <v>0</v>
      </c>
      <c r="L245" s="9" t="s">
        <v>557</v>
      </c>
      <c r="M245" s="9" t="b">
        <v>1</v>
      </c>
      <c r="N245" s="9" t="b">
        <v>0</v>
      </c>
      <c r="O245" s="9" t="b">
        <v>0</v>
      </c>
      <c r="P245" s="9" t="b">
        <v>0</v>
      </c>
      <c r="Q245" s="7" t="str">
        <f t="shared" si="3"/>
        <v>MOU | Museum Oudenaarde</v>
      </c>
      <c r="R245" s="10">
        <v>10.0</v>
      </c>
      <c r="S245" s="9" t="b">
        <v>0</v>
      </c>
      <c r="T245" s="9" t="b">
        <v>0</v>
      </c>
      <c r="U245" s="7"/>
    </row>
    <row r="246">
      <c r="A246" s="7" t="s">
        <v>516</v>
      </c>
      <c r="B246" s="7" t="s">
        <v>517</v>
      </c>
      <c r="C246" s="8" t="s">
        <v>500</v>
      </c>
      <c r="D246" s="7" t="s">
        <v>9</v>
      </c>
      <c r="E246" s="8" t="b">
        <f t="shared" ref="E246:K246" si="248">IF(IFERROR(SEARCH(E$1, $D246),0) &gt;= 1, TRUE,FALSE)</f>
        <v>0</v>
      </c>
      <c r="F246" s="8" t="b">
        <f t="shared" si="248"/>
        <v>0</v>
      </c>
      <c r="G246" s="8" t="b">
        <f t="shared" si="248"/>
        <v>0</v>
      </c>
      <c r="H246" s="8" t="b">
        <f t="shared" si="248"/>
        <v>0</v>
      </c>
      <c r="I246" s="8" t="b">
        <f t="shared" si="248"/>
        <v>0</v>
      </c>
      <c r="J246" s="8" t="b">
        <f t="shared" si="248"/>
        <v>0</v>
      </c>
      <c r="K246" s="8" t="b">
        <f t="shared" si="248"/>
        <v>0</v>
      </c>
      <c r="L246" s="9" t="s">
        <v>572</v>
      </c>
      <c r="M246" s="9" t="b">
        <v>1</v>
      </c>
      <c r="N246" s="9" t="b">
        <v>1</v>
      </c>
      <c r="O246" s="9" t="b">
        <v>0</v>
      </c>
      <c r="P246" s="9" t="b">
        <v>1</v>
      </c>
      <c r="Q246" s="7" t="str">
        <f t="shared" si="3"/>
        <v>MSK | Museum voor Schone Kunsten Gent</v>
      </c>
      <c r="R246" s="10">
        <v>22.0</v>
      </c>
      <c r="S246" s="9" t="b">
        <v>0</v>
      </c>
      <c r="T246" s="9" t="b">
        <v>1</v>
      </c>
      <c r="U246" s="10">
        <v>13.0</v>
      </c>
    </row>
    <row r="247">
      <c r="A247" s="7" t="s">
        <v>518</v>
      </c>
      <c r="B247" s="7" t="s">
        <v>519</v>
      </c>
      <c r="C247" s="8" t="s">
        <v>500</v>
      </c>
      <c r="D247" s="7" t="s">
        <v>431</v>
      </c>
      <c r="E247" s="8" t="b">
        <f t="shared" ref="E247:K247" si="249">IF(IFERROR(SEARCH(E$1, $D247),0) &gt;= 1, TRUE,FALSE)</f>
        <v>0</v>
      </c>
      <c r="F247" s="8" t="b">
        <f t="shared" si="249"/>
        <v>0</v>
      </c>
      <c r="G247" s="8" t="b">
        <f t="shared" si="249"/>
        <v>1</v>
      </c>
      <c r="H247" s="8" t="b">
        <f t="shared" si="249"/>
        <v>0</v>
      </c>
      <c r="I247" s="8" t="b">
        <f t="shared" si="249"/>
        <v>0</v>
      </c>
      <c r="J247" s="8" t="b">
        <f t="shared" si="249"/>
        <v>0</v>
      </c>
      <c r="K247" s="8" t="b">
        <f t="shared" si="249"/>
        <v>0</v>
      </c>
      <c r="L247" s="9" t="s">
        <v>569</v>
      </c>
      <c r="M247" s="9" t="b">
        <v>1</v>
      </c>
      <c r="N247" s="9" t="b">
        <v>0</v>
      </c>
      <c r="O247" s="9" t="b">
        <v>1</v>
      </c>
      <c r="P247" s="9" t="b">
        <v>0</v>
      </c>
      <c r="Q247" s="7" t="str">
        <f t="shared" si="3"/>
        <v>mudel | Museum van Deinze en de Leiestreek</v>
      </c>
      <c r="R247" s="10">
        <v>10.0</v>
      </c>
      <c r="S247" s="9" t="b">
        <v>1</v>
      </c>
      <c r="T247" s="9" t="b">
        <v>0</v>
      </c>
      <c r="U247" s="7"/>
    </row>
    <row r="248">
      <c r="A248" s="7" t="s">
        <v>520</v>
      </c>
      <c r="B248" s="7" t="s">
        <v>521</v>
      </c>
      <c r="C248" s="8" t="s">
        <v>500</v>
      </c>
      <c r="D248" s="7" t="s">
        <v>9</v>
      </c>
      <c r="E248" s="8" t="b">
        <f t="shared" ref="E248:K248" si="250">IF(IFERROR(SEARCH(E$1, $D248),0) &gt;= 1, TRUE,FALSE)</f>
        <v>0</v>
      </c>
      <c r="F248" s="8" t="b">
        <f t="shared" si="250"/>
        <v>0</v>
      </c>
      <c r="G248" s="8" t="b">
        <f t="shared" si="250"/>
        <v>0</v>
      </c>
      <c r="H248" s="8" t="b">
        <f t="shared" si="250"/>
        <v>0</v>
      </c>
      <c r="I248" s="8" t="b">
        <f t="shared" si="250"/>
        <v>0</v>
      </c>
      <c r="J248" s="8" t="b">
        <f t="shared" si="250"/>
        <v>0</v>
      </c>
      <c r="K248" s="8" t="b">
        <f t="shared" si="250"/>
        <v>0</v>
      </c>
      <c r="L248" s="9" t="s">
        <v>569</v>
      </c>
      <c r="M248" s="9" t="b">
        <v>1</v>
      </c>
      <c r="N248" s="9" t="b">
        <v>0</v>
      </c>
      <c r="O248" s="9" t="b">
        <v>1</v>
      </c>
      <c r="P248" s="9" t="b">
        <v>0</v>
      </c>
      <c r="Q248" s="7" t="str">
        <f t="shared" si="3"/>
        <v>Museum Dhondt-Dhaenens</v>
      </c>
      <c r="R248" s="10">
        <v>12.0</v>
      </c>
      <c r="S248" s="9" t="b">
        <v>0</v>
      </c>
      <c r="T248" s="9" t="b">
        <v>0</v>
      </c>
      <c r="U248" s="7"/>
    </row>
    <row r="249">
      <c r="A249" s="7" t="s">
        <v>522</v>
      </c>
      <c r="B249" s="7" t="s">
        <v>523</v>
      </c>
      <c r="C249" s="8" t="s">
        <v>500</v>
      </c>
      <c r="D249" s="7" t="s">
        <v>171</v>
      </c>
      <c r="E249" s="8" t="b">
        <f t="shared" ref="E249:K249" si="251">IF(IFERROR(SEARCH(E$1, $D249),0) &gt;= 1, TRUE,FALSE)</f>
        <v>0</v>
      </c>
      <c r="F249" s="8" t="b">
        <f t="shared" si="251"/>
        <v>0</v>
      </c>
      <c r="G249" s="8" t="b">
        <f t="shared" si="251"/>
        <v>0</v>
      </c>
      <c r="H249" s="8" t="b">
        <f t="shared" si="251"/>
        <v>0</v>
      </c>
      <c r="I249" s="8" t="b">
        <f t="shared" si="251"/>
        <v>1</v>
      </c>
      <c r="J249" s="8" t="b">
        <f t="shared" si="251"/>
        <v>0</v>
      </c>
      <c r="K249" s="8" t="b">
        <f t="shared" si="251"/>
        <v>0</v>
      </c>
      <c r="L249" s="9" t="s">
        <v>567</v>
      </c>
      <c r="M249" s="9" t="b">
        <v>1</v>
      </c>
      <c r="N249" s="9" t="b">
        <v>1</v>
      </c>
      <c r="O249" s="9" t="b">
        <v>1</v>
      </c>
      <c r="P249" s="9" t="b">
        <v>0</v>
      </c>
      <c r="Q249" s="7" t="str">
        <f t="shared" si="3"/>
        <v>Museum Dr. Guislain</v>
      </c>
      <c r="R249" s="10">
        <v>10.0</v>
      </c>
      <c r="S249" s="9" t="b">
        <v>0</v>
      </c>
      <c r="T249" s="9" t="b">
        <v>1</v>
      </c>
      <c r="U249" s="10">
        <v>10.0</v>
      </c>
    </row>
    <row r="250">
      <c r="A250" s="7" t="s">
        <v>524</v>
      </c>
      <c r="B250" s="7" t="s">
        <v>525</v>
      </c>
      <c r="C250" s="8" t="s">
        <v>500</v>
      </c>
      <c r="D250" s="7" t="s">
        <v>9</v>
      </c>
      <c r="E250" s="8" t="b">
        <f t="shared" ref="E250:K250" si="252">IF(IFERROR(SEARCH(E$1, $D250),0) &gt;= 1, TRUE,FALSE)</f>
        <v>0</v>
      </c>
      <c r="F250" s="8" t="b">
        <f t="shared" si="252"/>
        <v>0</v>
      </c>
      <c r="G250" s="8" t="b">
        <f t="shared" si="252"/>
        <v>0</v>
      </c>
      <c r="H250" s="8" t="b">
        <f t="shared" si="252"/>
        <v>0</v>
      </c>
      <c r="I250" s="8" t="b">
        <f t="shared" si="252"/>
        <v>0</v>
      </c>
      <c r="J250" s="8" t="b">
        <f t="shared" si="252"/>
        <v>0</v>
      </c>
      <c r="K250" s="8" t="b">
        <f t="shared" si="252"/>
        <v>0</v>
      </c>
      <c r="L250" s="9" t="s">
        <v>557</v>
      </c>
      <c r="M250" s="9" t="b">
        <v>1</v>
      </c>
      <c r="N250" s="9" t="b">
        <v>0</v>
      </c>
      <c r="O250" s="9" t="b">
        <v>0</v>
      </c>
      <c r="P250" s="9" t="b">
        <v>0</v>
      </c>
      <c r="Q250" s="7" t="str">
        <f t="shared" si="3"/>
        <v>Gemeentelijk museum Gevaert-Minne</v>
      </c>
      <c r="R250" s="10">
        <v>5.0</v>
      </c>
      <c r="S250" s="9" t="b">
        <v>0</v>
      </c>
      <c r="T250" s="9" t="b">
        <v>0</v>
      </c>
      <c r="U250" s="18"/>
    </row>
    <row r="251">
      <c r="A251" s="7" t="s">
        <v>526</v>
      </c>
      <c r="B251" s="7" t="s">
        <v>527</v>
      </c>
      <c r="C251" s="8" t="s">
        <v>500</v>
      </c>
      <c r="D251" s="7" t="s">
        <v>9</v>
      </c>
      <c r="E251" s="8" t="b">
        <f t="shared" ref="E251:K251" si="253">IF(IFERROR(SEARCH(E$1, $D251),0) &gt;= 1, TRUE,FALSE)</f>
        <v>0</v>
      </c>
      <c r="F251" s="8" t="b">
        <f t="shared" si="253"/>
        <v>0</v>
      </c>
      <c r="G251" s="8" t="b">
        <f t="shared" si="253"/>
        <v>0</v>
      </c>
      <c r="H251" s="8" t="b">
        <f t="shared" si="253"/>
        <v>0</v>
      </c>
      <c r="I251" s="8" t="b">
        <f t="shared" si="253"/>
        <v>0</v>
      </c>
      <c r="J251" s="8" t="b">
        <f t="shared" si="253"/>
        <v>0</v>
      </c>
      <c r="K251" s="8" t="b">
        <f t="shared" si="253"/>
        <v>0</v>
      </c>
      <c r="L251" s="9" t="s">
        <v>557</v>
      </c>
      <c r="M251" s="9" t="b">
        <v>1</v>
      </c>
      <c r="N251" s="9" t="b">
        <v>0</v>
      </c>
      <c r="O251" s="9" t="b">
        <v>0</v>
      </c>
      <c r="P251" s="9" t="b">
        <v>0</v>
      </c>
      <c r="Q251" s="7" t="str">
        <f t="shared" si="3"/>
        <v>Gemeentelijk museum Gust De Smet</v>
      </c>
      <c r="R251" s="10">
        <v>5.0</v>
      </c>
      <c r="S251" s="9" t="b">
        <v>0</v>
      </c>
      <c r="T251" s="9" t="b">
        <v>0</v>
      </c>
      <c r="U251" s="7"/>
    </row>
    <row r="252">
      <c r="A252" s="7" t="s">
        <v>528</v>
      </c>
      <c r="B252" s="7" t="s">
        <v>529</v>
      </c>
      <c r="C252" s="8" t="s">
        <v>500</v>
      </c>
      <c r="D252" s="7" t="s">
        <v>4</v>
      </c>
      <c r="E252" s="8" t="b">
        <f t="shared" ref="E252:K252" si="254">IF(IFERROR(SEARCH(E$1, $D252),0) &gt;= 1, TRUE,FALSE)</f>
        <v>0</v>
      </c>
      <c r="F252" s="8" t="b">
        <f t="shared" si="254"/>
        <v>0</v>
      </c>
      <c r="G252" s="8" t="b">
        <f t="shared" si="254"/>
        <v>0</v>
      </c>
      <c r="H252" s="8" t="b">
        <f t="shared" si="254"/>
        <v>0</v>
      </c>
      <c r="I252" s="8" t="b">
        <f t="shared" si="254"/>
        <v>0</v>
      </c>
      <c r="J252" s="8" t="b">
        <f t="shared" si="254"/>
        <v>0</v>
      </c>
      <c r="K252" s="8" t="b">
        <f t="shared" si="254"/>
        <v>0</v>
      </c>
      <c r="L252" s="9" t="s">
        <v>567</v>
      </c>
      <c r="M252" s="9" t="b">
        <v>1</v>
      </c>
      <c r="N252" s="9" t="b">
        <v>1</v>
      </c>
      <c r="O252" s="9" t="b">
        <v>1</v>
      </c>
      <c r="P252" s="9" t="b">
        <v>0</v>
      </c>
      <c r="Q252" s="7" t="str">
        <f t="shared" si="3"/>
        <v>Provinciale Erfgoedsite Ename</v>
      </c>
      <c r="R252" s="10">
        <v>8.0</v>
      </c>
      <c r="S252" s="9" t="b">
        <v>0</v>
      </c>
      <c r="T252" s="9" t="b">
        <v>0</v>
      </c>
      <c r="U252" s="7"/>
    </row>
    <row r="253">
      <c r="A253" s="7" t="s">
        <v>530</v>
      </c>
      <c r="B253" s="7" t="s">
        <v>531</v>
      </c>
      <c r="C253" s="8" t="s">
        <v>500</v>
      </c>
      <c r="D253" s="7" t="s">
        <v>4</v>
      </c>
      <c r="E253" s="8" t="b">
        <f t="shared" ref="E253:K253" si="255">IF(IFERROR(SEARCH(E$1, $D253),0) &gt;= 1, TRUE,FALSE)</f>
        <v>0</v>
      </c>
      <c r="F253" s="8" t="b">
        <f t="shared" si="255"/>
        <v>0</v>
      </c>
      <c r="G253" s="8" t="b">
        <f t="shared" si="255"/>
        <v>0</v>
      </c>
      <c r="H253" s="8" t="b">
        <f t="shared" si="255"/>
        <v>0</v>
      </c>
      <c r="I253" s="8" t="b">
        <f t="shared" si="255"/>
        <v>0</v>
      </c>
      <c r="J253" s="8" t="b">
        <f t="shared" si="255"/>
        <v>0</v>
      </c>
      <c r="K253" s="8" t="b">
        <f t="shared" si="255"/>
        <v>0</v>
      </c>
      <c r="L253" s="9" t="s">
        <v>641</v>
      </c>
      <c r="M253" s="9" t="b">
        <v>0</v>
      </c>
      <c r="N253" s="9" t="b">
        <v>1</v>
      </c>
      <c r="O253" s="9" t="b">
        <v>1</v>
      </c>
      <c r="P253" s="9" t="b">
        <v>0</v>
      </c>
      <c r="Q253" s="7" t="str">
        <f t="shared" si="3"/>
        <v>Provinciale Erfgoedsite Scheepswerven Baasrode</v>
      </c>
      <c r="R253" s="10">
        <v>8.0</v>
      </c>
      <c r="S253" s="9" t="b">
        <v>0</v>
      </c>
      <c r="T253" s="9" t="b">
        <v>0</v>
      </c>
      <c r="U253" s="7"/>
    </row>
    <row r="254">
      <c r="A254" s="7" t="s">
        <v>532</v>
      </c>
      <c r="B254" s="7" t="s">
        <v>533</v>
      </c>
      <c r="C254" s="8" t="s">
        <v>500</v>
      </c>
      <c r="D254" s="7" t="s">
        <v>4</v>
      </c>
      <c r="E254" s="8" t="b">
        <f t="shared" ref="E254:K254" si="256">IF(IFERROR(SEARCH(E$1, $D254),0) &gt;= 1, TRUE,FALSE)</f>
        <v>0</v>
      </c>
      <c r="F254" s="8" t="b">
        <f t="shared" si="256"/>
        <v>0</v>
      </c>
      <c r="G254" s="8" t="b">
        <f t="shared" si="256"/>
        <v>0</v>
      </c>
      <c r="H254" s="8" t="b">
        <f t="shared" si="256"/>
        <v>0</v>
      </c>
      <c r="I254" s="8" t="b">
        <f t="shared" si="256"/>
        <v>0</v>
      </c>
      <c r="J254" s="8" t="b">
        <f t="shared" si="256"/>
        <v>0</v>
      </c>
      <c r="K254" s="8" t="b">
        <f t="shared" si="256"/>
        <v>0</v>
      </c>
      <c r="L254" s="9" t="s">
        <v>559</v>
      </c>
      <c r="M254" s="9" t="b">
        <v>0</v>
      </c>
      <c r="N254" s="9" t="b">
        <v>0</v>
      </c>
      <c r="O254" s="9" t="b">
        <v>1</v>
      </c>
      <c r="P254" s="9" t="b">
        <v>0</v>
      </c>
      <c r="Q254" s="7" t="str">
        <f t="shared" si="3"/>
        <v>Provinciale Erfgoedsite Archeocentrum Velzeke</v>
      </c>
      <c r="R254" s="10">
        <v>8.0</v>
      </c>
      <c r="S254" s="9" t="b">
        <v>0</v>
      </c>
      <c r="T254" s="9" t="b">
        <v>1</v>
      </c>
      <c r="U254" s="10">
        <v>8.0</v>
      </c>
    </row>
    <row r="255">
      <c r="A255" s="7" t="s">
        <v>534</v>
      </c>
      <c r="B255" s="7" t="s">
        <v>535</v>
      </c>
      <c r="C255" s="8" t="s">
        <v>500</v>
      </c>
      <c r="D255" s="7" t="s">
        <v>9</v>
      </c>
      <c r="E255" s="8" t="b">
        <f t="shared" ref="E255:K255" si="257">IF(IFERROR(SEARCH(E$1, $D255),0) &gt;= 1, TRUE,FALSE)</f>
        <v>0</v>
      </c>
      <c r="F255" s="8" t="b">
        <f t="shared" si="257"/>
        <v>0</v>
      </c>
      <c r="G255" s="8" t="b">
        <f t="shared" si="257"/>
        <v>0</v>
      </c>
      <c r="H255" s="8" t="b">
        <f t="shared" si="257"/>
        <v>0</v>
      </c>
      <c r="I255" s="8" t="b">
        <f t="shared" si="257"/>
        <v>0</v>
      </c>
      <c r="J255" s="8" t="b">
        <f t="shared" si="257"/>
        <v>0</v>
      </c>
      <c r="K255" s="8" t="b">
        <f t="shared" si="257"/>
        <v>0</v>
      </c>
      <c r="L255" s="9" t="s">
        <v>569</v>
      </c>
      <c r="M255" s="9" t="b">
        <v>1</v>
      </c>
      <c r="N255" s="9" t="b">
        <v>0</v>
      </c>
      <c r="O255" s="9" t="b">
        <v>1</v>
      </c>
      <c r="P255" s="9" t="b">
        <v>0</v>
      </c>
      <c r="Q255" s="7" t="str">
        <f t="shared" si="3"/>
        <v>Roger Raveelmuseum</v>
      </c>
      <c r="R255" s="10">
        <v>10.0</v>
      </c>
      <c r="S255" s="9" t="b">
        <v>1</v>
      </c>
      <c r="T255" s="9" t="b">
        <v>0</v>
      </c>
      <c r="U255" s="7"/>
    </row>
    <row r="256">
      <c r="A256" s="7" t="s">
        <v>536</v>
      </c>
      <c r="B256" s="7" t="s">
        <v>537</v>
      </c>
      <c r="C256" s="8" t="s">
        <v>500</v>
      </c>
      <c r="D256" s="7" t="s">
        <v>164</v>
      </c>
      <c r="E256" s="8" t="b">
        <f t="shared" ref="E256:K256" si="258">IF(IFERROR(SEARCH(E$1, $D256),0) &gt;= 1, TRUE,FALSE)</f>
        <v>0</v>
      </c>
      <c r="F256" s="8" t="b">
        <f t="shared" si="258"/>
        <v>0</v>
      </c>
      <c r="G256" s="8" t="b">
        <f t="shared" si="258"/>
        <v>0</v>
      </c>
      <c r="H256" s="8" t="b">
        <f t="shared" si="258"/>
        <v>1</v>
      </c>
      <c r="I256" s="8" t="b">
        <f t="shared" si="258"/>
        <v>0</v>
      </c>
      <c r="J256" s="8" t="b">
        <f t="shared" si="258"/>
        <v>0</v>
      </c>
      <c r="K256" s="8" t="b">
        <f t="shared" si="258"/>
        <v>0</v>
      </c>
      <c r="L256" s="9" t="s">
        <v>567</v>
      </c>
      <c r="M256" s="9" t="b">
        <v>1</v>
      </c>
      <c r="N256" s="9" t="b">
        <v>1</v>
      </c>
      <c r="O256" s="9" t="b">
        <v>1</v>
      </c>
      <c r="P256" s="9" t="b">
        <v>0</v>
      </c>
      <c r="Q256" s="7" t="str">
        <f t="shared" si="3"/>
        <v>Sint-Pietersabdij Gent</v>
      </c>
      <c r="R256" s="10">
        <v>0.0</v>
      </c>
      <c r="S256" s="9" t="b">
        <v>0</v>
      </c>
      <c r="T256" s="9" t="b">
        <v>0</v>
      </c>
      <c r="U256" s="18"/>
    </row>
    <row r="257">
      <c r="A257" s="7" t="s">
        <v>538</v>
      </c>
      <c r="B257" s="7"/>
      <c r="C257" s="8" t="s">
        <v>500</v>
      </c>
      <c r="D257" s="7" t="s">
        <v>9</v>
      </c>
      <c r="E257" s="8" t="b">
        <f t="shared" ref="E257:K257" si="259">IF(IFERROR(SEARCH(E$1, $D257),0) &gt;= 1, TRUE,FALSE)</f>
        <v>0</v>
      </c>
      <c r="F257" s="8" t="b">
        <f t="shared" si="259"/>
        <v>0</v>
      </c>
      <c r="G257" s="8" t="b">
        <f t="shared" si="259"/>
        <v>0</v>
      </c>
      <c r="H257" s="8" t="b">
        <f t="shared" si="259"/>
        <v>0</v>
      </c>
      <c r="I257" s="8" t="b">
        <f t="shared" si="259"/>
        <v>0</v>
      </c>
      <c r="J257" s="8" t="b">
        <f t="shared" si="259"/>
        <v>0</v>
      </c>
      <c r="K257" s="8" t="b">
        <f t="shared" si="259"/>
        <v>0</v>
      </c>
      <c r="L257" s="9" t="s">
        <v>570</v>
      </c>
      <c r="M257" s="9" t="b">
        <v>1</v>
      </c>
      <c r="N257" s="9" t="b">
        <v>1</v>
      </c>
      <c r="O257" s="9" t="b">
        <v>1</v>
      </c>
      <c r="P257" s="9" t="b">
        <v>1</v>
      </c>
      <c r="Q257" s="7" t="str">
        <f t="shared" si="3"/>
        <v>S.M.A.K.</v>
      </c>
      <c r="R257" s="10">
        <v>15.0</v>
      </c>
      <c r="S257" s="9" t="b">
        <v>0</v>
      </c>
      <c r="T257" s="9" t="b">
        <v>1</v>
      </c>
      <c r="U257" s="10">
        <v>18.0</v>
      </c>
    </row>
    <row r="258">
      <c r="A258" s="7" t="s">
        <v>539</v>
      </c>
      <c r="B258" s="7" t="s">
        <v>540</v>
      </c>
      <c r="C258" s="8" t="s">
        <v>500</v>
      </c>
      <c r="D258" s="7" t="s">
        <v>4</v>
      </c>
      <c r="E258" s="8" t="b">
        <f t="shared" ref="E258:K258" si="260">IF(IFERROR(SEARCH(E$1, $D258),0) &gt;= 1, TRUE,FALSE)</f>
        <v>0</v>
      </c>
      <c r="F258" s="8" t="b">
        <f t="shared" si="260"/>
        <v>0</v>
      </c>
      <c r="G258" s="8" t="b">
        <f t="shared" si="260"/>
        <v>0</v>
      </c>
      <c r="H258" s="8" t="b">
        <f t="shared" si="260"/>
        <v>0</v>
      </c>
      <c r="I258" s="8" t="b">
        <f t="shared" si="260"/>
        <v>0</v>
      </c>
      <c r="J258" s="8" t="b">
        <f t="shared" si="260"/>
        <v>0</v>
      </c>
      <c r="K258" s="8" t="b">
        <f t="shared" si="260"/>
        <v>0</v>
      </c>
      <c r="L258" s="9" t="s">
        <v>572</v>
      </c>
      <c r="M258" s="9" t="b">
        <v>1</v>
      </c>
      <c r="N258" s="9" t="b">
        <v>1</v>
      </c>
      <c r="O258" s="9" t="b">
        <v>0</v>
      </c>
      <c r="P258" s="9" t="b">
        <v>1</v>
      </c>
      <c r="Q258" s="7" t="str">
        <f t="shared" si="3"/>
        <v>STAM | Stadsmuseum Gent</v>
      </c>
      <c r="R258" s="10">
        <v>11.0</v>
      </c>
      <c r="S258" s="9" t="b">
        <v>0</v>
      </c>
      <c r="T258" s="9" t="b">
        <v>1</v>
      </c>
      <c r="U258" s="10">
        <v>11.0</v>
      </c>
    </row>
    <row r="259">
      <c r="A259" s="7" t="s">
        <v>541</v>
      </c>
      <c r="B259" s="7" t="s">
        <v>542</v>
      </c>
      <c r="C259" s="8" t="s">
        <v>500</v>
      </c>
      <c r="D259" s="7" t="s">
        <v>102</v>
      </c>
      <c r="E259" s="8" t="b">
        <f t="shared" ref="E259:K259" si="261">IF(IFERROR(SEARCH(E$1, $D259),0) &gt;= 1, TRUE,FALSE)</f>
        <v>0</v>
      </c>
      <c r="F259" s="8" t="b">
        <f t="shared" si="261"/>
        <v>0</v>
      </c>
      <c r="G259" s="8" t="b">
        <f t="shared" si="261"/>
        <v>0</v>
      </c>
      <c r="H259" s="8" t="b">
        <f t="shared" si="261"/>
        <v>0</v>
      </c>
      <c r="I259" s="8" t="b">
        <f t="shared" si="261"/>
        <v>0</v>
      </c>
      <c r="J259" s="8" t="b">
        <f t="shared" si="261"/>
        <v>0</v>
      </c>
      <c r="K259" s="8" t="b">
        <f t="shared" si="261"/>
        <v>0</v>
      </c>
      <c r="L259" s="7"/>
      <c r="M259" s="9" t="b">
        <v>0</v>
      </c>
      <c r="N259" s="9" t="b">
        <v>0</v>
      </c>
      <c r="O259" s="9" t="b">
        <v>0</v>
      </c>
      <c r="P259" s="9" t="b">
        <v>0</v>
      </c>
      <c r="Q259" s="7" t="str">
        <f t="shared" si="3"/>
        <v>‘t Gasthuys | Stedelijk Museum Aalst</v>
      </c>
      <c r="R259" s="10">
        <v>0.0</v>
      </c>
      <c r="S259" s="9" t="b">
        <v>0</v>
      </c>
      <c r="T259" s="9" t="b">
        <v>0</v>
      </c>
      <c r="U259" s="7"/>
    </row>
  </sheetData>
  <drawing r:id="rId1"/>
</worksheet>
</file>