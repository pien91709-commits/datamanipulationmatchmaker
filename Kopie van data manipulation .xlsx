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10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9.xml"/>
  <Override ContentType="application/vnd.openxmlformats-officedocument.spreadsheetml.pivotTable+xml" PartName="/xl/pivotTables/pivotTable1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4"/>
    <sheet state="visible" name="Blad14" sheetId="2" r:id="rId5"/>
    <sheet state="visible" name="Blad13" sheetId="3" r:id="rId6"/>
    <sheet state="visible" name="Matchmaker" sheetId="4" r:id="rId7"/>
    <sheet state="visible" name="Draaitabel 9" sheetId="5" r:id="rId8"/>
    <sheet state="visible" name="Draaitabel 6" sheetId="6" r:id="rId9"/>
    <sheet state="visible" name="benefit per province" sheetId="7" r:id="rId10"/>
    <sheet state="visible" name="Kopie van benefit per province " sheetId="8" r:id="rId11"/>
    <sheet state="visible" name="Sortedbytheme" sheetId="9" r:id="rId12"/>
    <sheet state="visible" name="Sortedbyprovince" sheetId="10" r:id="rId13"/>
    <sheet state="visible" name="Sortedbyfacilities" sheetId="11" r:id="rId14"/>
    <sheet state="visible" name="Brussel" sheetId="12" r:id="rId15"/>
    <sheet state="visible" name="Visualizations" sheetId="13" r:id="rId16"/>
  </sheets>
  <definedNames>
    <definedName hidden="1" localSheetId="0" name="_xlnm._FilterDatabase">Blad1!$A$1:$U$993</definedName>
    <definedName hidden="1" localSheetId="3" name="_xlnm._FilterDatabase">Matchmaker!$CE$1:$DA$1000</definedName>
    <definedName hidden="1" localSheetId="0" name="Z_BF889CC1_4C99_4ECA_95EC_355DC7109648_.wvu.FilterData">Blad1!$A$1:$U$261</definedName>
  </definedNames>
  <calcPr/>
  <customWorkbookViews>
    <customWorkbookView activeSheetId="0" maximized="1" windowHeight="0" windowWidth="0" guid="{BF889CC1-4C99-4ECA-95EC-355DC7109648}" name="Filter 1"/>
  </customWorkbookViews>
  <pivotCaches>
    <pivotCache cacheId="0" r:id="rId17"/>
    <pivotCache cacheId="1" r:id="rId18"/>
  </pivotCaches>
</workbook>
</file>

<file path=xl/sharedStrings.xml><?xml version="1.0" encoding="utf-8"?>
<sst xmlns="http://schemas.openxmlformats.org/spreadsheetml/2006/main" count="3854" uniqueCount="618">
  <si>
    <t>Musea - Nederlandse benaming (Title)</t>
  </si>
  <si>
    <t>Musea - Franse benaming (Alternative Title)</t>
  </si>
  <si>
    <t>Provincie (location)</t>
  </si>
  <si>
    <t xml:space="preserve">Alle Thema's </t>
  </si>
  <si>
    <t>Geschiedenis en archeologie</t>
  </si>
  <si>
    <t>Wetenschap en technologie</t>
  </si>
  <si>
    <t>Mode</t>
  </si>
  <si>
    <t>Literatuur</t>
  </si>
  <si>
    <t>Architectuur</t>
  </si>
  <si>
    <t>Beeldende kunst</t>
  </si>
  <si>
    <t>Toegepaste kunst en design</t>
  </si>
  <si>
    <t xml:space="preserve"> </t>
  </si>
  <si>
    <t>Shop</t>
  </si>
  <si>
    <t>Café</t>
  </si>
  <si>
    <t>Parking</t>
  </si>
  <si>
    <t>Restaurant</t>
  </si>
  <si>
    <t>Algemene naam --&gt; als geen NL naam dan FR</t>
  </si>
  <si>
    <t>Prijs</t>
  </si>
  <si>
    <t xml:space="preserve">Tijdelijk gesloten </t>
  </si>
  <si>
    <t>Tijdelijke tentoonstelling(en)</t>
  </si>
  <si>
    <t>Prijs incl. tijdelijke tentoonstelling</t>
  </si>
  <si>
    <t># Museums</t>
  </si>
  <si>
    <t>Average Price</t>
  </si>
  <si>
    <t>Median</t>
  </si>
  <si>
    <t>Archeologisch museum van de Boven-Maas</t>
  </si>
  <si>
    <t>Musée archéologique de la Haute-Meuse</t>
  </si>
  <si>
    <t>Namen</t>
  </si>
  <si>
    <t>Citadel van Namen / Bezoekerscentrum Terra Nova en toeristentreintje</t>
  </si>
  <si>
    <t>West-Vlaanderen</t>
  </si>
  <si>
    <t>NAM-IP Computermuseum</t>
  </si>
  <si>
    <t>Computer Museum NAM-IP</t>
  </si>
  <si>
    <t>Antwerpen</t>
  </si>
  <si>
    <t>Ecomuseum van de Viroin</t>
  </si>
  <si>
    <t>Écomusée du Viroin</t>
  </si>
  <si>
    <t>Waals-Brabant</t>
  </si>
  <si>
    <t>Andenne Museum</t>
  </si>
  <si>
    <t>Espace Muséal d’Andenne</t>
  </si>
  <si>
    <t>Toegepaste kunst en design, Geschiedenis en archeologie</t>
  </si>
  <si>
    <t>Vlaams-Brabant</t>
  </si>
  <si>
    <t>Le Delta</t>
  </si>
  <si>
    <t>Limburg</t>
  </si>
  <si>
    <t>Le Pavillon</t>
  </si>
  <si>
    <t>Beeldende kunst, Wetenschap en technologie</t>
  </si>
  <si>
    <t>Luik</t>
  </si>
  <si>
    <t>Maison du patrimoine médiéval mosan</t>
  </si>
  <si>
    <t>Henegouwen</t>
  </si>
  <si>
    <t>Archeopark van Rochefort</t>
  </si>
  <si>
    <t>Malagne | Archéoparc de Rochefort</t>
  </si>
  <si>
    <t>Luxemburg</t>
  </si>
  <si>
    <t>MusAfrica Namen</t>
  </si>
  <si>
    <t>MusAfrica Namur</t>
  </si>
  <si>
    <t>Brussel</t>
  </si>
  <si>
    <t>Aardbeimuseum</t>
  </si>
  <si>
    <t>Musée de la Fraise</t>
  </si>
  <si>
    <t>Beeldende kunst, Geschiedenis en archeologie, Wetenschap en technologie</t>
  </si>
  <si>
    <t>Oost-Vlaanderen</t>
  </si>
  <si>
    <t>Musée du Malgré-Tout</t>
  </si>
  <si>
    <t>Museum van het Klein Formaat</t>
  </si>
  <si>
    <t>Musée du Petit Format</t>
  </si>
  <si>
    <t>Félicien Rops Museum</t>
  </si>
  <si>
    <t>Musée Félicien Rops</t>
  </si>
  <si>
    <t>Museum voor Oude Kunsten</t>
  </si>
  <si>
    <t>TreM.a | Musée des Arts anciens</t>
  </si>
  <si>
    <t>Abdijmuseum Ten Duinen</t>
  </si>
  <si>
    <t>Musée de l’Abbaye des Dunes</t>
  </si>
  <si>
    <t>Geschiedenis en archeologie, Wetenschap en technologie, Architectuur</t>
  </si>
  <si>
    <t>Adornesdomein</t>
  </si>
  <si>
    <t>Le domaine Adornes</t>
  </si>
  <si>
    <t>Beeldende kunst, Toegepaste kunst en design, Geschiedenis en archeologie, Architectuur</t>
  </si>
  <si>
    <t>Atlantikwall Raversyde</t>
  </si>
  <si>
    <t>Beeldende kunst, Toegepaste kunst en design, Geschiedenis en archeologie, Wetenschap en technologie, Architectuur</t>
  </si>
  <si>
    <t>Bakkerijmuseum</t>
  </si>
  <si>
    <t>Musée de la Boulangerie</t>
  </si>
  <si>
    <t>Belfort van Brugge</t>
  </si>
  <si>
    <t>Beffroi de Bruges</t>
  </si>
  <si>
    <t>Belle Epoque Centrum</t>
  </si>
  <si>
    <t>Centre Belle Epoque</t>
  </si>
  <si>
    <t>Brugse Vrije</t>
  </si>
  <si>
    <t>Franc de Bruges</t>
  </si>
  <si>
    <t>Beeldende kunst, Toegepaste kunst en design, Geschiedenis en archeologie</t>
  </si>
  <si>
    <t>Dodengang</t>
  </si>
  <si>
    <t>Boyau de la Mort</t>
  </si>
  <si>
    <t>Eperon d’Or</t>
  </si>
  <si>
    <t>Geschiedenis en archeologie, Wetenschap en technologie, Architectuur, Mode</t>
  </si>
  <si>
    <t>Gezellehuis</t>
  </si>
  <si>
    <t>Maison Gezelle</t>
  </si>
  <si>
    <t>Groeningemuseum</t>
  </si>
  <si>
    <t>Musée Groeninge</t>
  </si>
  <si>
    <t>Gruuthusemuseum</t>
  </si>
  <si>
    <t>Musée Gruuthuse</t>
  </si>
  <si>
    <t>Het James Ensorhuis</t>
  </si>
  <si>
    <t>La Maison de James Ensor</t>
  </si>
  <si>
    <t>Het Lijsternest | Streuvelshuis &amp; Schrijversresidentie</t>
  </si>
  <si>
    <t>Beeldende kunst, Architectuur, Literatuur</t>
  </si>
  <si>
    <t>HEY Museum</t>
  </si>
  <si>
    <t>Beeldende kunst, Geschiedenis en archeologie</t>
  </si>
  <si>
    <t>Hopmuseum Poperinge</t>
  </si>
  <si>
    <t>Musée du Houblon Poperinge</t>
  </si>
  <si>
    <t>In Flanders Fields Museum</t>
  </si>
  <si>
    <t>Musée In Flanders Fields</t>
  </si>
  <si>
    <t>Kantmuseum Brugge</t>
  </si>
  <si>
    <t>Musée de la Dentelle Bruges</t>
  </si>
  <si>
    <t>Toegepaste kunst en design, Geschiedenis en archeologie, Mode</t>
  </si>
  <si>
    <t>Kasteel van Loppem</t>
  </si>
  <si>
    <t>Château de Loppem</t>
  </si>
  <si>
    <t>KOERS | Museum van de Wielersport</t>
  </si>
  <si>
    <t>Musée de la Course Cycliste</t>
  </si>
  <si>
    <t>Geschiedenis en archeologie, Wetenschap en technologie</t>
  </si>
  <si>
    <t>Museum aan de IJzer</t>
  </si>
  <si>
    <t>Musée la tour de L’Yser</t>
  </si>
  <si>
    <t>Museum Sint-Janshospitaal</t>
  </si>
  <si>
    <t>Musée Hôpital Saint-Jean</t>
  </si>
  <si>
    <t>Mu.ZEE | Kunstmuseum aan Zee</t>
  </si>
  <si>
    <t>Musée Art-sur-Mer</t>
  </si>
  <si>
    <t>Nationaal Tabaksmuseum</t>
  </si>
  <si>
    <t>Musée National du Tabac</t>
  </si>
  <si>
    <t>NAVIGO Visserijmuseum</t>
  </si>
  <si>
    <t>Musée de la Pêche NAVIGO</t>
  </si>
  <si>
    <t>O.L.V.-kerk Museum</t>
  </si>
  <si>
    <t>Musée de l’Église Notre-Dame</t>
  </si>
  <si>
    <t>Beeldende kunst, Architectuur</t>
  </si>
  <si>
    <t>O.L.V. ter Potterie</t>
  </si>
  <si>
    <t>Musée Notre-Dame de la Poterie</t>
  </si>
  <si>
    <t>Passchendaele Museum</t>
  </si>
  <si>
    <t>Paul Delvaux Museum</t>
  </si>
  <si>
    <t>Musée Paul Delvaux</t>
  </si>
  <si>
    <t>Peiremuzee</t>
  </si>
  <si>
    <t>Permekemuseum</t>
  </si>
  <si>
    <t>Musée Permeke</t>
  </si>
  <si>
    <t>Romeins Archeologisch Museum Oudenburg</t>
  </si>
  <si>
    <t>Musée d’archéologie romaine Oudenburg</t>
  </si>
  <si>
    <t>Sint-Janshuismolen</t>
  </si>
  <si>
    <t>Moulin Sint-Janshuis</t>
  </si>
  <si>
    <t>Stadhuis Brugge</t>
  </si>
  <si>
    <t>L’Hôtel de ville Bruges</t>
  </si>
  <si>
    <t>Talbot House</t>
  </si>
  <si>
    <t>Texture | Museum van Vlas en Textiel</t>
  </si>
  <si>
    <t>Musée du Lin et du Textile</t>
  </si>
  <si>
    <t>Toegepaste kunst en design, Wetenschap en technologie, Architectuur, Mode</t>
  </si>
  <si>
    <t>Uilenspiegelmuseum</t>
  </si>
  <si>
    <t>Musée d’Ulenspiegel</t>
  </si>
  <si>
    <t>Volkskundemuseum</t>
  </si>
  <si>
    <t>Musée de la vie populaire</t>
  </si>
  <si>
    <t>Westfront Nieuwpoort</t>
  </si>
  <si>
    <t>Geschiedenis en archeologie, Architectuur</t>
  </si>
  <si>
    <t>Yper Museum</t>
  </si>
  <si>
    <t>Zwin Natuur Park</t>
  </si>
  <si>
    <t>Zwin Parc Naturel</t>
  </si>
  <si>
    <t>Arboretum Kalmtout</t>
  </si>
  <si>
    <t>Begijnhofmuseum Turnhout</t>
  </si>
  <si>
    <t>Musée du béguinage Turnhout</t>
  </si>
  <si>
    <t>DIVA | museum voor diamant juwelen en zilver</t>
  </si>
  <si>
    <t>le musée du diamant, des bijoux et de l’orfèvrerie</t>
  </si>
  <si>
    <t>Toegepaste kunst en design, Geschiedenis en archeologie, Wetenschap en technologie</t>
  </si>
  <si>
    <t>Erfgoedbibliotheek Hendrik Conscience - Nottebohmzaal</t>
  </si>
  <si>
    <t>Bibliothèque Patrimoniale Hendrik Conscience - salle Nottebohm</t>
  </si>
  <si>
    <t>Geschiedenis en archeologie, Literatuur</t>
  </si>
  <si>
    <t>FOMU | Fotomuseum Antwerpen</t>
  </si>
  <si>
    <t>Musée de la Photographie d’Anvers</t>
  </si>
  <si>
    <t>Fort van Breendonk</t>
  </si>
  <si>
    <t>Fort de Breendonk</t>
  </si>
  <si>
    <t>Gasthuismuseum Geel</t>
  </si>
  <si>
    <t>Musée de l’hôpital Geel</t>
  </si>
  <si>
    <t>Beeldende kunst, Geschiedenis en archeologie, Wetenschap en technologie, Architectuur</t>
  </si>
  <si>
    <t>Het Snijders&amp;Rockoxhuis</t>
  </si>
  <si>
    <t>La maison Snijders&amp;Rockox</t>
  </si>
  <si>
    <t>Jakob Smitsmuseum</t>
  </si>
  <si>
    <t>Musée Jakob Smits</t>
  </si>
  <si>
    <t>Karrenmuseum Essen</t>
  </si>
  <si>
    <t>Musée de Chariot Essen</t>
  </si>
  <si>
    <t>Kazerne Dossin</t>
  </si>
  <si>
    <t>Caserne Dossin</t>
  </si>
  <si>
    <t>KMSKA | Koninklijk Museum voor Schone Kunsten Antwerpen</t>
  </si>
  <si>
    <t>Musée Royal des Beaux-Arts d’Anver</t>
  </si>
  <si>
    <t>Kunsthal Extra City</t>
  </si>
  <si>
    <t>Kunsthal Mechelen</t>
  </si>
  <si>
    <t>Kunsthal Malines</t>
  </si>
  <si>
    <t>MAS | Museum aan de Stroom</t>
  </si>
  <si>
    <t>M HKA | Museum van Hedendaagse Kunst Antwerpen</t>
  </si>
  <si>
    <t>Musée d’Art Contemporain d’Anvers</t>
  </si>
  <si>
    <t>Beeldende kunst, Toegepaste kunst en design</t>
  </si>
  <si>
    <t>Middelheimmuseum</t>
  </si>
  <si>
    <t>Musée Middelheim</t>
  </si>
  <si>
    <t>MoMu | ModeMuseum Antwerpen</t>
  </si>
  <si>
    <t>Musée de la Mode Anvers</t>
  </si>
  <si>
    <t>Toegepaste kunst en design, Mode</t>
  </si>
  <si>
    <t>Museum De Reede</t>
  </si>
  <si>
    <t>Musée De Reede</t>
  </si>
  <si>
    <t>Museum Fort Liezele</t>
  </si>
  <si>
    <t>Musée Fort Liezele</t>
  </si>
  <si>
    <t>Museum Hof van Busleyden</t>
  </si>
  <si>
    <t>Museum Mayer van den Bergh</t>
  </si>
  <si>
    <t>Musée Mayer van den Bergh</t>
  </si>
  <si>
    <t>Museum Plantin-Moretus</t>
  </si>
  <si>
    <t>Musée Plantin-Moretus</t>
  </si>
  <si>
    <t>Beeldende kunst, Geschiedenis en archeologie, Wetenschap en technologie, Architectuur, Literatuur</t>
  </si>
  <si>
    <t>Museum Vleeshuis</t>
  </si>
  <si>
    <t>Musée Vleeshuis</t>
  </si>
  <si>
    <t>Beeldende kunst, Geschiedenis en archeologie, Architectuur</t>
  </si>
  <si>
    <t>Nationaal Museum van de Speelkaart</t>
  </si>
  <si>
    <t>Musée National de la Carte à jouer</t>
  </si>
  <si>
    <t>Red Star Line Museum</t>
  </si>
  <si>
    <t>Musée Red Star Line</t>
  </si>
  <si>
    <t>Rubenshuis</t>
  </si>
  <si>
    <t>Maison Rubens</t>
  </si>
  <si>
    <t>Sint-Pauluskerk</t>
  </si>
  <si>
    <t>Église Saint-Paul</t>
  </si>
  <si>
    <t>Beeldende kunst, Toegepaste kunst en design, Geschiedenis en archeologie, Architectuur, Mode, Literatuur</t>
  </si>
  <si>
    <t>Speelgoedmuseum</t>
  </si>
  <si>
    <t>Musée du jouet</t>
  </si>
  <si>
    <t>Stadsmuseum Lier</t>
  </si>
  <si>
    <t>Musée de la Ville de Lier</t>
  </si>
  <si>
    <t>Beeldende kunst, Toegepaste kunst en design, Geschiedenis en archeologie, Wetenschap en technologie, Architectuur, Mode, Literatuur</t>
  </si>
  <si>
    <t>Stedelijk Museum Hoogstraten</t>
  </si>
  <si>
    <t>Musée Municipal de Hoogstraten</t>
  </si>
  <si>
    <t>Suske en Wiske Museum</t>
  </si>
  <si>
    <t>Musée Bob et Bobette</t>
  </si>
  <si>
    <t>Taxandriamuseum</t>
  </si>
  <si>
    <t>‘t Grom</t>
  </si>
  <si>
    <t>Het steen, The Antwerp Story</t>
  </si>
  <si>
    <t>Toegepaste kunst en design, Geschiedenis en archeologie, Wetenschap en technologie, Architectuur, Mode</t>
  </si>
  <si>
    <t>Stichting Folon</t>
  </si>
  <si>
    <t>Fondation Folon</t>
  </si>
  <si>
    <t>Hergé Museum</t>
  </si>
  <si>
    <t>Musée Hergé</t>
  </si>
  <si>
    <t>Musée L</t>
  </si>
  <si>
    <t>Marthe Donas museum</t>
  </si>
  <si>
    <t>MiMDo - Musée Marthe Donas</t>
  </si>
  <si>
    <t>Wellington Museum</t>
  </si>
  <si>
    <t>Musée Wellington</t>
  </si>
  <si>
    <t>AfricaMuseum</t>
  </si>
  <si>
    <t>Damiaanmuseum</t>
  </si>
  <si>
    <t>Musée Damien</t>
  </si>
  <si>
    <t>Dru!f, huis van de tafeldruif</t>
  </si>
  <si>
    <t>maison du raisin de table</t>
  </si>
  <si>
    <t>FeliXart Museum</t>
  </si>
  <si>
    <t>Huis van het Belgisch-Franse Verzet</t>
  </si>
  <si>
    <t>Maison de la Résistance Franco-Belge</t>
  </si>
  <si>
    <t>KADOC-KU Leuven</t>
  </si>
  <si>
    <t>Kasteel van Gaasbeek</t>
  </si>
  <si>
    <t>Château de Gaasbeek</t>
  </si>
  <si>
    <t>M Leuven</t>
  </si>
  <si>
    <t>Museum 44</t>
  </si>
  <si>
    <t>Meensel-Kiezegem</t>
  </si>
  <si>
    <t>Museum den AST</t>
  </si>
  <si>
    <t>Musée den AST</t>
  </si>
  <si>
    <t>Museum PARCUM, Abdij van Park Leuven</t>
  </si>
  <si>
    <t xml:space="preserve"> Musée PARCUM, Abbaye de Parc Louvain</t>
  </si>
  <si>
    <t>Beeldende kunst, Toegepaste kunst en design, Geschiedenis en archeologie, Architectuur, Literatuur</t>
  </si>
  <si>
    <t>Plantentuin Meise</t>
  </si>
  <si>
    <t>Jardin botanique Meise</t>
  </si>
  <si>
    <t>Universiteitsbibliotheek KU Leuven</t>
  </si>
  <si>
    <t>Bibliothèque universitaire KU Leuven</t>
  </si>
  <si>
    <t>Onbepaald</t>
  </si>
  <si>
    <t>Apotheekmuseum</t>
  </si>
  <si>
    <t>Musée de la Pharmacie</t>
  </si>
  <si>
    <t>C-mine</t>
  </si>
  <si>
    <t>DE MINDERE</t>
  </si>
  <si>
    <t xml:space="preserve">  </t>
  </si>
  <si>
    <t>Beeldende kunst,Toegepaste kunst en design, Geschiedenis en archeologie, Literatuur</t>
  </si>
  <si>
    <t>Duitse Orde Museum (DOMUS) Alden Biesen</t>
  </si>
  <si>
    <t>Gallo-Romeins Museum</t>
  </si>
  <si>
    <t>Musée Gallo-Romain</t>
  </si>
  <si>
    <t>GlazenHuis</t>
  </si>
  <si>
    <t>Het Stadsmus Hasselt</t>
  </si>
  <si>
    <t>Musée municipal Hasselt</t>
  </si>
  <si>
    <t>Jenevermuseum</t>
  </si>
  <si>
    <t>Musée du Genièvre</t>
  </si>
  <si>
    <t>LABIOMISTA</t>
  </si>
  <si>
    <t>Beeldende kunst, Wetenschap en technologie, Architectuur</t>
  </si>
  <si>
    <t>Liberation Garden Leopoldsburg</t>
  </si>
  <si>
    <t>Modemuseum Hasselt</t>
  </si>
  <si>
    <t>Musée de la Mode Hasselt</t>
  </si>
  <si>
    <t>Openluchtmuseum Bokrijk</t>
  </si>
  <si>
    <t>Musée en plein air de Bokrijk</t>
  </si>
  <si>
    <t>RAM | Regionaal Archeologisch Museum</t>
  </si>
  <si>
    <t>Musée Archéologique Régional</t>
  </si>
  <si>
    <t>Schatkamer van Sint-Catharina</t>
  </si>
  <si>
    <t>Trésor de Sainte-Catherine</t>
  </si>
  <si>
    <t>Z33 | Huis voor Actuele Kunst, Design &amp; Architectuur</t>
  </si>
  <si>
    <t>Maison d’Art Actuel, Design &amp; Architecture</t>
  </si>
  <si>
    <t>Beeldende kunst, Toegepaste kunst en design, Architectuur</t>
  </si>
  <si>
    <t>Abdij van Stavelot</t>
  </si>
  <si>
    <t>Abbaye de Stavelot</t>
  </si>
  <si>
    <t>Aquarium-Museum van Luik</t>
  </si>
  <si>
    <t>Aquarium-Muséum de Liège</t>
  </si>
  <si>
    <t>Archeoforum van Luik</t>
  </si>
  <si>
    <t>Archéoforum de Liège</t>
  </si>
  <si>
    <t>ArtHouse</t>
  </si>
  <si>
    <t>Museum voor Hedendaagse Kunst</t>
  </si>
  <si>
    <t>IKOB | Musée d’Art Contemporain</t>
  </si>
  <si>
    <t>La Boverie</t>
  </si>
  <si>
    <t>Le Grand Curtius</t>
  </si>
  <si>
    <t>Bos en Watermuseum “P. Noé”</t>
  </si>
  <si>
    <t>Musée de la Forêt et des Eaux “P. Noé”</t>
  </si>
  <si>
    <t>Museum van de wastechniek</t>
  </si>
  <si>
    <t>Musée de la Lessive</t>
  </si>
  <si>
    <t>Huis van de Metallurgie en Industrie van Luik</t>
  </si>
  <si>
    <t>Maison de la Métallurgie et de l’Industrie de Liège</t>
  </si>
  <si>
    <t>Pottenbakkerijmuseum Raeren</t>
  </si>
  <si>
    <t>Musée de la Poterie Raeren</t>
  </si>
  <si>
    <t>Museum van het Waalse Leven</t>
  </si>
  <si>
    <t>Musée de la Vie wallonne</t>
  </si>
  <si>
    <t>Musea van de Kuurstad</t>
  </si>
  <si>
    <t>Musées de la Ville d’eaux</t>
  </si>
  <si>
    <t>Stadsmuseum Eupen</t>
  </si>
  <si>
    <t>Musée de la ville d’Eupen</t>
  </si>
  <si>
    <t>Musea van Verviers</t>
  </si>
  <si>
    <t>Musées de Verviers</t>
  </si>
  <si>
    <t>Museum Vieille Montagne</t>
  </si>
  <si>
    <t>Musée Vieille Montagne</t>
  </si>
  <si>
    <t>Préhistomuseum</t>
  </si>
  <si>
    <t>Trinkhall museum</t>
  </si>
  <si>
    <t>WaterHouse</t>
  </si>
  <si>
    <t xml:space="preserve">Artotheek </t>
  </si>
  <si>
    <t xml:space="preserve">Artothèque </t>
  </si>
  <si>
    <t xml:space="preserve">Beeldende kunst, Geschiedenis en archeologie, Wetenschap en technologie, Architectuur </t>
  </si>
  <si>
    <t>Belfort van Bergen</t>
  </si>
  <si>
    <t xml:space="preserve">Beffroi de Mons </t>
  </si>
  <si>
    <t xml:space="preserve">Geschiedenis en archeologie, Architectuur </t>
  </si>
  <si>
    <t>Museum van Mijnbouw en Duurzame Ontwikkeling</t>
  </si>
  <si>
    <t xml:space="preserve">Bois-du-Luc | Musée de la Mine et du Développement Durable </t>
  </si>
  <si>
    <t xml:space="preserve">Geschiedenis en archeologie, Wetenschap en technologie, Architectuur </t>
  </si>
  <si>
    <t>Museum voor kunst van de Provincie Henegouwen</t>
  </si>
  <si>
    <t xml:space="preserve">BPS22 | Musée d’art de la Province de Hainaut </t>
  </si>
  <si>
    <t>CAP/museum voor Schone Kunsten van Bergen</t>
  </si>
  <si>
    <t xml:space="preserve">CAP/musée des Beaux-Arts de Mons </t>
  </si>
  <si>
    <t xml:space="preserve">Beeldende kunst, Toegepaste kunst en design </t>
  </si>
  <si>
    <t>CAP/het Collectiehuis</t>
  </si>
  <si>
    <t xml:space="preserve">CAP/maison des Collections </t>
  </si>
  <si>
    <t xml:space="preserve">Centre Daily-Bul &amp; C° </t>
  </si>
  <si>
    <t xml:space="preserve">Beeldende kunst, Literatuur </t>
  </si>
  <si>
    <t>Wetenschappelijk Cultuurcentrum - ULB</t>
  </si>
  <si>
    <t xml:space="preserve">Centre de Culture Scientifique - ULB </t>
  </si>
  <si>
    <t xml:space="preserve">Centre de la Gravure et de l’Image imprimée </t>
  </si>
  <si>
    <t xml:space="preserve">Beeldende kunst </t>
  </si>
  <si>
    <t>Centrum voor Innovatie en Design van Grand-Hornu</t>
  </si>
  <si>
    <t xml:space="preserve">CID | Centre d’innovation et de design au Grand-Hornu </t>
  </si>
  <si>
    <t xml:space="preserve">Beeldende kunst, Toegepaste kunst en design, Architectuur </t>
  </si>
  <si>
    <t>Domein van het Kasteel van Seneffe</t>
  </si>
  <si>
    <t xml:space="preserve">Domaine du Château de Seneffe </t>
  </si>
  <si>
    <t xml:space="preserve">Architectuur </t>
  </si>
  <si>
    <t>Gallo-Romeins Museum van Aat</t>
  </si>
  <si>
    <t xml:space="preserve">Espace gallo-romain d’Ath </t>
  </si>
  <si>
    <t xml:space="preserve">Geschiedenis en archeologie </t>
  </si>
  <si>
    <t>Hospitaal Onze-Lieve-Vrouw met de Roos</t>
  </si>
  <si>
    <t xml:space="preserve">Hôpital Notre-Dame à la Rose </t>
  </si>
  <si>
    <t>Keramis - Centrum van de Keramiek</t>
  </si>
  <si>
    <t xml:space="preserve">Keramis - Centre de la Céramique </t>
  </si>
  <si>
    <t xml:space="preserve">Beeldende kunst, Geschiedenis en archeologie </t>
  </si>
  <si>
    <t>Het Reuzenhuis</t>
  </si>
  <si>
    <t xml:space="preserve">La Maison des Géants </t>
  </si>
  <si>
    <t>Het Huis Van Gogh</t>
  </si>
  <si>
    <t xml:space="preserve">La Maison Van Gogh </t>
  </si>
  <si>
    <t xml:space="preserve">Le Bois du Cazier </t>
  </si>
  <si>
    <t xml:space="preserve">Geschiedenis en archeologie, Wetenschap en technologie </t>
  </si>
  <si>
    <t>MACS | Museum voor Hedendaagse Kunsten Grand-Hornu</t>
  </si>
  <si>
    <t xml:space="preserve">MACS | Musée des Arts Contemporains Grand-Hornu </t>
  </si>
  <si>
    <t xml:space="preserve">Toegepaste kunst en design, Architectuur </t>
  </si>
  <si>
    <t xml:space="preserve">Maison de l’Imprimerie </t>
  </si>
  <si>
    <t xml:space="preserve">Wetenschap en technologie </t>
  </si>
  <si>
    <t xml:space="preserve">Maison Losseau </t>
  </si>
  <si>
    <t xml:space="preserve">Beeldende kunst, Geschiedenis en archeologie, Architectuur, Literatuur </t>
  </si>
  <si>
    <t xml:space="preserve">Mons Memorial Museum </t>
  </si>
  <si>
    <t xml:space="preserve">MUMONS </t>
  </si>
  <si>
    <t xml:space="preserve">Mundaneum </t>
  </si>
  <si>
    <t>Archeologiemuseum</t>
  </si>
  <si>
    <t xml:space="preserve">Musée d’Archéologie </t>
  </si>
  <si>
    <t>Folkloremuseum</t>
  </si>
  <si>
    <t xml:space="preserve">Musée de Folklore et des Imaginaires </t>
  </si>
  <si>
    <t>Fotografiemuseum</t>
  </si>
  <si>
    <t xml:space="preserve">Musée de la Photographie </t>
  </si>
  <si>
    <t>Lintweverijmuseum van Komen</t>
  </si>
  <si>
    <t xml:space="preserve">Musée de la Rubanerie cominoise </t>
  </si>
  <si>
    <t xml:space="preserve">Toegepaste kunst en design, Geschiedenis en archeologie, Wetenschap en technologie </t>
  </si>
  <si>
    <t xml:space="preserve">Musée des arts de la Marionnette </t>
  </si>
  <si>
    <t>Museum voor Schone Kunsten van Doornik</t>
  </si>
  <si>
    <t xml:space="preserve">Musée des Beaux-Arts de Tournai </t>
  </si>
  <si>
    <t>Museum voor militaire geschiedenis</t>
  </si>
  <si>
    <t xml:space="preserve">Musée d’Histoire militaire </t>
  </si>
  <si>
    <t>Natuurhistorisch Museum en Vivarium</t>
  </si>
  <si>
    <t xml:space="preserve">Musée d’Histoire naturelle et Vivarium </t>
  </si>
  <si>
    <t>Doudoumuseum</t>
  </si>
  <si>
    <t xml:space="preserve">Musée du Doudou </t>
  </si>
  <si>
    <t>Internationaal Museum van het Carnaval en het Masker</t>
  </si>
  <si>
    <t xml:space="preserve">Musée international du Carnaval et du Masque </t>
  </si>
  <si>
    <t>Koninklijk Museum van Mariemont</t>
  </si>
  <si>
    <t xml:space="preserve">Musée royal de Mariemont </t>
  </si>
  <si>
    <t xml:space="preserve">Plugstreet 14-18 experience </t>
  </si>
  <si>
    <t xml:space="preserve">Silex’s </t>
  </si>
  <si>
    <t>TAMAT | Museum voor Wandtapijten en Textielkunsten van de Federatie Wallonië-Brussel</t>
  </si>
  <si>
    <t xml:space="preserve">TAMAT | Musée de la Tapisserie et des Arts Textiles de la Fédération Wallonie-Bruxelles </t>
  </si>
  <si>
    <t xml:space="preserve">Beeldende kunst, Toegepaste kunst en design, Mode </t>
  </si>
  <si>
    <t>Bastogne Barracks</t>
  </si>
  <si>
    <t>DHAM | Durbuy History &amp; Art Museum</t>
  </si>
  <si>
    <t>FAM | Famenne &amp; Art Museum</t>
  </si>
  <si>
    <t xml:space="preserve">Beeldende kunst, Toegepaste kunst en design, Geschiedenis en archeologie, Architectuur, Mode </t>
  </si>
  <si>
    <t>Megalietenhuis</t>
  </si>
  <si>
    <t>Maison des Mégalithes</t>
  </si>
  <si>
    <t>Mudia</t>
  </si>
  <si>
    <t>Archeologisch Museum van Aarlen</t>
  </si>
  <si>
    <t>Musée Archéologique d’Arlon</t>
  </si>
  <si>
    <t>Gaspar Museum</t>
  </si>
  <si>
    <t>Musée Gaspar</t>
  </si>
  <si>
    <t>Het Gaume Museum</t>
  </si>
  <si>
    <t>Musée Gaumais</t>
  </si>
  <si>
    <t>Museum van de Grote Ardennen</t>
  </si>
  <si>
    <t>Piconrue | Musée de la Grande Ardenne - Museum van de Grote Ardennen</t>
  </si>
  <si>
    <t xml:space="preserve">Beeldende kunst, Geschiedenis en archeologie, Literatuur </t>
  </si>
  <si>
    <t>AMVB | Archief en Museum voor het Vlaams leven te Brussel</t>
  </si>
  <si>
    <t>Archive et Musée de la vie flamande à Bruxelles</t>
  </si>
  <si>
    <t>ARGOS | centre for audiovisual arts</t>
  </si>
  <si>
    <t>Art et marges musée museum</t>
  </si>
  <si>
    <t>Autoworld Brussels</t>
  </si>
  <si>
    <t>Botanique</t>
  </si>
  <si>
    <t>Paleis voor Schone Kunsten</t>
  </si>
  <si>
    <t>BOZAR | Palais des Beaux-Arts</t>
  </si>
  <si>
    <t>Beeldende kunst, Wetenschap en technologie, Architectuur, Geschiedenis en archeologie, Mode, Toegepaste kunst en design</t>
  </si>
  <si>
    <t>CENTRALE for contemporary art</t>
  </si>
  <si>
    <t>CIVA</t>
  </si>
  <si>
    <t>Design Museum Brussels</t>
  </si>
  <si>
    <t>Fondation A Stichting</t>
  </si>
  <si>
    <t>Villa Empain - Stichting Boghossian</t>
  </si>
  <si>
    <t>Fondation Boghossian</t>
  </si>
  <si>
    <t>Brel Stichting</t>
  </si>
  <si>
    <t>Fondation Brel</t>
  </si>
  <si>
    <t>Fondation CAB</t>
  </si>
  <si>
    <t>GardeRobe MannekenPis</t>
  </si>
  <si>
    <t>Beeldende kunst, Geschiedenis en archeologie, Mode</t>
  </si>
  <si>
    <t>iMAL</t>
  </si>
  <si>
    <t>Beeldende kunst, Toegepaste kunst en design, Wetenschap en technologie</t>
  </si>
  <si>
    <t>KANAL | Centre Pompidou</t>
  </si>
  <si>
    <t xml:space="preserve">Beeldende kunst, Architectuur </t>
  </si>
  <si>
    <t>KBR museum</t>
  </si>
  <si>
    <t>Beeldende kunst, Geschiedenis en archeologie, Literatuur</t>
  </si>
  <si>
    <t>LAB·AN x Hotel van Eetvelde</t>
  </si>
  <si>
    <t>LAB·AN x Hôtel van Eetvelde</t>
  </si>
  <si>
    <t>Toegepaste kunst en design, Geschiedenis en archeologie, Architectuur</t>
  </si>
  <si>
    <t>Brussels Museum voor Arbeid en Industrie</t>
  </si>
  <si>
    <t>La Fonderie | Musée bruxellois des industries et du travail</t>
  </si>
  <si>
    <t>Het Autrique Huis</t>
  </si>
  <si>
    <t>La Maison Autrique</t>
  </si>
  <si>
    <t>Het Stadhuis van Brussel</t>
  </si>
  <si>
    <t>L’Hôtel de Ville de Bruxelles</t>
  </si>
  <si>
    <t xml:space="preserve">Beeldende kunst, Geschiedenis en archeologie, Architectuur </t>
  </si>
  <si>
    <t>Erasmushuis &amp; Begijnhof</t>
  </si>
  <si>
    <t>Maison d’Erasme &amp; Béguinage</t>
  </si>
  <si>
    <t>Maison Hannon</t>
  </si>
  <si>
    <t>MigratieMuseum</t>
  </si>
  <si>
    <t>MuseumMigration</t>
  </si>
  <si>
    <t>muziekinstrumentenmuseum</t>
  </si>
  <si>
    <t xml:space="preserve">MIM | musée des instruments de musique </t>
  </si>
  <si>
    <t>Gemeentelijk Museum van Sint-Jans-Molenbeek</t>
  </si>
  <si>
    <t>MoMuse | Musée communal de Molenbeek-Saint-Jean</t>
  </si>
  <si>
    <t>Museum Kunst &amp; Geschiedenis</t>
  </si>
  <si>
    <t>Musée Art &amp; Histoire</t>
  </si>
  <si>
    <t>Belgisch Museum van de Vrijmetselarij</t>
  </si>
  <si>
    <t>Musée Belge de la Franc-Maçonnerie</t>
  </si>
  <si>
    <t xml:space="preserve">Beeldende kunst, Toegepaste kunst en design, Geschiedenis en archeologie, Architectuur </t>
  </si>
  <si>
    <t>BELvue museum</t>
  </si>
  <si>
    <t>musée BELvue</t>
  </si>
  <si>
    <t>Brussels Museum van de Molen en de Voeding</t>
  </si>
  <si>
    <t>Musée bruxellois du Moulin et de l’Alimentation</t>
  </si>
  <si>
    <t>Charlier Museum</t>
  </si>
  <si>
    <t>Musée Charlier</t>
  </si>
  <si>
    <t>Museum voor Spontane Kunst</t>
  </si>
  <si>
    <t>Musée d’Art Spontané</t>
  </si>
  <si>
    <t>Riolenmuseum</t>
  </si>
  <si>
    <t>Musée des Égouts</t>
  </si>
  <si>
    <t>Stripmuseum Brussel</t>
  </si>
  <si>
    <t>Musée de la Bande Dessinée Bruxelles</t>
  </si>
  <si>
    <t>Museum van de Nationale Bank van België</t>
  </si>
  <si>
    <t>Musée de la Banque nationale de Belgique</t>
  </si>
  <si>
    <t>Geneeskundemuseum</t>
  </si>
  <si>
    <t>Musée de la Médecine</t>
  </si>
  <si>
    <t>Museum van de Stad Brussel - Broodhuis</t>
  </si>
  <si>
    <t>Musée de la Ville de Bruxelles - Maison du Roi</t>
  </si>
  <si>
    <t>Museum en Tuinen van Buuren</t>
  </si>
  <si>
    <t>Musée et Jardins van Buuren</t>
  </si>
  <si>
    <t>Hortamuseum</t>
  </si>
  <si>
    <t>Musée Horta</t>
  </si>
  <si>
    <t>Joods Museum van België</t>
  </si>
  <si>
    <t>Musée Juif de Belgique</t>
  </si>
  <si>
    <t>Mode &amp; Kant Museum</t>
  </si>
  <si>
    <t>Musée Mode &amp; Dentelle</t>
  </si>
  <si>
    <t>Beeldende kunst, Toegepaste kunst en design, Mode</t>
  </si>
  <si>
    <t>René Magritte Museum &amp; Museum voor abstracte kuns</t>
  </si>
  <si>
    <t>Musée René Magritte &amp; Musée d’Art Abstrait</t>
  </si>
  <si>
    <t>Koninklijk Museum van het Leger en de Krijgsgeschiedenis</t>
  </si>
  <si>
    <t>Musée Royal de l’Armée et d’Histoire Militaire</t>
  </si>
  <si>
    <t>Coudenbergpaleis</t>
  </si>
  <si>
    <t>Palais du Coudenberg</t>
  </si>
  <si>
    <t>Planetarium Brussel</t>
  </si>
  <si>
    <t>Planétarium de Bruxelles</t>
  </si>
  <si>
    <t>Hallepoort</t>
  </si>
  <si>
    <t>Porte de Hal</t>
  </si>
  <si>
    <t>Centrum voor Hedendaagse Kunst</t>
  </si>
  <si>
    <t>WIELS | Centre d’Art Contemporain</t>
  </si>
  <si>
    <t>Wittockiana</t>
  </si>
  <si>
    <t>Beeldende kunst, Toegepaste kunst en design, Literatuur</t>
  </si>
  <si>
    <t>Amsab-Instituut voor Sociale Geschiedenis</t>
  </si>
  <si>
    <t>Amsab-Institut d’Histoire Sociale</t>
  </si>
  <si>
    <t>Curiosum | Een huis vol herinnering</t>
  </si>
  <si>
    <t>Une maison pleine de souvenirs</t>
  </si>
  <si>
    <t>Beeldende kunst, Toegepaste kunst en design, Geschiedenis en archeologie, Literatuur</t>
  </si>
  <si>
    <t>Design Museum Gent</t>
  </si>
  <si>
    <t>GUM | Gents Universiteitsmuseum</t>
  </si>
  <si>
    <t>Ghent University Museum</t>
  </si>
  <si>
    <t>Herbert Foundation</t>
  </si>
  <si>
    <t>Huis van Alijn</t>
  </si>
  <si>
    <t>La Maison d’Alijn</t>
  </si>
  <si>
    <t>Industriemuseum</t>
  </si>
  <si>
    <t>Musée de l’Industrie</t>
  </si>
  <si>
    <t>Mercatormuseum</t>
  </si>
  <si>
    <t>Musée Mercator</t>
  </si>
  <si>
    <t>MOU | Museum Oudenaarde</t>
  </si>
  <si>
    <t>Musée d’Audenarde</t>
  </si>
  <si>
    <t>MSK | Museum voor Schone Kunsten Gent</t>
  </si>
  <si>
    <t>Musée des Beaux-Arts de Gand</t>
  </si>
  <si>
    <t>mudel | Museum van Deinze en de Leiestreek</t>
  </si>
  <si>
    <t>Musée de Deinze et du Pays de la Lys</t>
  </si>
  <si>
    <t>Museum Dhondt-Dhaenens</t>
  </si>
  <si>
    <t>Musée Dhondt-Dhaenens</t>
  </si>
  <si>
    <t>Museum Dr. Guislain</t>
  </si>
  <si>
    <t>Musée Dr. Guislain</t>
  </si>
  <si>
    <t>Gemeentelijk museum Gevaert-Minne</t>
  </si>
  <si>
    <t>Musée Municipal Gevaert-Minne</t>
  </si>
  <si>
    <t>Gemeentelijk museum Gust De Smet</t>
  </si>
  <si>
    <t>Musée Municipal Gust De Smet</t>
  </si>
  <si>
    <t>Provinciale Erfgoedsite Ename</t>
  </si>
  <si>
    <t>Site provincial du patrimoine d’Ename</t>
  </si>
  <si>
    <t>Provinciale Erfgoedsite Scheepswerven Baasrode</t>
  </si>
  <si>
    <t>Site du patrimoine provincial Scheepswerven Baasrode</t>
  </si>
  <si>
    <t>Provinciale Erfgoedsite Archeocentrum Velzeke</t>
  </si>
  <si>
    <t>Site du patrimoine provincial Archeocentrum Velzeke</t>
  </si>
  <si>
    <t>Roger Raveelmuseum</t>
  </si>
  <si>
    <t>Musée Roger Raveel</t>
  </si>
  <si>
    <t>Sint-Pietersabdij Gent</t>
  </si>
  <si>
    <t>Abbaye Saint-Pierre Gand</t>
  </si>
  <si>
    <t>S.M.A.K.</t>
  </si>
  <si>
    <t>STAM | Stadsmuseum Gent</t>
  </si>
  <si>
    <t>Musée de la Ville de Gand</t>
  </si>
  <si>
    <t>‘t Gasthuys | Stedelijk Museum Aalst</t>
  </si>
  <si>
    <t>Musée Municipal d’Alost</t>
  </si>
  <si>
    <t>Provincie</t>
  </si>
  <si>
    <t>Antwerpen musea prijzen</t>
  </si>
  <si>
    <t>PROVINCE RATING</t>
  </si>
  <si>
    <t>THEME RATING</t>
  </si>
  <si>
    <t>BUDGET RATING</t>
  </si>
  <si>
    <t>FACILITIES RATING</t>
  </si>
  <si>
    <t>SUITABILITY RATING</t>
  </si>
  <si>
    <t>WEIGHTED RATING</t>
  </si>
  <si>
    <t>RATING</t>
  </si>
  <si>
    <t>Profile</t>
  </si>
  <si>
    <t>Answers (if more, split by comma)</t>
  </si>
  <si>
    <t>Name</t>
  </si>
  <si>
    <t>Jozefien</t>
  </si>
  <si>
    <t>excellent</t>
  </si>
  <si>
    <t>Province</t>
  </si>
  <si>
    <t>Theme</t>
  </si>
  <si>
    <t>Geschiedenis en archeologie, Beeldende Kunst</t>
  </si>
  <si>
    <t>good</t>
  </si>
  <si>
    <t>Budget</t>
  </si>
  <si>
    <t>Facilities</t>
  </si>
  <si>
    <t>Shop, Parking, Restaurant, Café</t>
  </si>
  <si>
    <t xml:space="preserve">Desired rating </t>
  </si>
  <si>
    <t>no preference</t>
  </si>
  <si>
    <t>Match [%] (optional)</t>
  </si>
  <si>
    <t>subpar</t>
  </si>
  <si>
    <t>no match</t>
  </si>
  <si>
    <t>MAX COLUMN</t>
  </si>
  <si>
    <t>MAX RATING</t>
  </si>
  <si>
    <t>COUNTA van Geschiedenis en archeologie</t>
  </si>
  <si>
    <t xml:space="preserve">Totaal van FALSE </t>
  </si>
  <si>
    <t xml:space="preserve">Totaal van TRUE </t>
  </si>
  <si>
    <t>COUNTA van Algemene naam --&gt; als geen NL naam dan FR</t>
  </si>
  <si>
    <t>COUNTA van Café</t>
  </si>
  <si>
    <t>Kolommen</t>
  </si>
  <si>
    <t>Rijen</t>
  </si>
  <si>
    <t>Waarden</t>
  </si>
  <si>
    <t>Eindtotaal</t>
  </si>
  <si>
    <t>COUNTA van Wetenschap en technologie</t>
  </si>
  <si>
    <t>Average price</t>
  </si>
  <si>
    <t>Benefit 1</t>
  </si>
  <si>
    <t>Benefit 2</t>
  </si>
  <si>
    <t>Benefit 3</t>
  </si>
  <si>
    <t>Benefit 4</t>
  </si>
  <si>
    <t>Benefit 5</t>
  </si>
  <si>
    <t>Benefit 6</t>
  </si>
  <si>
    <t>Benefit 7</t>
  </si>
  <si>
    <t>Benefit 8</t>
  </si>
  <si>
    <t>Benefit 9</t>
  </si>
  <si>
    <t>Benefit 10</t>
  </si>
  <si>
    <t>Benefit 11</t>
  </si>
  <si>
    <t>Benefit 12</t>
  </si>
  <si>
    <t>Benefit 13</t>
  </si>
  <si>
    <t>Benefit 14</t>
  </si>
  <si>
    <t>Benefit 15</t>
  </si>
  <si>
    <t xml:space="preserve">Province </t>
  </si>
  <si>
    <t>Antwerp</t>
  </si>
  <si>
    <t xml:space="preserve">East-Flanders </t>
  </si>
  <si>
    <t>Cafe</t>
  </si>
  <si>
    <t>East-Flanders</t>
  </si>
  <si>
    <t>History &amp; Archaeology</t>
  </si>
  <si>
    <t>Prijs H &amp; A</t>
  </si>
  <si>
    <t>Science &amp; Technology</t>
  </si>
  <si>
    <t>Prijs S &amp; T</t>
  </si>
  <si>
    <t>Fashion</t>
  </si>
  <si>
    <t>Prijs F</t>
  </si>
  <si>
    <t>Literature</t>
  </si>
  <si>
    <t>Prijs L</t>
  </si>
  <si>
    <t>Architecture</t>
  </si>
  <si>
    <t>Prijs A</t>
  </si>
  <si>
    <t>Visual Arts</t>
  </si>
  <si>
    <t>Prijs VA</t>
  </si>
  <si>
    <t>Applied arts &amp; design</t>
  </si>
  <si>
    <t>Prijs AAD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</si>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</sst>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€-2]\ #,##0.00"/>
    <numFmt numFmtId="165" formatCode="&quot;€&quot;#,##0.00"/>
  </numFmts>
  <fonts count="10">
    <font>
      <sz val="10.0"/>
      <color rgb="FF000000"/>
      <name val="Arial"/>
      <scheme val="minor"/>
    </font>
    <font>
      <b/>
      <color theme="1"/>
      <name val="Arial"/>
    </font>
    <font>
      <b/>
      <sz val="10.0"/>
      <color theme="1"/>
      <name val="Arial"/>
    </font>
    <font>
      <b/>
      <color theme="1"/>
      <name val="Arial"/>
      <scheme val="minor"/>
    </font>
    <font>
      <color theme="1"/>
      <name val="Arial"/>
    </font>
    <font>
      <sz val="10.0"/>
      <color theme="1"/>
      <name val="Arial"/>
    </font>
    <font>
      <color theme="1"/>
      <name val="Arial"/>
      <scheme val="minor"/>
    </font>
    <font>
      <sz val="10.0"/>
      <color rgb="FF0A0A0A"/>
      <name val="Arial"/>
    </font>
    <font>
      <sz val="10.0"/>
      <color theme="1"/>
      <name val="Arial"/>
      <scheme val="minor"/>
    </font>
    <font>
      <color rgb="FF0A0A0A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A4C2F4"/>
        <bgColor rgb="FFA4C2F4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2" fontId="1" numFmtId="0" xfId="0" applyAlignment="1" applyFont="1">
      <alignment vertical="bottom"/>
    </xf>
    <xf borderId="0" fillId="2" fontId="1" numFmtId="0" xfId="0" applyAlignment="1" applyFont="1">
      <alignment vertical="bottom"/>
    </xf>
    <xf borderId="0" fillId="2" fontId="2" numFmtId="164" xfId="0" applyAlignment="1" applyFont="1" applyNumberFormat="1">
      <alignment readingOrder="0" vertical="bottom"/>
    </xf>
    <xf borderId="0" fillId="2" fontId="3" numFmtId="0" xfId="0" applyAlignment="1" applyFont="1">
      <alignment readingOrder="0"/>
    </xf>
    <xf borderId="0" fillId="2" fontId="3" numFmtId="164" xfId="0" applyAlignment="1" applyFont="1" applyNumberFormat="1">
      <alignment readingOrder="0"/>
    </xf>
    <xf borderId="0" fillId="3" fontId="3" numFmtId="0" xfId="0" applyAlignment="1" applyFill="1" applyFont="1">
      <alignment readingOrder="0"/>
    </xf>
    <xf borderId="0" fillId="3" fontId="3" numFmtId="164" xfId="0" applyAlignment="1" applyFont="1" applyNumberFormat="1">
      <alignment readingOrder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readingOrder="0" vertical="bottom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49" xfId="0" applyAlignment="1" applyFont="1" applyNumberFormat="1">
      <alignment vertical="bottom"/>
    </xf>
    <xf borderId="0" fillId="0" fontId="4" numFmtId="0" xfId="0" applyAlignment="1" applyFont="1">
      <alignment horizontal="center" readingOrder="0" vertical="bottom"/>
    </xf>
    <xf borderId="0" fillId="0" fontId="5" numFmtId="165" xfId="0" applyAlignment="1" applyFont="1" applyNumberFormat="1">
      <alignment horizontal="right" vertical="bottom"/>
    </xf>
    <xf borderId="0" fillId="0" fontId="6" numFmtId="0" xfId="0" applyAlignment="1" applyFont="1">
      <alignment readingOrder="0"/>
    </xf>
    <xf borderId="0" fillId="0" fontId="4" numFmtId="0" xfId="0" applyAlignment="1" applyFont="1">
      <alignment horizontal="right" vertical="bottom"/>
    </xf>
    <xf borderId="0" fillId="0" fontId="6" numFmtId="0" xfId="0" applyFont="1"/>
    <xf borderId="0" fillId="0" fontId="6" numFmtId="164" xfId="0" applyFont="1" applyNumberFormat="1"/>
    <xf borderId="0" fillId="0" fontId="6" numFmtId="165" xfId="0" applyFont="1" applyNumberFormat="1"/>
    <xf borderId="0" fillId="0" fontId="1" numFmtId="164" xfId="0" applyAlignment="1" applyFont="1" applyNumberFormat="1">
      <alignment vertical="bottom"/>
    </xf>
    <xf borderId="0" fillId="4" fontId="7" numFmtId="165" xfId="0" applyAlignment="1" applyFill="1" applyFont="1" applyNumberFormat="1">
      <alignment horizontal="right" vertical="bottom"/>
    </xf>
    <xf borderId="0" fillId="0" fontId="6" numFmtId="165" xfId="0" applyAlignment="1" applyFont="1" applyNumberFormat="1">
      <alignment readingOrder="0"/>
    </xf>
    <xf borderId="0" fillId="0" fontId="5" numFmtId="165" xfId="0" applyAlignment="1" applyFont="1" applyNumberFormat="1">
      <alignment vertical="bottom"/>
    </xf>
    <xf borderId="0" fillId="0" fontId="4" numFmtId="165" xfId="0" applyAlignment="1" applyFont="1" applyNumberFormat="1">
      <alignment readingOrder="0" vertical="bottom"/>
    </xf>
    <xf borderId="0" fillId="0" fontId="4" numFmtId="165" xfId="0" applyAlignment="1" applyFont="1" applyNumberFormat="1">
      <alignment horizontal="right" readingOrder="0" vertical="bottom"/>
    </xf>
    <xf borderId="0" fillId="0" fontId="5" numFmtId="165" xfId="0" applyAlignment="1" applyFont="1" applyNumberForma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4" numFmtId="49" xfId="0" applyAlignment="1" applyFont="1" applyNumberFormat="1">
      <alignment readingOrder="0" vertical="bottom"/>
    </xf>
    <xf borderId="0" fillId="0" fontId="5" numFmtId="165" xfId="0" applyAlignment="1" applyFont="1" applyNumberFormat="1">
      <alignment horizontal="right" readingOrder="0" vertical="bottom"/>
    </xf>
    <xf borderId="0" fillId="0" fontId="4" numFmtId="0" xfId="0" applyAlignment="1" applyFont="1">
      <alignment readingOrder="0" vertical="bottom"/>
    </xf>
    <xf borderId="0" fillId="0" fontId="6" numFmtId="0" xfId="0" applyAlignment="1" applyFont="1">
      <alignment readingOrder="0"/>
    </xf>
    <xf borderId="0" fillId="4" fontId="4" numFmtId="0" xfId="0" applyAlignment="1" applyFont="1">
      <alignment horizontal="center" readingOrder="0" vertical="bottom"/>
    </xf>
    <xf borderId="0" fillId="0" fontId="6" numFmtId="49" xfId="0" applyAlignment="1" applyFont="1" applyNumberFormat="1">
      <alignment readingOrder="0"/>
    </xf>
    <xf borderId="0" fillId="0" fontId="5" numFmtId="0" xfId="0" applyAlignment="1" applyFont="1">
      <alignment readingOrder="0" vertical="bottom"/>
    </xf>
    <xf borderId="0" fillId="0" fontId="8" numFmtId="164" xfId="0" applyFont="1" applyNumberFormat="1"/>
    <xf borderId="0" fillId="0" fontId="6" numFmtId="49" xfId="0" applyFont="1" applyNumberFormat="1"/>
    <xf borderId="0" fillId="2" fontId="4" numFmtId="0" xfId="0" applyAlignment="1" applyFont="1">
      <alignment vertical="bottom"/>
    </xf>
    <xf borderId="0" fillId="2" fontId="1" numFmtId="164" xfId="0" applyAlignment="1" applyFont="1" applyNumberFormat="1">
      <alignment vertical="bottom"/>
    </xf>
    <xf borderId="0" fillId="3" fontId="1" numFmtId="0" xfId="0" applyAlignment="1" applyFont="1">
      <alignment vertical="bottom"/>
    </xf>
    <xf borderId="0" fillId="3" fontId="1" numFmtId="164" xfId="0" applyAlignment="1" applyFont="1" applyNumberFormat="1">
      <alignment vertical="bottom"/>
    </xf>
    <xf borderId="0" fillId="0" fontId="4" numFmtId="0" xfId="0" applyAlignment="1" applyFont="1">
      <alignment horizontal="center" vertical="bottom"/>
    </xf>
    <xf borderId="0" fillId="0" fontId="4" numFmtId="165" xfId="0" applyAlignment="1" applyFont="1" applyNumberFormat="1">
      <alignment horizontal="right" vertical="bottom"/>
    </xf>
    <xf borderId="0" fillId="0" fontId="4" numFmtId="164" xfId="0" applyAlignment="1" applyFont="1" applyNumberFormat="1">
      <alignment horizontal="right" vertical="bottom"/>
    </xf>
    <xf borderId="0" fillId="4" fontId="9" numFmtId="165" xfId="0" applyAlignment="1" applyFont="1" applyNumberFormat="1">
      <alignment horizontal="right" vertical="bottom"/>
    </xf>
    <xf borderId="0" fillId="0" fontId="4" numFmtId="164" xfId="0" applyAlignment="1" applyFont="1" applyNumberFormat="1">
      <alignment vertical="bottom"/>
    </xf>
    <xf borderId="0" fillId="4" fontId="4" numFmtId="0" xfId="0" applyAlignment="1" applyFont="1">
      <alignment horizontal="center" vertical="bottom"/>
    </xf>
    <xf borderId="0" fillId="0" fontId="6" numFmtId="0" xfId="0" applyAlignment="1" applyFont="1">
      <alignment readingOrder="0"/>
    </xf>
    <xf borderId="0" fillId="2" fontId="3" numFmtId="9" xfId="0" applyAlignment="1" applyFont="1" applyNumberFormat="1">
      <alignment readingOrder="0"/>
    </xf>
    <xf borderId="0" fillId="5" fontId="1" numFmtId="0" xfId="0" applyAlignment="1" applyFill="1" applyFont="1">
      <alignment vertical="bottom"/>
    </xf>
    <xf borderId="0" fillId="5" fontId="4" numFmtId="0" xfId="0" applyAlignment="1" applyFont="1">
      <alignment readingOrder="0" vertical="bottom"/>
    </xf>
    <xf borderId="0" fillId="5" fontId="3" numFmtId="0" xfId="0" applyFont="1"/>
    <xf borderId="0" fillId="6" fontId="3" numFmtId="0" xfId="0" applyFill="1" applyFont="1"/>
    <xf borderId="0" fillId="0" fontId="4" numFmtId="4" xfId="0" applyAlignment="1" applyFont="1" applyNumberFormat="1">
      <alignment horizontal="right" vertical="bottom"/>
    </xf>
    <xf borderId="0" fillId="0" fontId="4" numFmtId="9" xfId="0" applyAlignment="1" applyFont="1" applyNumberFormat="1">
      <alignment horizontal="right" vertical="bottom"/>
    </xf>
    <xf borderId="0" fillId="0" fontId="6" numFmtId="4" xfId="0" applyFont="1" applyNumberFormat="1"/>
    <xf borderId="0" fillId="0" fontId="6" numFmtId="9" xfId="0" applyFont="1" applyNumberFormat="1"/>
    <xf borderId="0" fillId="5" fontId="6" numFmtId="0" xfId="0" applyAlignment="1" applyFont="1">
      <alignment readingOrder="0"/>
    </xf>
    <xf borderId="0" fillId="0" fontId="3" numFmtId="0" xfId="0" applyFont="1"/>
    <xf borderId="0" fillId="0" fontId="6" numFmtId="3" xfId="0" applyFont="1" applyNumberFormat="1"/>
    <xf borderId="0" fillId="0" fontId="6" numFmtId="10" xfId="0" applyFont="1" applyNumberFormat="1"/>
    <xf borderId="0" fillId="7" fontId="6" numFmtId="0" xfId="0" applyAlignment="1" applyFill="1" applyFont="1">
      <alignment readingOrder="0"/>
    </xf>
    <xf borderId="0" fillId="8" fontId="1" numFmtId="0" xfId="0" applyAlignment="1" applyFill="1" applyFont="1">
      <alignment readingOrder="0" vertical="bottom"/>
    </xf>
    <xf borderId="0" fillId="9" fontId="3" numFmtId="0" xfId="0" applyAlignment="1" applyFill="1" applyFont="1">
      <alignment readingOrder="0"/>
    </xf>
    <xf borderId="0" fillId="9" fontId="6" numFmtId="0" xfId="0" applyFont="1"/>
    <xf borderId="0" fillId="8" fontId="3" numFmtId="0" xfId="0" applyAlignment="1" applyFont="1">
      <alignment readingOrder="0"/>
    </xf>
    <xf borderId="0" fillId="10" fontId="3" numFmtId="0" xfId="0" applyAlignment="1" applyFill="1" applyFont="1">
      <alignment readingOrder="0"/>
    </xf>
    <xf borderId="0" fillId="10" fontId="3" numFmtId="0" xfId="0" applyFont="1"/>
    <xf borderId="0" fillId="0" fontId="3" numFmtId="164" xfId="0" applyFont="1" applyNumberFormat="1"/>
    <xf borderId="0" fillId="0" fontId="4" numFmtId="0" xfId="0" applyAlignment="1" applyFont="1">
      <alignment horizontal="left" vertical="bottom"/>
    </xf>
    <xf borderId="0" fillId="0" fontId="6" numFmtId="164" xfId="0" applyAlignment="1" applyFont="1" applyNumberFormat="1">
      <alignment horizontal="left"/>
    </xf>
    <xf borderId="0" fillId="0" fontId="4" numFmtId="164" xfId="0" applyAlignment="1" applyFont="1" applyNumberFormat="1">
      <alignment horizontal="left" vertical="bottom"/>
    </xf>
    <xf borderId="0" fillId="0" fontId="6" numFmtId="0" xfId="0" applyAlignment="1" applyFont="1">
      <alignment horizontal="left"/>
    </xf>
    <xf borderId="0" fillId="0" fontId="6" numFmtId="164" xfId="0" applyAlignment="1" applyFont="1" applyNumberFormat="1">
      <alignment horizontal="left" readingOrder="0"/>
    </xf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schemas.openxmlformats.org/officeDocument/2006/relationships/pivotCacheDefinition" Target="pivotCache/pivotCacheDefinition2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757575"/>
                </a:solidFill>
                <a:latin typeface="+mn-lt"/>
              </a:defRPr>
            </a:pPr>
            <a:r>
              <a:rPr b="1" sz="2000">
                <a:solidFill>
                  <a:srgbClr val="757575"/>
                </a:solidFill>
                <a:latin typeface="+mn-lt"/>
              </a:rPr>
              <a:t># History &amp; archaeology museums per province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stacked"/>
        <c:ser>
          <c:idx val="0"/>
          <c:order val="0"/>
          <c:tx>
            <c:strRef>
              <c:f>'Draaitabel 6'!$C$2</c:f>
            </c:strRef>
          </c:tx>
          <c:spPr>
            <a:solidFill>
              <a:srgbClr val="93C47D"/>
            </a:solidFill>
            <a:ln cmpd="sng">
              <a:solidFill>
                <a:srgbClr val="FFFFFF">
                  <a:alpha val="100000"/>
                </a:srgbClr>
              </a:solidFill>
            </a:ln>
          </c:spPr>
          <c:cat>
            <c:strRef>
              <c:f>'Draaitabel 6'!$A$3:$A$13</c:f>
            </c:strRef>
          </c:cat>
          <c:val>
            <c:numRef>
              <c:f>'Draaitabel 6'!$C$3:$C$13</c:f>
              <c:numCache/>
            </c:numRef>
          </c:val>
        </c:ser>
        <c:axId val="1752886052"/>
        <c:axId val="1153711731"/>
      </c:bar3DChart>
      <c:catAx>
        <c:axId val="17528860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3711731"/>
      </c:catAx>
      <c:valAx>
        <c:axId val="11537117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28860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Division 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'Draaitabel 6'!$A$66:$A$76</c:f>
            </c:strRef>
          </c:cat>
          <c:val>
            <c:numRef>
              <c:f>'Draaitabel 6'!$C$66:$C$76</c:f>
              <c:numCache/>
            </c:numRef>
          </c:val>
        </c:ser>
        <c:axId val="1538714770"/>
        <c:axId val="2020772293"/>
      </c:barChart>
      <c:catAx>
        <c:axId val="153871477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Provincie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0772293"/>
      </c:catAx>
      <c:valAx>
        <c:axId val="202077229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871477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# facilities in East-Flanders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Sortedbyfacilities!$A$226:$D$226</c:f>
            </c:strRef>
          </c:cat>
          <c:val>
            <c:numRef>
              <c:f>Sortedbyfacilities!$A$230:$D$230</c:f>
              <c:numCache/>
            </c:numRef>
          </c:val>
        </c:ser>
        <c:axId val="290697868"/>
        <c:axId val="1755477798"/>
      </c:barChart>
      <c:catAx>
        <c:axId val="2906978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5477798"/>
      </c:catAx>
      <c:valAx>
        <c:axId val="1755477798"/>
        <c:scaling>
          <c:orientation val="minMax"/>
          <c:max val="3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06978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Sortedbytheme!$A$174:$G$174</c:f>
            </c:strRef>
          </c:cat>
          <c:val>
            <c:numRef>
              <c:f>Sortedbytheme!$A$175:$G$175</c:f>
              <c:numCache/>
            </c:numRef>
          </c:val>
        </c:ser>
        <c:axId val="615028997"/>
        <c:axId val="1126468302"/>
      </c:barChart>
      <c:catAx>
        <c:axId val="6150289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6468302"/>
      </c:catAx>
      <c:valAx>
        <c:axId val="11264683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50289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#themes in East-Flanders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Sortedbytheme!$A$174:$G$174</c:f>
            </c:strRef>
          </c:cat>
          <c:val>
            <c:numRef>
              <c:f>Sortedbytheme!$A$180:$G$180</c:f>
              <c:numCache/>
            </c:numRef>
          </c:val>
        </c:ser>
        <c:axId val="708654681"/>
        <c:axId val="1879928515"/>
      </c:barChart>
      <c:catAx>
        <c:axId val="7086546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9928515"/>
      </c:catAx>
      <c:valAx>
        <c:axId val="1879928515"/>
        <c:scaling>
          <c:orientation val="minMax"/>
          <c:max val="2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museums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86546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#themes in Antwerp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Sortedbytheme!$A$174:$G$174</c:f>
            </c:strRef>
          </c:cat>
          <c:val>
            <c:numRef>
              <c:f>Sortedbytheme!$A$179:$G$179</c:f>
              <c:numCache/>
            </c:numRef>
          </c:val>
        </c:ser>
        <c:axId val="1298300077"/>
        <c:axId val="1904310621"/>
      </c:barChart>
      <c:catAx>
        <c:axId val="12983000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4310621"/>
      </c:catAx>
      <c:valAx>
        <c:axId val="19043106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museums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83000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Facilities per province</a:t>
            </a:r>
          </a:p>
        </c:rich>
      </c:tx>
      <c:overlay val="0"/>
    </c:title>
    <c:plotArea>
      <c:layout/>
      <c:barChart>
        <c:barDir val="bar"/>
        <c:grouping val="percentStacked"/>
        <c:ser>
          <c:idx val="0"/>
          <c:order val="0"/>
          <c:tx>
            <c:v>Shop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Sortedbyfacilities!$A$229:$A$230</c:f>
              <c:numCache/>
            </c:numRef>
          </c:val>
        </c:ser>
        <c:ser>
          <c:idx val="1"/>
          <c:order val="1"/>
          <c:tx>
            <c:v>Cafe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Sortedbyfacilities!$B$229:$B$230</c:f>
              <c:numCache/>
            </c:numRef>
          </c:val>
        </c:ser>
        <c:ser>
          <c:idx val="2"/>
          <c:order val="2"/>
          <c:tx>
            <c:v>Restaurant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val>
            <c:numRef>
              <c:f>Sortedbyfacilities!$C$229:$C$230</c:f>
              <c:numCache/>
            </c:numRef>
          </c:val>
        </c:ser>
        <c:ser>
          <c:idx val="3"/>
          <c:order val="3"/>
          <c:tx>
            <c:v>Parking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val>
            <c:numRef>
              <c:f>Sortedbyfacilities!$D$229:$D$230</c:f>
              <c:numCache/>
            </c:numRef>
          </c:val>
        </c:ser>
        <c:overlap val="100"/>
        <c:axId val="1174116472"/>
        <c:axId val="939470645"/>
      </c:barChart>
      <c:catAx>
        <c:axId val="117411647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East-Flanders  vs  Antwerp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9470645"/>
      </c:catAx>
      <c:valAx>
        <c:axId val="93947064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411647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# facilities in Antwerp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Sortedbyfacilities!$A$226:$D$226</c:f>
            </c:strRef>
          </c:cat>
          <c:val>
            <c:numRef>
              <c:f>Sortedbyfacilities!$A$229:$D$229</c:f>
              <c:numCache/>
            </c:numRef>
          </c:val>
        </c:ser>
        <c:axId val="1841225228"/>
        <c:axId val="117792792"/>
      </c:barChart>
      <c:catAx>
        <c:axId val="18412252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792792"/>
      </c:catAx>
      <c:valAx>
        <c:axId val="117792792"/>
        <c:scaling>
          <c:orientation val="minMax"/>
          <c:max val="3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122522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# facilities in East-Flanders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Sortedbyfacilities!$A$226:$D$226</c:f>
            </c:strRef>
          </c:cat>
          <c:val>
            <c:numRef>
              <c:f>Sortedbyfacilities!$A$230:$D$230</c:f>
              <c:numCache/>
            </c:numRef>
          </c:val>
        </c:ser>
        <c:axId val="48285939"/>
        <c:axId val="973841706"/>
      </c:barChart>
      <c:catAx>
        <c:axId val="482859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3841706"/>
      </c:catAx>
      <c:valAx>
        <c:axId val="973841706"/>
        <c:scaling>
          <c:orientation val="minMax"/>
          <c:max val="3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2859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% themes per province</a:t>
            </a:r>
          </a:p>
        </c:rich>
      </c:tx>
      <c:overlay val="0"/>
    </c:title>
    <c:plotArea>
      <c:layout/>
      <c:barChart>
        <c:barDir val="bar"/>
        <c:grouping val="percentStacked"/>
        <c:ser>
          <c:idx val="0"/>
          <c:order val="0"/>
          <c:tx>
            <c:v>History and Archaeology 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Sortedbytheme!$A$179:$A$180</c:f>
              <c:numCache/>
            </c:numRef>
          </c:val>
        </c:ser>
        <c:ser>
          <c:idx val="1"/>
          <c:order val="1"/>
          <c:tx>
            <c:v>Science and Technology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Sortedbytheme!$B$179:$B$180</c:f>
              <c:numCache/>
            </c:numRef>
          </c:val>
        </c:ser>
        <c:ser>
          <c:idx val="2"/>
          <c:order val="2"/>
          <c:tx>
            <c:v>Mode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val>
            <c:numRef>
              <c:f>Sortedbytheme!$C$179:$C$180</c:f>
              <c:numCache/>
            </c:numRef>
          </c:val>
        </c:ser>
        <c:ser>
          <c:idx val="3"/>
          <c:order val="3"/>
          <c:tx>
            <c:v>Literature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val>
            <c:numRef>
              <c:f>Sortedbytheme!$D$179:$D$180</c:f>
              <c:numCache/>
            </c:numRef>
          </c:val>
        </c:ser>
        <c:ser>
          <c:idx val="4"/>
          <c:order val="4"/>
          <c:tx>
            <c:v>Architecture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val>
            <c:numRef>
              <c:f>Sortedbytheme!$E$179:$E$180</c:f>
              <c:numCache/>
            </c:numRef>
          </c:val>
        </c:ser>
        <c:ser>
          <c:idx val="5"/>
          <c:order val="5"/>
          <c:tx>
            <c:v>Fine arts 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val>
            <c:numRef>
              <c:f>Sortedbytheme!$F$179:$F$180</c:f>
              <c:numCache/>
            </c:numRef>
          </c:val>
        </c:ser>
        <c:ser>
          <c:idx val="6"/>
          <c:order val="6"/>
          <c:tx>
            <c:v>Applied arts and design</c:v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Sortedbytheme!$G$179:$G$180</c:f>
              <c:numCache/>
            </c:numRef>
          </c:val>
        </c:ser>
        <c:overlap val="100"/>
        <c:axId val="1577703379"/>
        <c:axId val="468456837"/>
      </c:barChart>
      <c:catAx>
        <c:axId val="157770337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East-Flanders  vs  Antwerp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8456837"/>
      </c:catAx>
      <c:valAx>
        <c:axId val="46845683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770337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13.xml.rels><?xml version="1.0" encoding="UTF-8" standalone="yes"?><Relationships xmlns="http://schemas.openxmlformats.org/package/2006/relationships"><Relationship Id="rId11" Type="http://schemas.openxmlformats.org/officeDocument/2006/relationships/chart" Target="../charts/chart5.xml"/><Relationship Id="rId10" Type="http://schemas.openxmlformats.org/officeDocument/2006/relationships/chart" Target="../charts/chart4.xml"/><Relationship Id="rId13" Type="http://schemas.openxmlformats.org/officeDocument/2006/relationships/chart" Target="../charts/chart7.xml"/><Relationship Id="rId12" Type="http://schemas.openxmlformats.org/officeDocument/2006/relationships/chart" Target="../charts/chart6.xml"/><Relationship Id="rId1" Type="http://schemas.openxmlformats.org/officeDocument/2006/relationships/image" Target="../media/Chart4.png"/><Relationship Id="rId2" Type="http://schemas.openxmlformats.org/officeDocument/2006/relationships/image" Target="../media/Chart5.png"/><Relationship Id="rId3" Type="http://schemas.openxmlformats.org/officeDocument/2006/relationships/image" Target="../media/Chart6.png"/><Relationship Id="rId4" Type="http://schemas.openxmlformats.org/officeDocument/2006/relationships/image" Target="../media/Chart7.png"/><Relationship Id="rId9" Type="http://schemas.openxmlformats.org/officeDocument/2006/relationships/image" Target="../media/Chart12.png"/><Relationship Id="rId15" Type="http://schemas.openxmlformats.org/officeDocument/2006/relationships/chart" Target="../charts/chart9.xml"/><Relationship Id="rId14" Type="http://schemas.openxmlformats.org/officeDocument/2006/relationships/chart" Target="../charts/chart8.xml"/><Relationship Id="rId16" Type="http://schemas.openxmlformats.org/officeDocument/2006/relationships/chart" Target="../charts/chart10.xml"/><Relationship Id="rId5" Type="http://schemas.openxmlformats.org/officeDocument/2006/relationships/image" Target="../media/Chart8.png"/><Relationship Id="rId6" Type="http://schemas.openxmlformats.org/officeDocument/2006/relationships/image" Target="../media/Chart9.png"/><Relationship Id="rId7" Type="http://schemas.openxmlformats.org/officeDocument/2006/relationships/image" Target="../media/Chart10.png"/><Relationship Id="rId8" Type="http://schemas.openxmlformats.org/officeDocument/2006/relationships/image" Target="../media/Chart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180975</xdr:colOff>
      <xdr:row>14</xdr:row>
      <xdr:rowOff>66675</xdr:rowOff>
    </xdr:from>
    <xdr:ext cx="4648200" cy="2867025"/>
    <xdr:graphicFrame>
      <xdr:nvGraphicFramePr>
        <xdr:cNvPr id="1" name="Chart 1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695325</xdr:colOff>
      <xdr:row>62</xdr:row>
      <xdr:rowOff>123825</xdr:rowOff>
    </xdr:from>
    <xdr:ext cx="5715000" cy="3533775"/>
    <xdr:graphicFrame>
      <xdr:nvGraphicFramePr>
        <xdr:cNvPr id="2" name="Chart 2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247650</xdr:colOff>
      <xdr:row>225</xdr:row>
      <xdr:rowOff>133350</xdr:rowOff>
    </xdr:from>
    <xdr:ext cx="5715000" cy="3533775"/>
    <xdr:graphicFrame>
      <xdr:nvGraphicFramePr>
        <xdr:cNvPr id="3" name="Chart 3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629150" cy="2876550"/>
    <xdr:pic>
      <xdr:nvPicPr>
        <xdr:cNvPr id="870278609" name="Chart4" title="Diagram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57150</xdr:colOff>
      <xdr:row>0</xdr:row>
      <xdr:rowOff>0</xdr:rowOff>
    </xdr:from>
    <xdr:ext cx="4629150" cy="2876550"/>
    <xdr:pic>
      <xdr:nvPicPr>
        <xdr:cNvPr id="1339956189" name="Chart5" title="Diagram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114300</xdr:colOff>
      <xdr:row>0</xdr:row>
      <xdr:rowOff>0</xdr:rowOff>
    </xdr:from>
    <xdr:ext cx="4552950" cy="2809875"/>
    <xdr:pic>
      <xdr:nvPicPr>
        <xdr:cNvPr id="1874961694" name="Chart6" title="Diagram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942975</xdr:colOff>
      <xdr:row>0</xdr:row>
      <xdr:rowOff>0</xdr:rowOff>
    </xdr:from>
    <xdr:ext cx="4048125" cy="2505075"/>
    <xdr:pic>
      <xdr:nvPicPr>
        <xdr:cNvPr id="1762947658" name="Chart7" title="Diagram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304800</xdr:colOff>
      <xdr:row>0</xdr:row>
      <xdr:rowOff>38100</xdr:rowOff>
    </xdr:from>
    <xdr:ext cx="3838575" cy="2371725"/>
    <xdr:pic>
      <xdr:nvPicPr>
        <xdr:cNvPr id="1545419693" name="Chart8" title="Diagram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171450</xdr:rowOff>
    </xdr:from>
    <xdr:ext cx="4152900" cy="2571750"/>
    <xdr:pic>
      <xdr:nvPicPr>
        <xdr:cNvPr id="822300477" name="Chart9" title="Diagram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561975</xdr:colOff>
      <xdr:row>15</xdr:row>
      <xdr:rowOff>161925</xdr:rowOff>
    </xdr:from>
    <xdr:ext cx="4048125" cy="2505075"/>
    <xdr:pic>
      <xdr:nvPicPr>
        <xdr:cNvPr id="221089855" name="Chart10" title="Diagram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66675</xdr:colOff>
      <xdr:row>15</xdr:row>
      <xdr:rowOff>57150</xdr:rowOff>
    </xdr:from>
    <xdr:ext cx="4352925" cy="2695575"/>
    <xdr:pic>
      <xdr:nvPicPr>
        <xdr:cNvPr id="854083028" name="Chart11" title="Diagram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47625</xdr:colOff>
      <xdr:row>14</xdr:row>
      <xdr:rowOff>104775</xdr:rowOff>
    </xdr:from>
    <xdr:ext cx="3886200" cy="2371725"/>
    <xdr:pic>
      <xdr:nvPicPr>
        <xdr:cNvPr id="1023557500" name="Chart12" title="Diagram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438150</xdr:colOff>
      <xdr:row>14</xdr:row>
      <xdr:rowOff>104775</xdr:rowOff>
    </xdr:from>
    <xdr:ext cx="5257800" cy="3257550"/>
    <xdr:graphicFrame>
      <xdr:nvGraphicFramePr>
        <xdr:cNvPr id="13" name="Chart 13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0</xdr:col>
      <xdr:colOff>66675</xdr:colOff>
      <xdr:row>31</xdr:row>
      <xdr:rowOff>0</xdr:rowOff>
    </xdr:from>
    <xdr:ext cx="4686300" cy="2876550"/>
    <xdr:graphicFrame>
      <xdr:nvGraphicFramePr>
        <xdr:cNvPr id="14" name="Chart 14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5</xdr:col>
      <xdr:colOff>57150</xdr:colOff>
      <xdr:row>31</xdr:row>
      <xdr:rowOff>0</xdr:rowOff>
    </xdr:from>
    <xdr:ext cx="4629150" cy="2876550"/>
    <xdr:graphicFrame>
      <xdr:nvGraphicFramePr>
        <xdr:cNvPr id="15" name="Chart 15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10</xdr:col>
      <xdr:colOff>114300</xdr:colOff>
      <xdr:row>48</xdr:row>
      <xdr:rowOff>57150</xdr:rowOff>
    </xdr:from>
    <xdr:ext cx="4629150" cy="2876550"/>
    <xdr:graphicFrame>
      <xdr:nvGraphicFramePr>
        <xdr:cNvPr id="16" name="Chart 16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  <xdr:oneCellAnchor>
    <xdr:from>
      <xdr:col>2</xdr:col>
      <xdr:colOff>904875</xdr:colOff>
      <xdr:row>48</xdr:row>
      <xdr:rowOff>19050</xdr:rowOff>
    </xdr:from>
    <xdr:ext cx="3076575" cy="1895475"/>
    <xdr:graphicFrame>
      <xdr:nvGraphicFramePr>
        <xdr:cNvPr id="17" name="Chart 17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4"/>
        </a:graphicData>
      </a:graphic>
    </xdr:graphicFrame>
    <xdr:clientData fLocksWithSheet="0"/>
  </xdr:oneCellAnchor>
  <xdr:oneCellAnchor>
    <xdr:from>
      <xdr:col>6</xdr:col>
      <xdr:colOff>390525</xdr:colOff>
      <xdr:row>48</xdr:row>
      <xdr:rowOff>9525</xdr:rowOff>
    </xdr:from>
    <xdr:ext cx="3124200" cy="1895475"/>
    <xdr:graphicFrame>
      <xdr:nvGraphicFramePr>
        <xdr:cNvPr id="18" name="Chart 18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5"/>
        </a:graphicData>
      </a:graphic>
    </xdr:graphicFrame>
    <xdr:clientData fLocksWithSheet="0"/>
  </xdr:oneCellAnchor>
  <xdr:oneCellAnchor>
    <xdr:from>
      <xdr:col>10</xdr:col>
      <xdr:colOff>114300</xdr:colOff>
      <xdr:row>29</xdr:row>
      <xdr:rowOff>133350</xdr:rowOff>
    </xdr:from>
    <xdr:ext cx="5715000" cy="3533775"/>
    <xdr:graphicFrame>
      <xdr:nvGraphicFramePr>
        <xdr:cNvPr id="19" name="Chart 19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6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U261" sheet="Blad1"/>
  </cacheSource>
  <cacheFields>
    <cacheField name="Musea - Nederlandse benaming (Title)" numFmtId="0">
      <sharedItems containsBlank="1">
        <s v="Archeologisch museum van de Boven-Maas"/>
        <s v="Citadel van Namen / Bezoekerscentrum Terra Nova en toeristentreintje"/>
        <s v="NAM-IP Computermuseum"/>
        <s v="Ecomuseum van de Viroin"/>
        <s v="Andenne Museum"/>
        <m/>
        <s v="Archeopark van Rochefort"/>
        <s v="MusAfrica Namen"/>
        <s v="Aardbeimuseum"/>
        <s v="Museum van het Klein Formaat"/>
        <s v="Félicien Rops Museum"/>
        <s v="Museum voor Oude Kunsten"/>
        <s v="Abdijmuseum Ten Duinen"/>
        <s v="Adornesdomein"/>
        <s v="Atlantikwall Raversyde"/>
        <s v="Bakkerijmuseum"/>
        <s v="Belfort van Brugge"/>
        <s v="Belle Epoque Centrum"/>
        <s v="Brugse Vrije"/>
        <s v="Dodengang"/>
        <s v="Gezellehuis"/>
        <s v="Groeningemuseum"/>
        <s v="Gruuthusemuseum"/>
        <s v="Het James Ensorhuis"/>
        <s v="Het Lijsternest | Streuvelshuis &amp; Schrijversresidentie"/>
        <s v="HEY Museum"/>
        <s v="Hopmuseum Poperinge"/>
        <s v="In Flanders Fields Museum"/>
        <s v="Kantmuseum Brugge"/>
        <s v="Kasteel van Loppem"/>
        <s v="KOERS | Museum van de Wielersport"/>
        <s v="Museum aan de IJzer"/>
        <s v="Museum Sint-Janshospitaal"/>
        <s v="Mu.ZEE | Kunstmuseum aan Zee"/>
        <s v="Nationaal Tabaksmuseum"/>
        <s v="NAVIGO Visserijmuseum"/>
        <s v="O.L.V.-kerk Museum"/>
        <s v="O.L.V. ter Potterie"/>
        <s v="Passchendaele Museum"/>
        <s v="Paul Delvaux Museum"/>
        <s v="Peiremuzee"/>
        <s v="Permekemuseum"/>
        <s v="Romeins Archeologisch Museum Oudenburg"/>
        <s v="Sint-Janshuismolen"/>
        <s v="Stadhuis Brugge"/>
        <s v="Talbot House"/>
        <s v="Texture | Museum van Vlas en Textiel"/>
        <s v="Uilenspiegelmuseum"/>
        <s v="Volkskundemuseum"/>
        <s v="Westfront Nieuwpoort"/>
        <s v="Yper Museum"/>
        <s v="Zwin Natuur Park"/>
        <s v="Arboretum Kalmtout"/>
        <s v="Begijnhofmuseum Turnhout"/>
        <s v="DIVA | museum voor diamant juwelen en zilver"/>
        <s v="Erfgoedbibliotheek Hendrik Conscience - Nottebohmzaal"/>
        <s v="FOMU | Fotomuseum Antwerpen"/>
        <s v="Fort van Breendonk"/>
        <s v="Gasthuismuseum Geel"/>
        <s v="Het Snijders&amp;Rockoxhuis"/>
        <s v="Jakob Smitsmuseum"/>
        <s v="Karrenmuseum Essen"/>
        <s v="Kazerne Dossin"/>
        <s v="KMSKA | Koninklijk Museum voor Schone Kunsten Antwerpen"/>
        <s v="Kunsthal Extra City"/>
        <s v="Kunsthal Mechelen"/>
        <s v="MAS | Museum aan de Stroom"/>
        <s v="M HKA | Museum van Hedendaagse Kunst Antwerpen"/>
        <s v="Middelheimmuseum"/>
        <s v="MoMu | ModeMuseum Antwerpen"/>
        <s v="Museum De Reede"/>
        <s v="Museum Fort Liezele"/>
        <s v="Museum Hof van Busleyden"/>
        <s v="Museum Mayer van den Bergh"/>
        <s v="Museum Plantin-Moretus"/>
        <s v="Museum Vleeshuis"/>
        <s v="Nationaal Museum van de Speelkaart"/>
        <s v="Red Star Line Museum"/>
        <s v="Rubenshuis"/>
        <s v="Sint-Pauluskerk"/>
        <s v="Speelgoedmuseum"/>
        <s v="Stadsmuseum Lier"/>
        <s v="Stedelijk Museum Hoogstraten"/>
        <s v="Suske en Wiske Museum"/>
        <s v="Taxandriamuseum"/>
        <s v="‘t Grom"/>
        <s v="Het steen, The Antwerp Story"/>
        <s v="Stichting Folon"/>
        <s v="Hergé Museum"/>
        <s v="Marthe Donas museum"/>
        <s v="Wellington Museum"/>
        <s v="AfricaMuseum"/>
        <s v="Damiaanmuseum"/>
        <s v="Dru!f, huis van de tafeldruif"/>
        <s v="FeliXart Museum"/>
        <s v="Huis van het Belgisch-Franse Verzet"/>
        <s v="KADOC-KU Leuven"/>
        <s v="Kasteel van Gaasbeek"/>
        <s v="M Leuven"/>
        <s v="Museum 44"/>
        <s v="Museum den AST"/>
        <s v="Museum PARCUM, Abdij van Park Leuven"/>
        <s v="Plantentuin Meise"/>
        <s v="Universiteitsbibliotheek KU Leuven"/>
        <s v="Apotheekmuseum"/>
        <s v="C-mine"/>
        <s v="DE MINDERE"/>
        <s v="Duitse Orde Museum (DOMUS) Alden Biesen"/>
        <s v="Gallo-Romeins Museum"/>
        <s v="GlazenHuis"/>
        <s v="Het Stadsmus Hasselt"/>
        <s v="Jenevermuseum"/>
        <s v="LABIOMISTA"/>
        <s v="Liberation Garden Leopoldsburg"/>
        <s v="Modemuseum Hasselt"/>
        <s v="Openluchtmuseum Bokrijk"/>
        <s v="RAM | Regionaal Archeologisch Museum"/>
        <s v="Schatkamer van Sint-Catharina"/>
        <s v="Z33 | Huis voor Actuele Kunst, Design &amp; Architectuur"/>
        <s v="Abdij van Stavelot"/>
        <s v="Aquarium-Museum van Luik"/>
        <s v="Archeoforum van Luik"/>
        <s v="Museum voor Hedendaagse Kunst"/>
        <s v="Bos en Watermuseum “P. Noé”"/>
        <s v="Museum van de wastechniek"/>
        <s v="Huis van de Metallurgie en Industrie van Luik"/>
        <s v="Pottenbakkerijmuseum Raeren"/>
        <s v="Museum van het Waalse Leven"/>
        <s v="Musea van de Kuurstad"/>
        <s v="Stadsmuseum Eupen"/>
        <s v="Musea van Verviers"/>
        <s v="Museum Vieille Montagne"/>
        <s v="Artotheek "/>
        <s v="Belfort van Bergen"/>
        <s v="Museum van Mijnbouw en Duurzame Ontwikkeling"/>
        <s v="Museum voor kunst van de Provincie Henegouwen"/>
        <s v="CAP/museum voor Schone Kunsten van Bergen"/>
        <s v="CAP/het Collectiehuis"/>
        <s v="Wetenschappelijk Cultuurcentrum - ULB"/>
        <s v="Centrum voor Innovatie en Design van Grand-Hornu"/>
        <s v="Domein van het Kasteel van Seneffe"/>
        <s v="Gallo-Romeins Museum van Aat"/>
        <s v="Hospitaal Onze-Lieve-Vrouw met de Roos"/>
        <s v="Keramis - Centrum van de Keramiek"/>
        <s v="Het Reuzenhuis"/>
        <s v="Het Huis Van Gogh"/>
        <s v="MACS | Museum voor Hedendaagse Kunsten Grand-Hornu"/>
        <s v="Archeologiemuseum"/>
        <s v="Folkloremuseum"/>
        <s v="Fotografiemuseum"/>
        <s v="Lintweverijmuseum van Komen"/>
        <s v="Museum voor Schone Kunsten van Doornik"/>
        <s v="Museum voor militaire geschiedenis"/>
        <s v="Natuurhistorisch Museum en Vivarium"/>
        <s v="Doudoumuseum"/>
        <s v="Internationaal Museum van het Carnaval en het Masker"/>
        <s v="Koninklijk Museum van Mariemont"/>
        <s v="TAMAT | Museum voor Wandtapijten en Textielkunsten van de Federatie Wallonië-Brussel"/>
        <s v="Megalietenhuis"/>
        <s v="Archeologisch Museum van Aarlen"/>
        <s v="Gaspar Museum"/>
        <s v="Het Gaume Museum"/>
        <s v="Museum van de Grote Ardennen"/>
        <s v="AMVB | Archief en Museum voor het Vlaams leven te Brussel"/>
        <s v="Autoworld Brussels"/>
        <s v="Paleis voor Schone Kunsten"/>
        <s v="CIVA"/>
        <s v="Design Museum Brussels"/>
        <s v="Villa Empain - Stichting Boghossian"/>
        <s v="Brel Stichting"/>
        <s v="GardeRobe MannekenPis"/>
        <s v="iMAL"/>
        <s v="KBR museum"/>
        <s v="LAB·AN x Hotel van Eetvelde"/>
        <s v="Brussels Museum voor Arbeid en Industrie"/>
        <s v="Het Autrique Huis"/>
        <s v="Het Stadhuis van Brussel"/>
        <s v="Erasmushuis &amp; Begijnhof"/>
        <s v="MigratieMuseum"/>
        <s v="muziekinstrumentenmuseum"/>
        <s v="Gemeentelijk Museum van Sint-Jans-Molenbeek"/>
        <s v="Museum Kunst &amp; Geschiedenis"/>
        <s v="Belgisch Museum van de Vrijmetselarij"/>
        <s v="BELvue museum"/>
        <s v="Brussels Museum van de Molen en de Voeding"/>
        <s v="Charlier Museum"/>
        <s v="Museum voor Spontane Kunst"/>
        <s v="Riolenmuseum"/>
        <s v="Stripmuseum Brussel"/>
        <s v="Museum van de Nationale Bank van België"/>
        <s v="Geneeskundemuseum"/>
        <s v="Museum van de Stad Brussel - Broodhuis"/>
        <s v="Museum en Tuinen van Buuren"/>
        <s v="Hortamuseum"/>
        <s v="Joods Museum van België"/>
        <s v="Mode &amp; Kant Museum"/>
        <s v="René Magritte Museum &amp; Museum voor abstracte kuns"/>
        <s v="Koninklijk Museum van het Leger en de Krijgsgeschiedenis"/>
        <s v="Coudenbergpaleis"/>
        <s v="Planetarium Brussel"/>
        <s v="Hallepoort"/>
        <s v="Centrum voor Hedendaagse Kunst"/>
        <s v="Wittockiana"/>
        <s v="Amsab-Instituut voor Sociale Geschiedenis"/>
        <s v="Curiosum | Een huis vol herinnering"/>
        <s v="Design Museum Gent"/>
        <s v="GUM | Gents Universiteitsmuseum"/>
        <s v="Huis van Alijn"/>
        <s v="Industriemuseum"/>
        <s v="Mercatormuseum"/>
        <s v="MOU | Museum Oudenaarde"/>
        <s v="MSK | Museum voor Schone Kunsten Gent"/>
        <s v="mudel | Museum van Deinze en de Leiestreek"/>
        <s v="Museum Dhondt-Dhaenens"/>
        <s v="Museum Dr. Guislain"/>
        <s v="Gemeentelijk museum Gevaert-Minne"/>
        <s v="Gemeentelijk museum Gust De Smet"/>
        <s v="Provinciale Erfgoedsite Ename"/>
        <s v="Provinciale Erfgoedsite Scheepswerven Baasrode"/>
        <s v="Provinciale Erfgoedsite Archeocentrum Velzeke"/>
        <s v="Roger Raveelmuseum"/>
        <s v="Sint-Pietersabdij Gent"/>
        <s v="S.M.A.K."/>
        <s v="STAM | Stadsmuseum Gent"/>
        <s v="‘t Gasthuys | Stedelijk Museum Aalst"/>
      </sharedItems>
    </cacheField>
    <cacheField name="Musea - Franse benaming (Alternative Title)" numFmtId="0">
      <sharedItems containsBlank="1">
        <s v="Musée archéologique de la Haute-Meuse"/>
        <s v="Citadel van Namen / Bezoekerscentrum Terra Nova en toeristentreintje"/>
        <s v="Computer Museum NAM-IP"/>
        <s v="Écomusée du Viroin"/>
        <s v="Espace Muséal d’Andenne"/>
        <s v="Le Delta"/>
        <s v="Le Pavillon"/>
        <s v="Maison du patrimoine médiéval mosan"/>
        <s v="Malagne | Archéoparc de Rochefort"/>
        <s v="MusAfrica Namur"/>
        <s v="Musée de la Fraise"/>
        <s v="Musée du Malgré-Tout"/>
        <s v="Musée du Petit Format"/>
        <s v="Musée Félicien Rops"/>
        <s v="TreM.a | Musée des Arts anciens"/>
        <s v="Musée de l’Abbaye des Dunes"/>
        <s v="Le domaine Adornes"/>
        <m/>
        <s v="Musée de la Boulangerie"/>
        <s v="Beffroi de Bruges"/>
        <s v="Centre Belle Epoque"/>
        <s v="Franc de Bruges"/>
        <s v="Boyau de la Mort"/>
        <s v="Eperon d’Or"/>
        <s v="Maison Gezelle"/>
        <s v="Musée Groeninge"/>
        <s v="Musée Gruuthuse"/>
        <s v="La Maison de James Ensor"/>
        <s v="Musée du Houblon Poperinge"/>
        <s v="Musée In Flanders Fields"/>
        <s v="Musée de la Dentelle Bruges"/>
        <s v="Château de Loppem"/>
        <s v="Musée de la Course Cycliste"/>
        <s v="Musée la tour de L’Yser"/>
        <s v="Musée Hôpital Saint-Jean"/>
        <s v="Musée Art-sur-Mer"/>
        <s v="Musée National du Tabac"/>
        <s v="Musée de la Pêche NAVIGO"/>
        <s v="Musée de l’Église Notre-Dame"/>
        <s v="Musée Notre-Dame de la Poterie"/>
        <s v="Musée Paul Delvaux"/>
        <s v="Musée Permeke"/>
        <s v="Musée d’archéologie romaine Oudenburg"/>
        <s v="Moulin Sint-Janshuis"/>
        <s v="L’Hôtel de ville Bruges"/>
        <s v="Musée du Lin et du Textile"/>
        <s v="Musée d’Ulenspiegel"/>
        <s v="Musée de la vie populaire"/>
        <s v="Zwin Parc Naturel"/>
        <s v="Musée du béguinage Turnhout"/>
        <s v="le musée du diamant, des bijoux et de l’orfèvrerie"/>
        <s v="Bibliothèque Patrimoniale Hendrik Conscience - salle Nottebohm"/>
        <s v="Musée de la Photographie d’Anvers"/>
        <s v="Fort de Breendonk"/>
        <s v="Musée de l’hôpital Geel"/>
        <s v="La maison Snijders&amp;Rockox"/>
        <s v="Musée Jakob Smits"/>
        <s v="Musée de Chariot Essen"/>
        <s v="Caserne Dossin"/>
        <s v="Musée Royal des Beaux-Arts d’Anver"/>
        <s v="Kunsthal Malines"/>
        <s v="Musée d’Art Contemporain d’Anvers"/>
        <s v="Musée Middelheim"/>
        <s v="Musée de la Mode Anvers"/>
        <s v="Musée De Reede"/>
        <s v="Musée Fort Liezele"/>
        <s v="Musée Mayer van den Bergh"/>
        <s v="Musée Plantin-Moretus"/>
        <s v="Musée Vleeshuis"/>
        <s v="Musée National de la Carte à jouer"/>
        <s v="Musée Red Star Line"/>
        <s v="Maison Rubens"/>
        <s v="Église Saint-Paul"/>
        <s v="Musée du jouet"/>
        <s v="Musée de la Ville de Lier"/>
        <s v="Musée Municipal de Hoogstraten"/>
        <s v="Musée Bob et Bobette"/>
        <s v="Fondation Folon"/>
        <s v="Musée Hergé"/>
        <s v="Musée L"/>
        <s v="MiMDo - Musée Marthe Donas"/>
        <s v="Musée Wellington"/>
        <s v="Musée Damien"/>
        <s v="maison du raisin de table"/>
        <s v="Maison de la Résistance Franco-Belge"/>
        <s v="Château de Gaasbeek"/>
        <s v="Meensel-Kiezegem"/>
        <s v="Musée den AST"/>
        <s v=" Musée PARCUM, Abbaye de Parc Louvain"/>
        <s v="Jardin botanique Meise"/>
        <s v="Bibliothèque universitaire KU Leuven"/>
        <s v="Musée de la Pharmacie"/>
        <s v="  "/>
        <s v="Musée Gallo-Romain"/>
        <s v="Musée municipal Hasselt"/>
        <s v="Musée du Genièvre"/>
        <s v="Musée de la Mode Hasselt"/>
        <s v="Musée en plein air de Bokrijk"/>
        <s v="Musée Archéologique Régional"/>
        <s v="Trésor de Sainte-Catherine"/>
        <s v="Maison d’Art Actuel, Design &amp; Architecture"/>
        <s v="Abbaye de Stavelot"/>
        <s v="Aquarium-Muséum de Liège"/>
        <s v="Archéoforum de Liège"/>
        <s v="ArtHouse"/>
        <s v="IKOB | Musée d’Art Contemporain"/>
        <s v="La Boverie"/>
        <s v="Le Grand Curtius"/>
        <s v="Musée de la Forêt et des Eaux “P. Noé”"/>
        <s v="Musée de la Lessive"/>
        <s v="Maison de la Métallurgie et de l’Industrie de Liège"/>
        <s v="Musée de la Poterie Raeren"/>
        <s v="Musée de la Vie wallonne"/>
        <s v="Musées de la Ville d’eaux"/>
        <s v="Musée de la ville d’Eupen"/>
        <s v="Musées de Verviers"/>
        <s v="Musée Vieille Montagne"/>
        <s v="Préhistomuseum"/>
        <s v="Trinkhall museum"/>
        <s v="WaterHouse"/>
        <s v="Artothèque "/>
        <s v="Beffroi de Mons "/>
        <s v="Bois-du-Luc | Musée de la Mine et du Développement Durable "/>
        <s v="BPS22 | Musée d’art de la Province de Hainaut "/>
        <s v="CAP/musée des Beaux-Arts de Mons "/>
        <s v="CAP/maison des Collections "/>
        <s v="Centre Daily-Bul &amp; C° "/>
        <s v="Centre de Culture Scientifique - ULB "/>
        <s v="Centre de la Gravure et de l’Image imprimée "/>
        <s v="CID | Centre d’innovation et de design au Grand-Hornu "/>
        <s v="Domaine du Château de Seneffe "/>
        <s v="Espace gallo-romain d’Ath "/>
        <s v="Hôpital Notre-Dame à la Rose "/>
        <s v="Keramis - Centre de la Céramique "/>
        <s v="La Maison des Géants "/>
        <s v="La Maison Van Gogh "/>
        <s v="Le Bois du Cazier "/>
        <s v="MACS | Musée des Arts Contemporains Grand-Hornu "/>
        <s v="Maison de l’Imprimerie "/>
        <s v="Maison Losseau "/>
        <s v="Mons Memorial Museum "/>
        <s v="MUMONS "/>
        <s v="Mundaneum "/>
        <s v="Musée d’Archéologie "/>
        <s v="Musée de Folklore et des Imaginaires "/>
        <s v="Musée de la Photographie "/>
        <s v="Musée de la Rubanerie cominoise "/>
        <s v="Musée des arts de la Marionnette "/>
        <s v="Musée des Beaux-Arts de Tournai "/>
        <s v="Musée d’Histoire militaire "/>
        <s v="Musée d’Histoire naturelle et Vivarium "/>
        <s v="Musée du Doudou "/>
        <s v="Musée international du Carnaval et du Masque "/>
        <s v="Musée royal de Mariemont "/>
        <s v="Plugstreet 14-18 experience "/>
        <s v="Silex’s "/>
        <s v="TAMAT | Musée de la Tapisserie et des Arts Textiles de la Fédération Wallonie-Bruxelles "/>
        <s v="Bastogne Barracks"/>
        <s v="DHAM | Durbuy History &amp; Art Museum"/>
        <s v="FAM | Famenne &amp; Art Museum"/>
        <s v="Maison des Mégalithes"/>
        <s v="Mudia"/>
        <s v="Musée Archéologique d’Arlon"/>
        <s v="Musée Gaspar"/>
        <s v="Musée Gaumais"/>
        <s v="Piconrue | Musée de la Grande Ardenne - Museum van de Grote Ardennen"/>
        <s v="Archive et Musée de la vie flamande à Bruxelles"/>
        <s v="ARGOS | centre for audiovisual arts"/>
        <s v="Art et marges musée museum"/>
        <s v="Botanique"/>
        <s v="BOZAR | Palais des Beaux-Arts"/>
        <s v="CENTRALE for contemporary art"/>
        <s v="Fondation A Stichting"/>
        <s v="Fondation Boghossian"/>
        <s v="Fondation Brel"/>
        <s v="Fondation CAB"/>
        <s v="KANAL | Centre Pompidou"/>
        <s v="LAB·AN x Hôtel van Eetvelde"/>
        <s v="La Fonderie | Musée bruxellois des industries et du travail"/>
        <s v="La Maison Autrique"/>
        <s v="L’Hôtel de Ville de Bruxelles"/>
        <s v="Maison d’Erasme &amp; Béguinage"/>
        <s v="Maison Hannon"/>
        <s v="MuseumMigration"/>
        <s v="MIM | musée des instruments de musique "/>
        <s v="MoMuse | Musée communal de Molenbeek-Saint-Jean"/>
        <s v="Musée Art &amp; Histoire"/>
        <s v="Musée Belge de la Franc-Maçonnerie"/>
        <s v="musée BELvue"/>
        <s v="Musée bruxellois du Moulin et de l’Alimentation"/>
        <s v="Musée Charlier"/>
        <s v="Musée d’Art Spontané"/>
        <s v="Musée des Égouts"/>
        <s v="Musée de la Bande Dessinée Bruxelles"/>
        <s v="Musée de la Banque nationale de Belgique"/>
        <s v="Musée de la Médecine"/>
        <s v="Musée de la Ville de Bruxelles - Maison du Roi"/>
        <s v="Musée et Jardins van Buuren"/>
        <s v="Musée Horta"/>
        <s v="Musée Juif de Belgique"/>
        <s v="Musée Mode &amp; Dentelle"/>
        <s v="Musée René Magritte &amp; Musée d’Art Abstrait"/>
        <s v="Musée Royal de l’Armée et d’Histoire Militaire"/>
        <s v="Palais du Coudenberg"/>
        <s v="Planétarium de Bruxelles"/>
        <s v="Porte de Hal"/>
        <s v="WIELS | Centre d’Art Contemporain"/>
        <s v="Amsab-Institut d’Histoire Sociale"/>
        <s v="Une maison pleine de souvenirs"/>
        <s v="Ghent University Museum"/>
        <s v="Herbert Foundation"/>
        <s v="La Maison d’Alijn"/>
        <s v="Musée de l’Industrie"/>
        <s v="Musée Mercator"/>
        <s v="Musée d’Audenarde"/>
        <s v="Musée des Beaux-Arts de Gand"/>
        <s v="Musée de Deinze et du Pays de la Lys"/>
        <s v="Musée Dhondt-Dhaenens"/>
        <s v="Musée Dr. Guislain"/>
        <s v="Musée Municipal Gevaert-Minne"/>
        <s v="Musée Municipal Gust De Smet"/>
        <s v="Site provincial du patrimoine d’Ename"/>
        <s v="Site du patrimoine provincial Scheepswerven Baasrode"/>
        <s v="Site du patrimoine provincial Archeocentrum Velzeke"/>
        <s v="Musée Roger Raveel"/>
        <s v="Abbaye Saint-Pierre Gand"/>
        <s v="Musée de la Ville de Gand"/>
        <s v="Musée Municipal d’Alost"/>
      </sharedItems>
    </cacheField>
    <cacheField name="Provincie (location)" numFmtId="0">
      <sharedItems>
        <s v="Namen"/>
        <s v="West-Vlaanderen"/>
        <s v="Antwerpen"/>
        <s v="Waals-Brabant"/>
        <s v="Vlaams-Brabant"/>
        <s v="Limburg"/>
        <s v="Luik"/>
        <s v="Henegouwen"/>
        <s v="Luxemburg"/>
        <s v="Brussel"/>
        <s v="Oost-Vlaanderen"/>
      </sharedItems>
    </cacheField>
    <cacheField name="Alle Thema's " numFmtId="0">
      <sharedItems>
        <s v="Geschiedenis en archeologie"/>
        <s v="Wetenschap en technologie"/>
        <s v="Toegepaste kunst en design, Geschiedenis en archeologie"/>
        <s v="Beeldende kunst"/>
        <s v="Beeldende kunst, Wetenschap en technologie"/>
        <s v="Beeldende kunst, Geschiedenis en archeologie, Wetenschap en technologie"/>
        <s v="Geschiedenis en archeologie, Wetenschap en technologie, Architectuur"/>
        <s v="Beeldende kunst, Toegepaste kunst en design, Geschiedenis en archeologie, Architectuur"/>
        <s v="Beeldende kunst, Toegepaste kunst en design, Geschiedenis en archeologie, Wetenschap en technologie, Architectuur"/>
        <s v="Beeldende kunst, Toegepaste kunst en design, Geschiedenis en archeologie"/>
        <s v="Geschiedenis en archeologie, Wetenschap en technologie, Architectuur, Mode"/>
        <s v="Literatuur"/>
        <s v="Beeldende kunst, Architectuur, Literatuur"/>
        <s v="Beeldende kunst, Geschiedenis en archeologie"/>
        <s v="Toegepaste kunst en design, Geschiedenis en archeologie, Mode"/>
        <s v="Geschiedenis en archeologie, Wetenschap en technologie"/>
        <s v="Beeldende kunst, Architectuur"/>
        <s v="Toegepaste kunst en design, Wetenschap en technologie, Architectuur, Mode"/>
        <s v="Geschiedenis en archeologie, Architectuur"/>
        <s v="Toegepaste kunst en design, Geschiedenis en archeologie, Wetenschap en technologie"/>
        <s v="Geschiedenis en archeologie, Literatuur"/>
        <s v="Beeldende kunst, Geschiedenis en archeologie, Wetenschap en technologie, Architectuur"/>
        <s v="Beeldende kunst, Toegepaste kunst en design"/>
        <s v="Toegepaste kunst en design, Mode"/>
        <s v="Beeldende kunst, Geschiedenis en archeologie, Wetenschap en technologie, Architectuur, Literatuur"/>
        <s v="Beeldende kunst, Geschiedenis en archeologie, Architectuur"/>
        <s v="Beeldende kunst, Toegepaste kunst en design, Geschiedenis en archeologie, Architectuur, Mode, Literatuur"/>
        <s v="Beeldende kunst, Toegepaste kunst en design, Geschiedenis en archeologie, Wetenschap en technologie, Architectuur, Mode, Literatuur"/>
        <s v="Toegepaste kunst en design, Geschiedenis en archeologie, Wetenschap en technologie, Architectuur, Mode"/>
        <s v="Beeldende kunst, Toegepaste kunst en design, Geschiedenis en archeologie, Architectuur, Literatuur"/>
        <s v="Onbepaald"/>
        <s v="Beeldende kunst,Toegepaste kunst en design, Geschiedenis en archeologie, Literatuur"/>
        <s v="Beeldende kunst, Wetenschap en technologie, Architectuur"/>
        <s v="Mode"/>
        <s v="Beeldende kunst, Toegepaste kunst en design, Architectuur"/>
        <s v="Beeldende kunst, Geschiedenis en archeologie, Wetenschap en technologie, Architectuur "/>
        <s v="Geschiedenis en archeologie, Architectuur "/>
        <s v="Geschiedenis en archeologie, Wetenschap en technologie, Architectuur "/>
        <s v="Beeldende kunst, Toegepaste kunst en design "/>
        <s v="Beeldende kunst, Literatuur "/>
        <s v="Beeldende kunst "/>
        <s v="Beeldende kunst, Toegepaste kunst en design, Architectuur "/>
        <s v="Architectuur "/>
        <s v="Geschiedenis en archeologie "/>
        <s v="Beeldende kunst, Geschiedenis en archeologie "/>
        <s v="Geschiedenis en archeologie, Wetenschap en technologie "/>
        <s v="Toegepaste kunst en design, Architectuur "/>
        <s v="Wetenschap en technologie "/>
        <s v="Beeldende kunst, Geschiedenis en archeologie, Architectuur, Literatuur "/>
        <s v="Toegepaste kunst en design, Geschiedenis en archeologie, Wetenschap en technologie "/>
        <s v="Beeldende kunst, Toegepaste kunst en design, Mode "/>
        <s v="Beeldende kunst, Toegepaste kunst en design, Geschiedenis en archeologie, Architectuur, Mode "/>
        <s v="Beeldende kunst, Geschiedenis en archeologie, Literatuur "/>
        <s v="Beeldende kunst, Wetenschap en technologie, Architectuur, Geschiedenis en archeologie, Mode, Toegepaste kunst en design"/>
        <s v="Architectuur"/>
        <s v="Toegepaste kunst en design"/>
        <s v="Beeldende kunst, Geschiedenis en archeologie, Mode"/>
        <s v="Beeldende kunst, Toegepaste kunst en design, Wetenschap en technologie"/>
        <s v="Beeldende kunst, Architectuur "/>
        <s v="Beeldende kunst, Geschiedenis en archeologie, Literatuur"/>
        <s v="Toegepaste kunst en design, Geschiedenis en archeologie, Architectuur"/>
        <s v="Beeldende kunst, Geschiedenis en archeologie, Architectuur "/>
        <s v="Beeldende kunst, Toegepaste kunst en design, Geschiedenis en archeologie, Architectuur "/>
        <s v="Beeldende kunst, Toegepaste kunst en design, Mode"/>
        <s v="Beeldende kunst, Toegepaste kunst en design, Literatuur"/>
        <s v="Beeldende kunst, Toegepaste kunst en design, Geschiedenis en archeologie, Literatuur"/>
      </sharedItems>
    </cacheField>
    <cacheField name="Geschiedenis en archeologie" numFmtId="49">
      <sharedItems>
        <b v="1"/>
        <b v="0"/>
      </sharedItems>
    </cacheField>
    <cacheField name="Wetenschap en technologie" numFmtId="49">
      <sharedItems>
        <b v="0"/>
        <b v="1"/>
      </sharedItems>
    </cacheField>
    <cacheField name="Mode" numFmtId="49">
      <sharedItems>
        <b v="0"/>
        <b v="1"/>
      </sharedItems>
    </cacheField>
    <cacheField name="Literatuur" numFmtId="49">
      <sharedItems>
        <b v="0"/>
        <b v="1"/>
      </sharedItems>
    </cacheField>
    <cacheField name="Architectuur" numFmtId="49">
      <sharedItems>
        <b v="0"/>
        <b v="1"/>
      </sharedItems>
    </cacheField>
    <cacheField name="Beeldende kunst" numFmtId="49">
      <sharedItems>
        <b v="0"/>
        <b v="1"/>
      </sharedItems>
    </cacheField>
    <cacheField name="Toegepaste kunst en design" numFmtId="49">
      <sharedItems>
        <b v="0"/>
        <b v="1"/>
      </sharedItems>
    </cacheField>
    <cacheField name=" " numFmtId="0">
      <sharedItems containsString="0" containsBlank="1">
        <m/>
      </sharedItems>
    </cacheField>
    <cacheField name="Shop" numFmtId="0">
      <sharedItems>
        <b v="1"/>
        <b v="0"/>
      </sharedItems>
    </cacheField>
    <cacheField name="Café" numFmtId="0">
      <sharedItems>
        <b v="0"/>
        <b v="1"/>
      </sharedItems>
    </cacheField>
    <cacheField name="Parking" numFmtId="0">
      <sharedItems>
        <b v="1"/>
        <b v="0"/>
      </sharedItems>
    </cacheField>
    <cacheField name="Restaurant" numFmtId="0">
      <sharedItems>
        <b v="0"/>
        <b v="1"/>
      </sharedItems>
    </cacheField>
    <cacheField name="Algemene naam --&gt; als geen NL naam dan FR" numFmtId="0">
      <sharedItems>
        <s v="Archeologisch museum van de Boven-Maas"/>
        <s v="Citadel van Namen / Bezoekerscentrum Terra Nova en toeristentreintje"/>
        <s v="NAM-IP Computermuseum"/>
        <s v="Ecomuseum van de Viroin"/>
        <s v="Andenne Museum"/>
        <s v="Le Delta"/>
        <s v="Le Pavillon"/>
        <s v="Maison du patrimoine médiéval mosan"/>
        <s v="Archeopark van Rochefort"/>
        <s v="MusAfrica Namen"/>
        <s v="Aardbeimuseum"/>
        <s v="Musée du Malgré-Tout"/>
        <s v="Museum van het Klein Formaat"/>
        <s v="Félicien Rops Museum"/>
        <s v="Museum voor Oude Kunsten"/>
        <s v="Abdijmuseum Ten Duinen"/>
        <s v="Adornesdomein"/>
        <s v="Atlantikwall Raversyde"/>
        <s v="Bakkerijmuseum"/>
        <s v="Belfort van Brugge"/>
        <s v="Belle Epoque Centrum"/>
        <s v="Brugse Vrije"/>
        <s v="Dodengang"/>
        <s v="Eperon d’Or"/>
        <s v="Gezellehuis"/>
        <s v="Groeningemuseum"/>
        <s v="Gruuthusemuseum"/>
        <s v="Het James Ensorhuis"/>
        <s v="Het Lijsternest | Streuvelshuis &amp; Schrijversresidentie"/>
        <s v="HEY Museum"/>
        <s v="Hopmuseum Poperinge"/>
        <s v="In Flanders Fields Museum"/>
        <s v="Kantmuseum Brugge"/>
        <s v="Kasteel van Loppem"/>
        <s v="KOERS | Museum van de Wielersport"/>
        <s v="Museum aan de IJzer"/>
        <s v="Museum Sint-Janshospitaal"/>
        <s v="Mu.ZEE | Kunstmuseum aan Zee"/>
        <s v="Nationaal Tabaksmuseum"/>
        <s v="NAVIGO Visserijmuseum"/>
        <s v="O.L.V.-kerk Museum"/>
        <s v="O.L.V. ter Potterie"/>
        <s v="Passchendaele Museum"/>
        <s v="Paul Delvaux Museum"/>
        <s v="Peiremuzee"/>
        <s v="Permekemuseum"/>
        <s v="Romeins Archeologisch Museum Oudenburg"/>
        <s v="Sint-Janshuismolen"/>
        <s v="Stadhuis Brugge"/>
        <s v="Talbot House"/>
        <s v="Texture | Museum van Vlas en Textiel"/>
        <s v="Uilenspiegelmuseum"/>
        <s v="Volkskundemuseum"/>
        <s v="Westfront Nieuwpoort"/>
        <s v="Yper Museum"/>
        <s v="Zwin Natuur Park"/>
        <s v="Arboretum Kalmtout"/>
        <s v="Begijnhofmuseum Turnhout"/>
        <s v="DIVA | museum voor diamant juwelen en zilver"/>
        <s v="Erfgoedbibliotheek Hendrik Conscience - Nottebohmzaal"/>
        <s v="FOMU | Fotomuseum Antwerpen"/>
        <s v="Fort van Breendonk"/>
        <s v="Gasthuismuseum Geel"/>
        <s v="Het Snijders&amp;Rockoxhuis"/>
        <s v="Jakob Smitsmuseum"/>
        <s v="Karrenmuseum Essen"/>
        <s v="Kazerne Dossin"/>
        <s v="KMSKA | Koninklijk Museum voor Schone Kunsten Antwerpen"/>
        <s v="Kunsthal Extra City"/>
        <s v="Kunsthal Mechelen"/>
        <s v="MAS | Museum aan de Stroom"/>
        <s v="M HKA | Museum van Hedendaagse Kunst Antwerpen"/>
        <s v="Middelheimmuseum"/>
        <s v="MoMu | ModeMuseum Antwerpen"/>
        <s v="Museum De Reede"/>
        <s v="Museum Fort Liezele"/>
        <s v="Museum Hof van Busleyden"/>
        <s v="Museum Mayer van den Bergh"/>
        <s v="Museum Plantin-Moretus"/>
        <s v="Museum Vleeshuis"/>
        <s v="Nationaal Museum van de Speelkaart"/>
        <s v="Red Star Line Museum"/>
        <s v="Rubenshuis"/>
        <s v="Sint-Pauluskerk"/>
        <s v="Speelgoedmuseum"/>
        <s v="Stadsmuseum Lier"/>
        <s v="Stedelijk Museum Hoogstraten"/>
        <s v="Suske en Wiske Museum"/>
        <s v="Taxandriamuseum"/>
        <s v="‘t Grom"/>
        <s v="Het steen, The Antwerp Story"/>
        <s v="Stichting Folon"/>
        <s v="Hergé Museum"/>
        <s v="Musée L"/>
        <s v="Marthe Donas museum"/>
        <s v="Wellington Museum"/>
        <s v="AfricaMuseum"/>
        <s v="Damiaanmuseum"/>
        <s v="Dru!f, huis van de tafeldruif"/>
        <s v="FeliXart Museum"/>
        <s v="Huis van het Belgisch-Franse Verzet"/>
        <s v="KADOC-KU Leuven"/>
        <s v="Kasteel van Gaasbeek"/>
        <s v="M Leuven"/>
        <s v="Museum 44"/>
        <s v="Museum den AST"/>
        <s v="Museum PARCUM, Abdij van Park Leuven"/>
        <s v="Plantentuin Meise"/>
        <s v="Universiteitsbibliotheek KU Leuven"/>
        <s v="Apotheekmuseum"/>
        <s v="C-mine"/>
        <s v="DE MINDERE"/>
        <s v="Duitse Orde Museum (DOMUS) Alden Biesen"/>
        <s v="Gallo-Romeins Museum"/>
        <s v="GlazenHuis"/>
        <s v="Het Stadsmus Hasselt"/>
        <s v="Jenevermuseum"/>
        <s v="LABIOMISTA"/>
        <s v="Liberation Garden Leopoldsburg"/>
        <s v="Modemuseum Hasselt"/>
        <s v="Openluchtmuseum Bokrijk"/>
        <s v="RAM | Regionaal Archeologisch Museum"/>
        <s v="Schatkamer van Sint-Catharina"/>
        <s v="Z33 | Huis voor Actuele Kunst, Design &amp; Architectuur"/>
        <s v="Abdij van Stavelot"/>
        <s v="Aquarium-Museum van Luik"/>
        <s v="Archeoforum van Luik"/>
        <s v="ArtHouse"/>
        <s v="Museum voor Hedendaagse Kunst"/>
        <s v="La Boverie"/>
        <s v="Le Grand Curtius"/>
        <s v="Bos en Watermuseum “P. Noé”"/>
        <s v="Museum van de wastechniek"/>
        <s v="Huis van de Metallurgie en Industrie van Luik"/>
        <s v="Pottenbakkerijmuseum Raeren"/>
        <s v="Museum van het Waalse Leven"/>
        <s v="Musea van de Kuurstad"/>
        <s v="Stadsmuseum Eupen"/>
        <s v="Musea van Verviers"/>
        <s v="Museum Vieille Montagne"/>
        <s v="Préhistomuseum"/>
        <s v="Trinkhall museum"/>
        <s v="WaterHouse"/>
        <s v="Artotheek "/>
        <s v="Belfort van Bergen"/>
        <s v="Museum van Mijnbouw en Duurzame Ontwikkeling"/>
        <s v="Museum voor kunst van de Provincie Henegouwen"/>
        <s v="CAP/museum voor Schone Kunsten van Bergen"/>
        <s v="CAP/het Collectiehuis"/>
        <s v="Centre Daily-Bul &amp; C° "/>
        <s v="Wetenschappelijk Cultuurcentrum - ULB"/>
        <s v="Centre de la Gravure et de l’Image imprimée "/>
        <s v="Centrum voor Innovatie en Design van Grand-Hornu"/>
        <s v="Domein van het Kasteel van Seneffe"/>
        <s v="Gallo-Romeins Museum van Aat"/>
        <s v="Hospitaal Onze-Lieve-Vrouw met de Roos"/>
        <s v="Keramis - Centrum van de Keramiek"/>
        <s v="Het Reuzenhuis"/>
        <s v="Het Huis Van Gogh"/>
        <s v="Le Bois du Cazier "/>
        <s v="MACS | Museum voor Hedendaagse Kunsten Grand-Hornu"/>
        <s v="Maison de l’Imprimerie "/>
        <s v="Maison Losseau "/>
        <s v="Mons Memorial Museum "/>
        <s v="MUMONS "/>
        <s v="Mundaneum "/>
        <s v="Archeologiemuseum"/>
        <s v="Folkloremuseum"/>
        <s v="Fotografiemuseum"/>
        <s v="Lintweverijmuseum van Komen"/>
        <s v="Musée des arts de la Marionnette "/>
        <s v="Museum voor Schone Kunsten van Doornik"/>
        <s v="Museum voor militaire geschiedenis"/>
        <s v="Natuurhistorisch Museum en Vivarium"/>
        <s v="Doudoumuseum"/>
        <s v="Internationaal Museum van het Carnaval en het Masker"/>
        <s v="Koninklijk Museum van Mariemont"/>
        <s v="Plugstreet 14-18 experience "/>
        <s v="Silex’s "/>
        <s v="TAMAT | Museum voor Wandtapijten en Textielkunsten van de Federatie Wallonië-Brussel"/>
        <s v="Bastogne Barracks"/>
        <s v="DHAM | Durbuy History &amp; Art Museum"/>
        <s v="FAM | Famenne &amp; Art Museum"/>
        <s v="Megalietenhuis"/>
        <s v="Mudia"/>
        <s v="Archeologisch Museum van Aarlen"/>
        <s v="Gaspar Museum"/>
        <s v="Het Gaume Museum"/>
        <s v="Museum van de Grote Ardennen"/>
        <s v="AMVB | Archief en Museum voor het Vlaams leven te Brussel"/>
        <s v="ARGOS | centre for audiovisual arts"/>
        <s v="Art et marges musée museum"/>
        <s v="Autoworld Brussels"/>
        <s v="Botanique"/>
        <s v="Paleis voor Schone Kunsten"/>
        <s v="CENTRALE for contemporary art"/>
        <s v="CIVA"/>
        <s v="Design Museum Brussels"/>
        <s v="Fondation A Stichting"/>
        <s v="Villa Empain - Stichting Boghossian"/>
        <s v="Brel Stichting"/>
        <s v="Fondation CAB"/>
        <s v="GardeRobe MannekenPis"/>
        <s v="iMAL"/>
        <s v="KANAL | Centre Pompidou"/>
        <s v="KBR museum"/>
        <s v="LAB·AN x Hotel van Eetvelde"/>
        <s v="Brussels Museum voor Arbeid en Industrie"/>
        <s v="Het Autrique Huis"/>
        <s v="Het Stadhuis van Brussel"/>
        <s v="Erasmushuis &amp; Begijnhof"/>
        <s v="Maison Hannon"/>
        <s v="MigratieMuseum"/>
        <s v="muziekinstrumentenmuseum"/>
        <s v="Gemeentelijk Museum van Sint-Jans-Molenbeek"/>
        <s v="Museum Kunst &amp; Geschiedenis"/>
        <s v="Belgisch Museum van de Vrijmetselarij"/>
        <s v="BELvue museum"/>
        <s v="Brussels Museum van de Molen en de Voeding"/>
        <s v="Charlier Museum"/>
        <s v="Museum voor Spontane Kunst"/>
        <s v="Riolenmuseum"/>
        <s v="Stripmuseum Brussel"/>
        <s v="Museum van de Nationale Bank van België"/>
        <s v="Geneeskundemuseum"/>
        <s v="Museum van de Stad Brussel - Broodhuis"/>
        <s v="Museum en Tuinen van Buuren"/>
        <s v="Hortamuseum"/>
        <s v="Joods Museum van België"/>
        <s v="Mode &amp; Kant Museum"/>
        <s v="René Magritte Museum &amp; Museum voor abstracte kuns"/>
        <s v="Koninklijk Museum van het Leger en de Krijgsgeschiedenis"/>
        <s v="Coudenbergpaleis"/>
        <s v="Planetarium Brussel"/>
        <s v="Hallepoort"/>
        <s v="Centrum voor Hedendaagse Kunst"/>
        <s v="Wittockiana"/>
        <s v="Amsab-Instituut voor Sociale Geschiedenis"/>
        <s v="Curiosum | Een huis vol herinnering"/>
        <s v="Design Museum Gent"/>
        <s v="GUM | Gents Universiteitsmuseum"/>
        <s v="Herbert Foundation"/>
        <s v="Huis van Alijn"/>
        <s v="Industriemuseum"/>
        <s v="Mercatormuseum"/>
        <s v="MOU | Museum Oudenaarde"/>
        <s v="MSK | Museum voor Schone Kunsten Gent"/>
        <s v="mudel | Museum van Deinze en de Leiestreek"/>
        <s v="Museum Dhondt-Dhaenens"/>
        <s v="Museum Dr. Guislain"/>
        <s v="Gemeentelijk museum Gevaert-Minne"/>
        <s v="Gemeentelijk museum Gust De Smet"/>
        <s v="Provinciale Erfgoedsite Ename"/>
        <s v="Provinciale Erfgoedsite Scheepswerven Baasrode"/>
        <s v="Provinciale Erfgoedsite Archeocentrum Velzeke"/>
        <s v="Roger Raveelmuseum"/>
        <s v="Sint-Pietersabdij Gent"/>
        <s v="S.M.A.K."/>
        <s v="STAM | Stadsmuseum Gent"/>
        <s v="‘t Gasthuys | Stedelijk Museum Aalst"/>
      </sharedItems>
    </cacheField>
    <cacheField name="Prijs" numFmtId="165">
      <sharedItems containsSemiMixedTypes="0" containsString="0" containsNumber="1">
        <n v="3.5"/>
        <n v="6.0"/>
        <n v="8.0"/>
        <n v="4.0"/>
        <n v="10.0"/>
        <n v="5.0"/>
        <n v="0.0"/>
        <n v="15.0"/>
        <n v="3.0"/>
        <n v="13.0"/>
        <n v="7.0"/>
        <n v="12.0"/>
        <n v="9.0"/>
        <n v="9.5"/>
        <n v="4.5"/>
        <n v="8.5"/>
        <n v="20.0"/>
        <n v="14.0"/>
        <n v="17.5"/>
        <n v="2.0"/>
        <n v="16.0"/>
        <n v="11.0"/>
        <n v="7.5"/>
        <n v="15.5"/>
        <n v="18.0"/>
        <n v="22.0"/>
      </sharedItems>
    </cacheField>
    <cacheField name="Tijdelijk gesloten " numFmtId="0">
      <sharedItems>
        <b v="0"/>
        <b v="1"/>
      </sharedItems>
    </cacheField>
    <cacheField name="Tijdelijke tentoonstelling(en)" numFmtId="0">
      <sharedItems>
        <b v="0"/>
        <b v="1"/>
      </sharedItems>
    </cacheField>
    <cacheField name="Prijs incl. tijdelijke tentoonstelling" numFmtId="0">
      <sharedItems containsString="0" containsBlank="1" containsNumber="1">
        <m/>
        <n v="4.0"/>
        <n v="5.0"/>
        <n v="10.0"/>
        <n v="6.0"/>
        <n v="8.0"/>
        <n v="13.0"/>
        <n v="12.0"/>
        <n v="9.5"/>
        <n v="15.0"/>
        <n v="4.5"/>
        <n v="0.0"/>
        <n v="14.0"/>
        <n v="20.0"/>
        <n v="7.0"/>
        <n v="2.0"/>
        <n v="19.0"/>
        <n v="9.0"/>
        <n v="16.0"/>
        <n v="18.0"/>
        <n v="11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E1:Q29" sheet="Brussel"/>
  </cacheSource>
  <cacheFields>
    <cacheField name="History &amp; Archaeology" numFmtId="0">
      <sharedItems containsBlank="1">
        <s v="AMVB | Archief en Museum voor het Vlaams leven te Brussel"/>
        <s v="Paleis voor Schone Kunsten"/>
        <s v="Brel Stichting"/>
        <s v="GardeRobe MannekenPis"/>
        <s v="KBR museum"/>
        <s v="LAB·AN x Hotel van Eetvelde"/>
        <s v="Brussels Museum voor Arbeid en Industrie"/>
        <s v="Het Stadhuis van Brussel"/>
        <s v="Erasmushuis &amp; Begijnhof"/>
        <s v="MigratieMuseum"/>
        <s v="muziekinstrumentenmuseum"/>
        <s v="Gemeentelijk Museum van Sint-Jans-Molenbeek"/>
        <s v="Museum Kunst &amp; Geschiedenis"/>
        <s v="Belgisch Museum van de Vrijmetselarij"/>
        <s v="BELvue museum"/>
        <s v="Brussels Museum van de Molen en de Voeding"/>
        <s v="Riolenmuseum"/>
        <s v="Museum van de Nationale Bank van België"/>
        <s v="Geneeskundemuseum"/>
        <s v="Museum van de Stad Brussel - Broodhuis"/>
        <s v="Museum en Tuinen van Buuren"/>
        <s v="Joods Museum van België"/>
        <s v="Koninklijk Museum van het Leger en de Krijgsgeschiedenis"/>
        <s v="Coudenbergpaleis"/>
        <s v="Hallepoort"/>
        <m/>
      </sharedItems>
    </cacheField>
    <cacheField name="Prijs H &amp; A" numFmtId="165">
      <sharedItems containsString="0" containsBlank="1" containsNumber="1" containsInteger="1">
        <n v="6.0"/>
        <n v="8.0"/>
        <n v="14.0"/>
        <n v="5.0"/>
        <n v="11.0"/>
        <n v="12.0"/>
        <n v="15.0"/>
        <n v="10.0"/>
        <n v="0.0"/>
        <n v="18.0"/>
        <n v="7.0"/>
        <m/>
      </sharedItems>
    </cacheField>
    <cacheField name="Science &amp; Technology" numFmtId="0">
      <sharedItems containsBlank="1">
        <s v="Autoworld Brussels"/>
        <s v="Paleis voor Schone Kunsten"/>
        <s v="iMAL"/>
        <s v="Riolenmuseum"/>
        <s v="Museum van de Nationale Bank van België"/>
        <s v="Geneeskundemuseum"/>
        <s v="Koninklijk Museum van het Leger en de Krijgsgeschiedenis"/>
        <s v="Planetarium Brussel"/>
        <m/>
      </sharedItems>
    </cacheField>
    <cacheField name="Prijs S &amp; T" numFmtId="165">
      <sharedItems containsString="0" containsBlank="1" containsNumber="1" containsInteger="1">
        <n v="15.0"/>
        <n v="8.0"/>
        <n v="10.0"/>
        <n v="0.0"/>
        <n v="5.0"/>
        <n v="12.0"/>
        <m/>
      </sharedItems>
    </cacheField>
    <cacheField name="Fashion" numFmtId="0">
      <sharedItems containsBlank="1">
        <s v="Paleis voor Schone Kunsten"/>
        <s v="GardeRobe MannekenPis"/>
        <s v="Mode &amp; Kant Museum"/>
        <m/>
      </sharedItems>
    </cacheField>
    <cacheField name="Prijs F" numFmtId="165">
      <sharedItems containsString="0" containsBlank="1" containsNumber="1" containsInteger="1">
        <n v="8.0"/>
        <n v="5.0"/>
        <n v="10.0"/>
        <m/>
      </sharedItems>
    </cacheField>
    <cacheField name="Literature" numFmtId="0">
      <sharedItems containsBlank="1">
        <s v="AMVB | Archief en Museum voor het Vlaams leven te Brussel"/>
        <s v="KBR museum"/>
        <s v="Erasmushuis &amp; Begijnhof"/>
        <s v="Wittockiana"/>
        <m/>
      </sharedItems>
    </cacheField>
    <cacheField name="Prijs L" numFmtId="165">
      <sharedItems containsString="0" containsBlank="1" containsNumber="1" containsInteger="1">
        <n v="6.0"/>
        <n v="11.0"/>
        <n v="5.0"/>
        <n v="7.0"/>
        <m/>
      </sharedItems>
    </cacheField>
    <cacheField name="Architecture" numFmtId="0">
      <sharedItems containsBlank="1">
        <s v="AMVB | Archief en Museum voor het Vlaams leven te Brussel"/>
        <s v="Paleis voor Schone Kunsten"/>
        <s v="CIVA"/>
        <s v="KANAL | Centre Pompidou"/>
        <s v="LAB·AN x Hotel van Eetvelde"/>
        <s v="Het Autrique Huis"/>
        <s v="Het Stadhuis van Brussel"/>
        <s v="Erasmushuis &amp; Begijnhof"/>
        <s v="Maison Hannon"/>
        <s v="muziekinstrumentenmuseum"/>
        <s v="Belgisch Museum van de Vrijmetselarij"/>
        <s v="Museum van de Stad Brussel - Broodhuis"/>
        <s v="Hortamuseum"/>
        <s v="Koninklijk Museum van het Leger en de Krijgsgeschiedenis"/>
        <s v="Hallepoort"/>
        <m/>
      </sharedItems>
    </cacheField>
    <cacheField name="Prijs A" numFmtId="165">
      <sharedItems containsString="0" containsBlank="1" containsNumber="1" containsInteger="1">
        <n v="6.0"/>
        <n v="8.0"/>
        <n v="10.0"/>
        <n v="0.0"/>
        <n v="12.0"/>
        <n v="9.0"/>
        <n v="15.0"/>
        <n v="5.0"/>
        <n v="14.0"/>
        <n v="7.0"/>
        <m/>
      </sharedItems>
    </cacheField>
    <cacheField name="Visual Arts" numFmtId="0">
      <sharedItems>
        <s v="AMVB | Archief en Museum voor het Vlaams leven te Brussel"/>
        <s v="ARGOS | centre for audiovisual arts"/>
        <s v="Art et marges musée museum"/>
        <s v="Botanique"/>
        <s v="Paleis voor Schone Kunsten"/>
        <s v="CENTRALE for contemporary art"/>
        <s v="Fondation A Stichting"/>
        <s v="Villa Empain - Stichting Boghossian"/>
        <s v="GardeRobe MannekenPis"/>
        <s v="iMAL"/>
        <s v="KANAL | Centre Pompidou"/>
        <s v="KBR museum"/>
        <s v="Het Stadhuis van Brussel"/>
        <s v="Erasmushuis &amp; Begijnhof"/>
        <s v="Maison Hannon"/>
        <s v="MigratieMuseum"/>
        <s v="Belgisch Museum van de Vrijmetselarij"/>
        <s v="Charlier Museum"/>
        <s v="Museum voor Spontane Kunst"/>
        <s v="Stripmuseum Brussel"/>
        <s v="Museum van de Stad Brussel - Broodhuis"/>
        <s v="Museum en Tuinen van Buuren"/>
        <s v="Joods Museum van België"/>
        <s v="Mode &amp; Kant Museum"/>
        <s v="René Magritte Museum &amp; Museum voor abstracte kuns"/>
        <s v="Koninklijk Museum van het Leger en de Krijgsgeschiedenis"/>
        <s v="Centrum voor Hedendaagse Kunst"/>
        <s v="Wittockiana"/>
      </sharedItems>
    </cacheField>
    <cacheField name="Prijs VA" numFmtId="165">
      <sharedItems containsSemiMixedTypes="0" containsString="0" containsNumber="1" containsInteger="1">
        <n v="6.0"/>
        <n v="10.0"/>
        <n v="0.0"/>
        <n v="8.0"/>
        <n v="7.0"/>
        <n v="12.0"/>
        <n v="5.0"/>
        <n v="11.0"/>
        <n v="15.0"/>
        <n v="14.0"/>
        <n v="9.0"/>
        <n v="4.0"/>
        <n v="18.0"/>
      </sharedItems>
    </cacheField>
    <cacheField name="Applied arts &amp; design" numFmtId="0">
      <sharedItems containsBlank="1">
        <s v="AMVB | Archief en Museum voor het Vlaams leven te Brussel"/>
        <s v="Art et marges musée museum"/>
        <s v="Paleis voor Schone Kunsten"/>
        <s v="Design Museum Brussels"/>
        <s v="Fondation CAB"/>
        <s v="iMAL"/>
        <s v="LAB·AN x Hotel van Eetvelde"/>
        <s v="Maison Hannon"/>
        <s v="Belgisch Museum van de Vrijmetselarij"/>
        <s v="Stripmuseum Brussel"/>
        <s v="Museum en Tuinen van Buuren"/>
        <s v="Mode &amp; Kant Museum"/>
        <s v="Wittockiana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Draaitabel 9" cacheId="0" dataCaption="" rowGrandTotals="0" colGrandTotals="0" compact="0" compactData="0">
  <location ref="A1:M8" firstHeaderRow="0" firstDataRow="2" firstDataCol="1"/>
  <pivotFields>
    <pivotField name="Musea - Nederlandse benaming (Title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t="default"/>
      </items>
    </pivotField>
    <pivotField name="Musea - Franse benaming (Alternative Title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t="default"/>
      </items>
    </pivotField>
    <pivotField name="Provincie (location)" axis="axisCol" compact="0" outline="0" multipleItemSelectionAllowed="1" showAll="0" sortType="ascending">
      <items>
        <item x="2"/>
        <item x="9"/>
        <item x="7"/>
        <item x="5"/>
        <item x="6"/>
        <item x="8"/>
        <item x="0"/>
        <item x="10"/>
        <item x="4"/>
        <item x="3"/>
        <item x="1"/>
        <item t="default"/>
      </items>
    </pivotField>
    <pivotField name="Alle Thema's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name="Geschiedenis en archeologie" axis="axisRow" dataField="1" compact="0" numFmtId="49" outline="0" multipleItemSelectionAllowed="1" showAll="0" sortType="ascending">
      <items>
        <item x="1"/>
        <item x="0"/>
        <item t="default"/>
      </items>
    </pivotField>
    <pivotField name="Wetenschap en technologie" axis="axisRow" compact="0" numFmtId="49" outline="0" multipleItemSelectionAllowed="1" showAll="0" sortType="ascending">
      <items>
        <item x="0"/>
        <item x="1"/>
        <item t="default"/>
      </items>
    </pivotField>
    <pivotField name="Mode" compact="0" numFmtId="49" outline="0" multipleItemSelectionAllowed="1" showAll="0">
      <items>
        <item x="0"/>
        <item x="1"/>
        <item t="default"/>
      </items>
    </pivotField>
    <pivotField name="Literatuur" compact="0" numFmtId="49" outline="0" multipleItemSelectionAllowed="1" showAll="0">
      <items>
        <item x="0"/>
        <item x="1"/>
        <item t="default"/>
      </items>
    </pivotField>
    <pivotField name="Architectuur" compact="0" numFmtId="49" outline="0" multipleItemSelectionAllowed="1" showAll="0">
      <items>
        <item x="0"/>
        <item x="1"/>
        <item t="default"/>
      </items>
    </pivotField>
    <pivotField name="Beeldende kunst" compact="0" numFmtId="49" outline="0" multipleItemSelectionAllowed="1" showAll="0">
      <items>
        <item x="0"/>
        <item x="1"/>
        <item t="default"/>
      </items>
    </pivotField>
    <pivotField name="Toegepaste kunst en design" compact="0" numFmtId="49" outline="0" multipleItemSelectionAllowed="1" showAll="0">
      <items>
        <item x="0"/>
        <item x="1"/>
        <item t="default"/>
      </items>
    </pivotField>
    <pivotField name=" " compact="0" outline="0" multipleItemSelectionAllowed="1" showAll="0">
      <items>
        <item x="0"/>
        <item t="default"/>
      </items>
    </pivotField>
    <pivotField name="Shop" compact="0" outline="0" multipleItemSelectionAllowed="1" showAll="0">
      <items>
        <item x="0"/>
        <item x="1"/>
        <item t="default"/>
      </items>
    </pivotField>
    <pivotField name="Café" compact="0" outline="0" multipleItemSelectionAllowed="1" showAll="0">
      <items>
        <item x="0"/>
        <item x="1"/>
        <item t="default"/>
      </items>
    </pivotField>
    <pivotField name="Parking" compact="0" outline="0" multipleItemSelectionAllowed="1" showAll="0">
      <items>
        <item x="0"/>
        <item x="1"/>
        <item t="default"/>
      </items>
    </pivotField>
    <pivotField name="Restaurant" compact="0" outline="0" multipleItemSelectionAllowed="1" showAll="0">
      <items>
        <item x="0"/>
        <item x="1"/>
        <item t="default"/>
      </items>
    </pivotField>
    <pivotField name="Algemene naam --&gt; als geen NL naam dan F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t="default"/>
      </items>
    </pivotField>
    <pivotField name="Prij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ijdelijk gesloten " compact="0" outline="0" multipleItemSelectionAllowed="1" showAll="0">
      <items>
        <item x="0"/>
        <item x="1"/>
        <item t="default"/>
      </items>
    </pivotField>
    <pivotField name="Tijdelijke tentoonstelling(en)" compact="0" outline="0" multipleItemSelectionAllowed="1" showAll="0">
      <items>
        <item x="0"/>
        <item x="1"/>
        <item t="default"/>
      </items>
    </pivotField>
    <pivotField name="Prijs incl. tijdelijke tentoonstell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</pivotFields>
  <rowFields>
    <field x="4"/>
    <field x="5"/>
  </rowFields>
  <colFields>
    <field x="2"/>
  </colFields>
  <dataFields>
    <dataField name="COUNTA of Geschiedenis en archeologie" fld="4" subtotal="count" baseField="0"/>
  </dataFields>
</pivotTableDefinition>
</file>

<file path=xl/pivotTables/pivotTable2.xml><?xml version="1.0" encoding="utf-8"?>
<pivotTableDefinition xmlns="http://schemas.openxmlformats.org/spreadsheetml/2006/main" name="Draaitabel 6" cacheId="0" dataCaption="" colGrandTotals="0" compact="0" compactData="0">
  <location ref="A1:C14" firstHeaderRow="0" firstDataRow="1" firstDataCol="1"/>
  <pivotFields>
    <pivotField name="Musea - Nederlandse benaming (Title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t="default"/>
      </items>
    </pivotField>
    <pivotField name="Musea - Franse benaming (Alternative Title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t="default"/>
      </items>
    </pivotField>
    <pivotField name="Provincie (location)" axis="axisRow" compact="0" outline="0" multipleItemSelectionAllowed="1" showAll="0" sortType="descending">
      <items>
        <item x="1"/>
        <item x="3"/>
        <item x="4"/>
        <item x="10"/>
        <item x="0"/>
        <item x="8"/>
        <item x="6"/>
        <item x="5"/>
        <item x="7"/>
        <item x="9"/>
        <item x="2"/>
        <item t="default"/>
      </items>
    </pivotField>
    <pivotField name="Alle Thema's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name="Geschiedenis en archeologie" axis="axisCol" dataField="1" compact="0" numFmtId="49" outline="0" multipleItemSelectionAllowed="1" showAll="0" sortType="ascending">
      <items>
        <item x="1"/>
        <item x="0"/>
        <item t="default"/>
      </items>
    </pivotField>
    <pivotField name="Wetenschap en technologie" compact="0" numFmtId="49" outline="0" multipleItemSelectionAllowed="1" showAll="0">
      <items>
        <item x="0"/>
        <item x="1"/>
        <item t="default"/>
      </items>
    </pivotField>
    <pivotField name="Mode" compact="0" numFmtId="49" outline="0" multipleItemSelectionAllowed="1" showAll="0">
      <items>
        <item x="0"/>
        <item x="1"/>
        <item t="default"/>
      </items>
    </pivotField>
    <pivotField name="Literatuur" compact="0" numFmtId="49" outline="0" multipleItemSelectionAllowed="1" showAll="0">
      <items>
        <item x="0"/>
        <item x="1"/>
        <item t="default"/>
      </items>
    </pivotField>
    <pivotField name="Architectuur" compact="0" numFmtId="49" outline="0" multipleItemSelectionAllowed="1" showAll="0">
      <items>
        <item x="0"/>
        <item x="1"/>
        <item t="default"/>
      </items>
    </pivotField>
    <pivotField name="Beeldende kunst" compact="0" numFmtId="49" outline="0" multipleItemSelectionAllowed="1" showAll="0">
      <items>
        <item x="0"/>
        <item x="1"/>
        <item t="default"/>
      </items>
    </pivotField>
    <pivotField name="Toegepaste kunst en design" compact="0" numFmtId="49" outline="0" multipleItemSelectionAllowed="1" showAll="0">
      <items>
        <item x="0"/>
        <item x="1"/>
        <item t="default"/>
      </items>
    </pivotField>
    <pivotField name=" " compact="0" outline="0" multipleItemSelectionAllowed="1" showAll="0">
      <items>
        <item x="0"/>
        <item t="default"/>
      </items>
    </pivotField>
    <pivotField name="Shop" compact="0" outline="0" multipleItemSelectionAllowed="1" showAll="0">
      <items>
        <item x="0"/>
        <item x="1"/>
        <item t="default"/>
      </items>
    </pivotField>
    <pivotField name="Café" compact="0" outline="0" multipleItemSelectionAllowed="1" showAll="0">
      <items>
        <item x="0"/>
        <item x="1"/>
        <item t="default"/>
      </items>
    </pivotField>
    <pivotField name="Parking" compact="0" outline="0" multipleItemSelectionAllowed="1" showAll="0">
      <items>
        <item x="0"/>
        <item x="1"/>
        <item t="default"/>
      </items>
    </pivotField>
    <pivotField name="Restaurant" compact="0" outline="0" multipleItemSelectionAllowed="1" showAll="0">
      <items>
        <item x="0"/>
        <item x="1"/>
        <item t="default"/>
      </items>
    </pivotField>
    <pivotField name="Algemene naam --&gt; als geen NL naam dan F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t="default"/>
      </items>
    </pivotField>
    <pivotField name="Prij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ijdelijk gesloten " compact="0" outline="0" multipleItemSelectionAllowed="1" showAll="0">
      <items>
        <item x="0"/>
        <item x="1"/>
        <item t="default"/>
      </items>
    </pivotField>
    <pivotField name="Tijdelijke tentoonstelling(en)" compact="0" outline="0" multipleItemSelectionAllowed="1" showAll="0">
      <items>
        <item x="0"/>
        <item x="1"/>
        <item t="default"/>
      </items>
    </pivotField>
    <pivotField name="Prijs incl. tijdelijke tentoonstell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</pivotFields>
  <rowFields>
    <field x="2"/>
  </rowFields>
  <colFields>
    <field x="4"/>
  </colFields>
  <dataFields>
    <dataField name="COUNTA of Geschiedenis en archeologie" fld="4" subtotal="count" baseField="0"/>
  </dataFields>
</pivotTableDefinition>
</file>

<file path=xl/pivotTables/pivotTable3.xml><?xml version="1.0" encoding="utf-8"?>
<pivotTableDefinition xmlns="http://schemas.openxmlformats.org/spreadsheetml/2006/main" name="Draaitabel 6 2" cacheId="0" dataCaption="" colGrandTotals="0" compact="0" compactData="0">
  <location ref="E1:G14" firstHeaderRow="0" firstDataRow="1" firstDataCol="1"/>
  <pivotFields>
    <pivotField name="Musea - Nederlandse benaming (Title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t="default"/>
      </items>
    </pivotField>
    <pivotField name="Musea - Franse benaming (Alternative Title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t="default"/>
      </items>
    </pivotField>
    <pivotField name="Provincie (location)" axis="axisRow" compact="0" outline="0" multipleItemSelectionAllowed="1" showAll="0" sortType="ascending">
      <items>
        <item x="2"/>
        <item x="9"/>
        <item x="7"/>
        <item x="5"/>
        <item x="6"/>
        <item x="8"/>
        <item x="0"/>
        <item x="10"/>
        <item x="4"/>
        <item x="3"/>
        <item x="1"/>
        <item t="default"/>
      </items>
    </pivotField>
    <pivotField name="Alle Thema's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name="Geschiedenis en archeologie" compact="0" numFmtId="49" outline="0" multipleItemSelectionAllowed="1" showAll="0">
      <items>
        <item x="0"/>
        <item x="1"/>
        <item t="default"/>
      </items>
    </pivotField>
    <pivotField name="Wetenschap en technologie" compact="0" numFmtId="49" outline="0" multipleItemSelectionAllowed="1" showAll="0">
      <items>
        <item x="0"/>
        <item x="1"/>
        <item t="default"/>
      </items>
    </pivotField>
    <pivotField name="Mode" compact="0" numFmtId="49" outline="0" multipleItemSelectionAllowed="1" showAll="0">
      <items>
        <item x="0"/>
        <item x="1"/>
        <item t="default"/>
      </items>
    </pivotField>
    <pivotField name="Literatuur" compact="0" numFmtId="49" outline="0" multipleItemSelectionAllowed="1" showAll="0">
      <items>
        <item x="0"/>
        <item x="1"/>
        <item t="default"/>
      </items>
    </pivotField>
    <pivotField name="Architectuur" compact="0" numFmtId="49" outline="0" multipleItemSelectionAllowed="1" showAll="0">
      <items>
        <item x="0"/>
        <item x="1"/>
        <item t="default"/>
      </items>
    </pivotField>
    <pivotField name="Beeldende kunst" compact="0" numFmtId="49" outline="0" multipleItemSelectionAllowed="1" showAll="0">
      <items>
        <item x="0"/>
        <item x="1"/>
        <item t="default"/>
      </items>
    </pivotField>
    <pivotField name="Toegepaste kunst en design" compact="0" numFmtId="49" outline="0" multipleItemSelectionAllowed="1" showAll="0">
      <items>
        <item x="0"/>
        <item x="1"/>
        <item t="default"/>
      </items>
    </pivotField>
    <pivotField name=" " compact="0" outline="0" multipleItemSelectionAllowed="1" showAll="0">
      <items>
        <item x="0"/>
        <item t="default"/>
      </items>
    </pivotField>
    <pivotField name="Shop" axis="axisCol" compact="0" outline="0" multipleItemSelectionAllowed="1" showAll="0" sortType="ascending">
      <items>
        <item x="1"/>
        <item x="0"/>
        <item t="default"/>
      </items>
    </pivotField>
    <pivotField name="Café" compact="0" outline="0" multipleItemSelectionAllowed="1" showAll="0">
      <items>
        <item x="0"/>
        <item x="1"/>
        <item t="default"/>
      </items>
    </pivotField>
    <pivotField name="Parking" compact="0" outline="0" multipleItemSelectionAllowed="1" showAll="0">
      <items>
        <item x="0"/>
        <item x="1"/>
        <item t="default"/>
      </items>
    </pivotField>
    <pivotField name="Restaurant" compact="0" outline="0" multipleItemSelectionAllowed="1" showAll="0">
      <items>
        <item x="0"/>
        <item x="1"/>
        <item t="default"/>
      </items>
    </pivotField>
    <pivotField name="Algemene naam --&gt; als geen NL naam dan F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t="default"/>
      </items>
    </pivotField>
    <pivotField name="Prij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ijdelijk gesloten " compact="0" outline="0" multipleItemSelectionAllowed="1" showAll="0">
      <items>
        <item x="0"/>
        <item x="1"/>
        <item t="default"/>
      </items>
    </pivotField>
    <pivotField name="Tijdelijke tentoonstelling(en)" compact="0" outline="0" multipleItemSelectionAllowed="1" showAll="0">
      <items>
        <item x="0"/>
        <item x="1"/>
        <item t="default"/>
      </items>
    </pivotField>
    <pivotField name="Prijs incl. tijdelijke tentoonstell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</pivotFields>
  <rowFields>
    <field x="2"/>
  </rowFields>
  <colFields>
    <field x="12"/>
  </colFields>
  <dataFields>
    <dataField name="COUNTA of Algemene naam --&gt; als geen NL naam dan FR" fld="16" subtotal="count" baseField="0"/>
  </dataFields>
</pivotTableDefinition>
</file>

<file path=xl/pivotTables/pivotTable4.xml><?xml version="1.0" encoding="utf-8"?>
<pivotTableDefinition xmlns="http://schemas.openxmlformats.org/spreadsheetml/2006/main" name="Draaitabel 6 3" cacheId="0" dataCaption="" compact="0" compactData="0">
  <location ref="I1:J13" firstHeaderRow="0" firstDataRow="1" firstDataCol="0"/>
  <pivotFields>
    <pivotField name="Musea - Nederlandse benaming (Title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t="default"/>
      </items>
    </pivotField>
    <pivotField name="Musea - Franse benaming (Alternative Title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t="default"/>
      </items>
    </pivotField>
    <pivotField name="Provincie (location)" axis="axisRow" compact="0" outline="0" multipleItemSelectionAllowed="1" showAll="0" sortType="ascending">
      <items>
        <item x="2"/>
        <item x="9"/>
        <item x="7"/>
        <item x="5"/>
        <item x="6"/>
        <item x="8"/>
        <item x="0"/>
        <item x="10"/>
        <item x="4"/>
        <item x="3"/>
        <item x="1"/>
        <item t="default"/>
      </items>
    </pivotField>
    <pivotField name="Alle Thema's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name="Geschiedenis en archeologie" compact="0" numFmtId="49" outline="0" multipleItemSelectionAllowed="1" showAll="0">
      <items>
        <item x="0"/>
        <item x="1"/>
        <item t="default"/>
      </items>
    </pivotField>
    <pivotField name="Wetenschap en technologie" compact="0" numFmtId="49" outline="0" multipleItemSelectionAllowed="1" showAll="0">
      <items>
        <item x="0"/>
        <item x="1"/>
        <item t="default"/>
      </items>
    </pivotField>
    <pivotField name="Mode" compact="0" numFmtId="49" outline="0" multipleItemSelectionAllowed="1" showAll="0">
      <items>
        <item x="0"/>
        <item x="1"/>
        <item t="default"/>
      </items>
    </pivotField>
    <pivotField name="Literatuur" compact="0" numFmtId="49" outline="0" multipleItemSelectionAllowed="1" showAll="0">
      <items>
        <item x="0"/>
        <item x="1"/>
        <item t="default"/>
      </items>
    </pivotField>
    <pivotField name="Architectuur" compact="0" numFmtId="49" outline="0" multipleItemSelectionAllowed="1" showAll="0">
      <items>
        <item x="0"/>
        <item x="1"/>
        <item t="default"/>
      </items>
    </pivotField>
    <pivotField name="Beeldende kunst" compact="0" numFmtId="49" outline="0" multipleItemSelectionAllowed="1" showAll="0">
      <items>
        <item x="0"/>
        <item x="1"/>
        <item t="default"/>
      </items>
    </pivotField>
    <pivotField name="Toegepaste kunst en design" compact="0" numFmtId="49" outline="0" multipleItemSelectionAllowed="1" showAll="0">
      <items>
        <item x="0"/>
        <item x="1"/>
        <item t="default"/>
      </items>
    </pivotField>
    <pivotField name=" " compact="0" outline="0" multipleItemSelectionAllowed="1" showAll="0">
      <items>
        <item x="0"/>
        <item t="default"/>
      </items>
    </pivotField>
    <pivotField name="Shop" compact="0" outline="0" multipleItemSelectionAllowed="1" showAll="0">
      <items>
        <item x="0"/>
        <item x="1"/>
        <item t="default"/>
      </items>
    </pivotField>
    <pivotField name="Café" dataField="1" compact="0" outline="0" multipleItemSelectionAllowed="1" showAll="0">
      <items>
        <item x="0"/>
        <item x="1"/>
        <item t="default"/>
      </items>
    </pivotField>
    <pivotField name="Parking" compact="0" outline="0" multipleItemSelectionAllowed="1" showAll="0">
      <items>
        <item x="0"/>
        <item x="1"/>
        <item t="default"/>
      </items>
    </pivotField>
    <pivotField name="Restaurant" compact="0" outline="0" multipleItemSelectionAllowed="1" showAll="0">
      <items>
        <item x="0"/>
        <item x="1"/>
        <item t="default"/>
      </items>
    </pivotField>
    <pivotField name="Algemene naam --&gt; als geen NL naam dan F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t="default"/>
      </items>
    </pivotField>
    <pivotField name="Prij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ijdelijk gesloten " compact="0" outline="0" multipleItemSelectionAllowed="1" showAll="0">
      <items>
        <item x="0"/>
        <item x="1"/>
        <item t="default"/>
      </items>
    </pivotField>
    <pivotField name="Tijdelijke tentoonstelling(en)" compact="0" outline="0" multipleItemSelectionAllowed="1" showAll="0">
      <items>
        <item x="0"/>
        <item x="1"/>
        <item t="default"/>
      </items>
    </pivotField>
    <pivotField name="Prijs incl. tijdelijke tentoonstell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</pivotFields>
  <rowFields>
    <field x="2"/>
  </rowFields>
  <dataFields>
    <dataField name="COUNTA of Café" fld="13" subtotal="count" baseField="0"/>
  </dataFields>
</pivotTableDefinition>
</file>

<file path=xl/pivotTables/pivotTable5.xml><?xml version="1.0" encoding="utf-8"?>
<pivotTableDefinition xmlns="http://schemas.openxmlformats.org/spreadsheetml/2006/main" name="Draaitabel 6 4" cacheId="0" dataCaption="" compact="0" compactData="0">
  <location ref="L1:P10" firstHeaderRow="0" firstDataRow="0" firstDataCol="0"/>
  <pivotFields>
    <pivotField name="Musea - Nederlandse benaming (Title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t="default"/>
      </items>
    </pivotField>
    <pivotField name="Musea - Franse benaming (Alternative Title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t="default"/>
      </items>
    </pivotField>
    <pivotField name="Provincie (location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Alle Thema's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name="Geschiedenis en archeologie" compact="0" numFmtId="49" outline="0" multipleItemSelectionAllowed="1" showAll="0">
      <items>
        <item x="0"/>
        <item x="1"/>
        <item t="default"/>
      </items>
    </pivotField>
    <pivotField name="Wetenschap en technologie" compact="0" numFmtId="49" outline="0" multipleItemSelectionAllowed="1" showAll="0">
      <items>
        <item x="0"/>
        <item x="1"/>
        <item t="default"/>
      </items>
    </pivotField>
    <pivotField name="Mode" compact="0" numFmtId="49" outline="0" multipleItemSelectionAllowed="1" showAll="0">
      <items>
        <item x="0"/>
        <item x="1"/>
        <item t="default"/>
      </items>
    </pivotField>
    <pivotField name="Literatuur" compact="0" numFmtId="49" outline="0" multipleItemSelectionAllowed="1" showAll="0">
      <items>
        <item x="0"/>
        <item x="1"/>
        <item t="default"/>
      </items>
    </pivotField>
    <pivotField name="Architectuur" compact="0" numFmtId="49" outline="0" multipleItemSelectionAllowed="1" showAll="0">
      <items>
        <item x="0"/>
        <item x="1"/>
        <item t="default"/>
      </items>
    </pivotField>
    <pivotField name="Beeldende kunst" compact="0" numFmtId="49" outline="0" multipleItemSelectionAllowed="1" showAll="0">
      <items>
        <item x="0"/>
        <item x="1"/>
        <item t="default"/>
      </items>
    </pivotField>
    <pivotField name="Toegepaste kunst en design" compact="0" numFmtId="49" outline="0" multipleItemSelectionAllowed="1" showAll="0">
      <items>
        <item x="0"/>
        <item x="1"/>
        <item t="default"/>
      </items>
    </pivotField>
    <pivotField name=" " compact="0" outline="0" multipleItemSelectionAllowed="1" showAll="0">
      <items>
        <item x="0"/>
        <item t="default"/>
      </items>
    </pivotField>
    <pivotField name="Shop" compact="0" outline="0" multipleItemSelectionAllowed="1" showAll="0">
      <items>
        <item x="0"/>
        <item x="1"/>
        <item t="default"/>
      </items>
    </pivotField>
    <pivotField name="Café" compact="0" outline="0" multipleItemSelectionAllowed="1" showAll="0">
      <items>
        <item x="0"/>
        <item x="1"/>
        <item t="default"/>
      </items>
    </pivotField>
    <pivotField name="Parking" compact="0" outline="0" multipleItemSelectionAllowed="1" showAll="0">
      <items>
        <item x="0"/>
        <item x="1"/>
        <item t="default"/>
      </items>
    </pivotField>
    <pivotField name="Restaurant" compact="0" outline="0" multipleItemSelectionAllowed="1" showAll="0">
      <items>
        <item x="0"/>
        <item x="1"/>
        <item t="default"/>
      </items>
    </pivotField>
    <pivotField name="Algemene naam --&gt; als geen NL naam dan F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t="default"/>
      </items>
    </pivotField>
    <pivotField name="Prij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ijdelijk gesloten " compact="0" outline="0" multipleItemSelectionAllowed="1" showAll="0">
      <items>
        <item x="0"/>
        <item x="1"/>
        <item t="default"/>
      </items>
    </pivotField>
    <pivotField name="Tijdelijke tentoonstelling(en)" compact="0" outline="0" multipleItemSelectionAllowed="1" showAll="0">
      <items>
        <item x="0"/>
        <item x="1"/>
        <item t="default"/>
      </items>
    </pivotField>
    <pivotField name="Prijs incl. tijdelijke tentoonstell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</pivotFields>
</pivotTableDefinition>
</file>

<file path=xl/pivotTables/pivotTable6.xml><?xml version="1.0" encoding="utf-8"?>
<pivotTableDefinition xmlns="http://schemas.openxmlformats.org/spreadsheetml/2006/main" name="Draaitabel 6 5" cacheId="0" dataCaption="" colGrandTotals="0" compact="0" compactData="0">
  <location ref="A17:C30" firstHeaderRow="0" firstDataRow="1" firstDataCol="1"/>
  <pivotFields>
    <pivotField name="Musea - Nederlandse benaming (Title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t="default"/>
      </items>
    </pivotField>
    <pivotField name="Musea - Franse benaming (Alternative Title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t="default"/>
      </items>
    </pivotField>
    <pivotField name="Provincie (location)" axis="axisRow" compact="0" outline="0" multipleItemSelectionAllowed="1" showAll="0" sortType="ascending">
      <items>
        <item x="2"/>
        <item x="9"/>
        <item x="7"/>
        <item x="5"/>
        <item x="6"/>
        <item x="8"/>
        <item x="0"/>
        <item x="10"/>
        <item x="4"/>
        <item x="3"/>
        <item x="1"/>
        <item t="default"/>
      </items>
    </pivotField>
    <pivotField name="Alle Thema's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name="Geschiedenis en archeologie" compact="0" numFmtId="49" outline="0" multipleItemSelectionAllowed="1" showAll="0">
      <items>
        <item x="0"/>
        <item x="1"/>
        <item t="default"/>
      </items>
    </pivotField>
    <pivotField name="Wetenschap en technologie" axis="axisCol" dataField="1" compact="0" numFmtId="49" outline="0" multipleItemSelectionAllowed="1" showAll="0" sortType="ascending">
      <items>
        <item x="0"/>
        <item x="1"/>
        <item t="default"/>
      </items>
    </pivotField>
    <pivotField name="Mode" compact="0" numFmtId="49" outline="0" multipleItemSelectionAllowed="1" showAll="0">
      <items>
        <item x="0"/>
        <item x="1"/>
        <item t="default"/>
      </items>
    </pivotField>
    <pivotField name="Literatuur" compact="0" numFmtId="49" outline="0" multipleItemSelectionAllowed="1" showAll="0">
      <items>
        <item x="0"/>
        <item x="1"/>
        <item t="default"/>
      </items>
    </pivotField>
    <pivotField name="Architectuur" compact="0" numFmtId="49" outline="0" multipleItemSelectionAllowed="1" showAll="0">
      <items>
        <item x="0"/>
        <item x="1"/>
        <item t="default"/>
      </items>
    </pivotField>
    <pivotField name="Beeldende kunst" compact="0" numFmtId="49" outline="0" multipleItemSelectionAllowed="1" showAll="0">
      <items>
        <item x="0"/>
        <item x="1"/>
        <item t="default"/>
      </items>
    </pivotField>
    <pivotField name="Toegepaste kunst en design" compact="0" numFmtId="49" outline="0" multipleItemSelectionAllowed="1" showAll="0">
      <items>
        <item x="0"/>
        <item x="1"/>
        <item t="default"/>
      </items>
    </pivotField>
    <pivotField name=" " compact="0" outline="0" multipleItemSelectionAllowed="1" showAll="0">
      <items>
        <item x="0"/>
        <item t="default"/>
      </items>
    </pivotField>
    <pivotField name="Shop" compact="0" outline="0" multipleItemSelectionAllowed="1" showAll="0">
      <items>
        <item x="0"/>
        <item x="1"/>
        <item t="default"/>
      </items>
    </pivotField>
    <pivotField name="Café" compact="0" outline="0" multipleItemSelectionAllowed="1" showAll="0">
      <items>
        <item x="0"/>
        <item x="1"/>
        <item t="default"/>
      </items>
    </pivotField>
    <pivotField name="Parking" compact="0" outline="0" multipleItemSelectionAllowed="1" showAll="0">
      <items>
        <item x="0"/>
        <item x="1"/>
        <item t="default"/>
      </items>
    </pivotField>
    <pivotField name="Restaurant" compact="0" outline="0" multipleItemSelectionAllowed="1" showAll="0">
      <items>
        <item x="0"/>
        <item x="1"/>
        <item t="default"/>
      </items>
    </pivotField>
    <pivotField name="Algemene naam --&gt; als geen NL naam dan F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t="default"/>
      </items>
    </pivotField>
    <pivotField name="Prij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ijdelijk gesloten " compact="0" outline="0" multipleItemSelectionAllowed="1" showAll="0">
      <items>
        <item x="0"/>
        <item x="1"/>
        <item t="default"/>
      </items>
    </pivotField>
    <pivotField name="Tijdelijke tentoonstelling(en)" compact="0" outline="0" multipleItemSelectionAllowed="1" showAll="0">
      <items>
        <item x="0"/>
        <item x="1"/>
        <item t="default"/>
      </items>
    </pivotField>
    <pivotField name="Prijs incl. tijdelijke tentoonstell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</pivotFields>
  <rowFields>
    <field x="2"/>
  </rowFields>
  <colFields>
    <field x="5"/>
  </colFields>
  <dataFields>
    <dataField name="COUNTA of Wetenschap en technologie" fld="5" subtotal="count" showDataAs="percentOfRow" baseField="0" numFmtId="10"/>
  </dataFields>
</pivotTableDefinition>
</file>

<file path=xl/pivotTables/pivotTable7.xml><?xml version="1.0" encoding="utf-8"?>
<pivotTableDefinition xmlns="http://schemas.openxmlformats.org/spreadsheetml/2006/main" name="Draaitabel 6 6" cacheId="0" dataCaption="" colGrandTotals="0" compact="0" compactData="0">
  <location ref="E17:G30" firstHeaderRow="0" firstDataRow="1" firstDataCol="1"/>
  <pivotFields>
    <pivotField name="Musea - Nederlandse benaming (Title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t="default"/>
      </items>
    </pivotField>
    <pivotField name="Musea - Franse benaming (Alternative Title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t="default"/>
      </items>
    </pivotField>
    <pivotField name="Provincie (location)" axis="axisRow" compact="0" outline="0" multipleItemSelectionAllowed="1" showAll="0" sortType="ascending">
      <items>
        <item x="2"/>
        <item x="9"/>
        <item x="7"/>
        <item x="5"/>
        <item x="6"/>
        <item x="8"/>
        <item x="0"/>
        <item x="10"/>
        <item x="4"/>
        <item x="3"/>
        <item x="1"/>
        <item t="default"/>
      </items>
    </pivotField>
    <pivotField name="Alle Thema's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name="Geschiedenis en archeologie" compact="0" numFmtId="49" outline="0" multipleItemSelectionAllowed="1" showAll="0">
      <items>
        <item x="0"/>
        <item x="1"/>
        <item t="default"/>
      </items>
    </pivotField>
    <pivotField name="Wetenschap en technologie" compact="0" numFmtId="49" outline="0" multipleItemSelectionAllowed="1" showAll="0">
      <items>
        <item x="0"/>
        <item x="1"/>
        <item t="default"/>
      </items>
    </pivotField>
    <pivotField name="Mode" compact="0" numFmtId="49" outline="0" multipleItemSelectionAllowed="1" showAll="0">
      <items>
        <item x="0"/>
        <item x="1"/>
        <item t="default"/>
      </items>
    </pivotField>
    <pivotField name="Literatuur" compact="0" numFmtId="49" outline="0" multipleItemSelectionAllowed="1" showAll="0">
      <items>
        <item x="0"/>
        <item x="1"/>
        <item t="default"/>
      </items>
    </pivotField>
    <pivotField name="Architectuur" compact="0" numFmtId="49" outline="0" multipleItemSelectionAllowed="1" showAll="0">
      <items>
        <item x="0"/>
        <item x="1"/>
        <item t="default"/>
      </items>
    </pivotField>
    <pivotField name="Beeldende kunst" compact="0" numFmtId="49" outline="0" multipleItemSelectionAllowed="1" showAll="0">
      <items>
        <item x="0"/>
        <item x="1"/>
        <item t="default"/>
      </items>
    </pivotField>
    <pivotField name="Toegepaste kunst en design" compact="0" numFmtId="49" outline="0" multipleItemSelectionAllowed="1" showAll="0">
      <items>
        <item x="0"/>
        <item x="1"/>
        <item t="default"/>
      </items>
    </pivotField>
    <pivotField name=" " compact="0" outline="0" multipleItemSelectionAllowed="1" showAll="0">
      <items>
        <item x="0"/>
        <item t="default"/>
      </items>
    </pivotField>
    <pivotField name="Shop" compact="0" outline="0" multipleItemSelectionAllowed="1" showAll="0">
      <items>
        <item x="0"/>
        <item x="1"/>
        <item t="default"/>
      </items>
    </pivotField>
    <pivotField name="Café" compact="0" outline="0" multipleItemSelectionAllowed="1" showAll="0">
      <items>
        <item x="0"/>
        <item x="1"/>
        <item t="default"/>
      </items>
    </pivotField>
    <pivotField name="Parking" axis="axisCol" compact="0" outline="0" multipleItemSelectionAllowed="1" showAll="0" sortType="ascending">
      <items>
        <item x="1"/>
        <item x="0"/>
        <item t="default"/>
      </items>
    </pivotField>
    <pivotField name="Restaurant" compact="0" outline="0" multipleItemSelectionAllowed="1" showAll="0">
      <items>
        <item x="0"/>
        <item x="1"/>
        <item t="default"/>
      </items>
    </pivotField>
    <pivotField name="Algemene naam --&gt; als geen NL naam dan F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t="default"/>
      </items>
    </pivotField>
    <pivotField name="Prij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ijdelijk gesloten " compact="0" outline="0" multipleItemSelectionAllowed="1" showAll="0">
      <items>
        <item x="0"/>
        <item x="1"/>
        <item t="default"/>
      </items>
    </pivotField>
    <pivotField name="Tijdelijke tentoonstelling(en)" compact="0" outline="0" multipleItemSelectionAllowed="1" showAll="0">
      <items>
        <item x="0"/>
        <item x="1"/>
        <item t="default"/>
      </items>
    </pivotField>
    <pivotField name="Prijs incl. tijdelijke tentoonstell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</pivotFields>
  <rowFields>
    <field x="2"/>
  </rowFields>
  <colFields>
    <field x="14"/>
  </colFields>
  <dataFields>
    <dataField name="COUNTA of Algemene naam --&gt; als geen NL naam dan FR" fld="16" subtotal="count" baseField="0"/>
  </dataFields>
</pivotTableDefinition>
</file>

<file path=xl/pivotTables/pivotTable8.xml><?xml version="1.0" encoding="utf-8"?>
<pivotTableDefinition xmlns="http://schemas.openxmlformats.org/spreadsheetml/2006/main" name="Draaitabel 6 7" cacheId="0" dataCaption="" colGrandTotals="0" compact="0" compactData="0">
  <location ref="E32:G45" firstHeaderRow="0" firstDataRow="1" firstDataCol="1"/>
  <pivotFields>
    <pivotField name="Musea - Nederlandse benaming (Title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t="default"/>
      </items>
    </pivotField>
    <pivotField name="Musea - Franse benaming (Alternative Title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t="default"/>
      </items>
    </pivotField>
    <pivotField name="Provincie (location)" axis="axisRow" compact="0" outline="0" multipleItemSelectionAllowed="1" showAll="0" sortType="ascending">
      <items>
        <item x="2"/>
        <item x="9"/>
        <item x="7"/>
        <item x="5"/>
        <item x="6"/>
        <item x="8"/>
        <item x="0"/>
        <item x="10"/>
        <item x="4"/>
        <item x="3"/>
        <item x="1"/>
        <item t="default"/>
      </items>
    </pivotField>
    <pivotField name="Alle Thema's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name="Geschiedenis en archeologie" compact="0" numFmtId="49" outline="0" multipleItemSelectionAllowed="1" showAll="0">
      <items>
        <item x="0"/>
        <item x="1"/>
        <item t="default"/>
      </items>
    </pivotField>
    <pivotField name="Wetenschap en technologie" compact="0" numFmtId="49" outline="0" multipleItemSelectionAllowed="1" showAll="0">
      <items>
        <item x="0"/>
        <item x="1"/>
        <item t="default"/>
      </items>
    </pivotField>
    <pivotField name="Mode" compact="0" numFmtId="49" outline="0" multipleItemSelectionAllowed="1" showAll="0">
      <items>
        <item x="0"/>
        <item x="1"/>
        <item t="default"/>
      </items>
    </pivotField>
    <pivotField name="Literatuur" compact="0" numFmtId="49" outline="0" multipleItemSelectionAllowed="1" showAll="0">
      <items>
        <item x="0"/>
        <item x="1"/>
        <item t="default"/>
      </items>
    </pivotField>
    <pivotField name="Architectuur" compact="0" numFmtId="49" outline="0" multipleItemSelectionAllowed="1" showAll="0">
      <items>
        <item x="0"/>
        <item x="1"/>
        <item t="default"/>
      </items>
    </pivotField>
    <pivotField name="Beeldende kunst" compact="0" numFmtId="49" outline="0" multipleItemSelectionAllowed="1" showAll="0">
      <items>
        <item x="0"/>
        <item x="1"/>
        <item t="default"/>
      </items>
    </pivotField>
    <pivotField name="Toegepaste kunst en design" compact="0" numFmtId="49" outline="0" multipleItemSelectionAllowed="1" showAll="0">
      <items>
        <item x="0"/>
        <item x="1"/>
        <item t="default"/>
      </items>
    </pivotField>
    <pivotField name=" " compact="0" outline="0" multipleItemSelectionAllowed="1" showAll="0">
      <items>
        <item x="0"/>
        <item t="default"/>
      </items>
    </pivotField>
    <pivotField name="Shop" compact="0" outline="0" multipleItemSelectionAllowed="1" showAll="0">
      <items>
        <item x="0"/>
        <item x="1"/>
        <item t="default"/>
      </items>
    </pivotField>
    <pivotField name="Café" axis="axisCol" compact="0" outline="0" multipleItemSelectionAllowed="1" showAll="0" sortType="ascending">
      <items>
        <item x="0"/>
        <item x="1"/>
        <item t="default"/>
      </items>
    </pivotField>
    <pivotField name="Parking" compact="0" outline="0" multipleItemSelectionAllowed="1" showAll="0">
      <items>
        <item x="0"/>
        <item x="1"/>
        <item t="default"/>
      </items>
    </pivotField>
    <pivotField name="Restaurant" compact="0" outline="0" multipleItemSelectionAllowed="1" showAll="0">
      <items>
        <item x="0"/>
        <item x="1"/>
        <item t="default"/>
      </items>
    </pivotField>
    <pivotField name="Algemene naam --&gt; als geen NL naam dan F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t="default"/>
      </items>
    </pivotField>
    <pivotField name="Prij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ijdelijk gesloten " compact="0" outline="0" multipleItemSelectionAllowed="1" showAll="0">
      <items>
        <item x="0"/>
        <item x="1"/>
        <item t="default"/>
      </items>
    </pivotField>
    <pivotField name="Tijdelijke tentoonstelling(en)" compact="0" outline="0" multipleItemSelectionAllowed="1" showAll="0">
      <items>
        <item x="0"/>
        <item x="1"/>
        <item t="default"/>
      </items>
    </pivotField>
    <pivotField name="Prijs incl. tijdelijke tentoonstell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</pivotFields>
  <rowFields>
    <field x="2"/>
  </rowFields>
  <colFields>
    <field x="13"/>
  </colFields>
  <dataFields>
    <dataField name="COUNTA of Algemene naam --&gt; als geen NL naam dan FR" fld="16" subtotal="count" baseField="0"/>
  </dataFields>
</pivotTableDefinition>
</file>

<file path=xl/pivotTables/pivotTable9.xml><?xml version="1.0" encoding="utf-8"?>
<pivotTableDefinition xmlns="http://schemas.openxmlformats.org/spreadsheetml/2006/main" name="Draaitabel 6 8" cacheId="0" dataCaption="" colGrandTotals="0" compact="0" compactData="0">
  <location ref="E47:G60" firstHeaderRow="0" firstDataRow="1" firstDataCol="1"/>
  <pivotFields>
    <pivotField name="Musea - Nederlandse benaming (Title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t="default"/>
      </items>
    </pivotField>
    <pivotField name="Musea - Franse benaming (Alternative Title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t="default"/>
      </items>
    </pivotField>
    <pivotField name="Provincie (location)" axis="axisRow" compact="0" outline="0" multipleItemSelectionAllowed="1" showAll="0" sortType="ascending">
      <items>
        <item x="2"/>
        <item x="9"/>
        <item x="7"/>
        <item x="5"/>
        <item x="6"/>
        <item x="8"/>
        <item x="0"/>
        <item x="10"/>
        <item x="4"/>
        <item x="3"/>
        <item x="1"/>
        <item t="default"/>
      </items>
    </pivotField>
    <pivotField name="Alle Thema's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name="Geschiedenis en archeologie" compact="0" numFmtId="49" outline="0" multipleItemSelectionAllowed="1" showAll="0">
      <items>
        <item x="0"/>
        <item x="1"/>
        <item t="default"/>
      </items>
    </pivotField>
    <pivotField name="Wetenschap en technologie" compact="0" numFmtId="49" outline="0" multipleItemSelectionAllowed="1" showAll="0">
      <items>
        <item x="0"/>
        <item x="1"/>
        <item t="default"/>
      </items>
    </pivotField>
    <pivotField name="Mode" compact="0" numFmtId="49" outline="0" multipleItemSelectionAllowed="1" showAll="0">
      <items>
        <item x="0"/>
        <item x="1"/>
        <item t="default"/>
      </items>
    </pivotField>
    <pivotField name="Literatuur" compact="0" numFmtId="49" outline="0" multipleItemSelectionAllowed="1" showAll="0">
      <items>
        <item x="0"/>
        <item x="1"/>
        <item t="default"/>
      </items>
    </pivotField>
    <pivotField name="Architectuur" compact="0" numFmtId="49" outline="0" multipleItemSelectionAllowed="1" showAll="0">
      <items>
        <item x="0"/>
        <item x="1"/>
        <item t="default"/>
      </items>
    </pivotField>
    <pivotField name="Beeldende kunst" compact="0" numFmtId="49" outline="0" multipleItemSelectionAllowed="1" showAll="0">
      <items>
        <item x="0"/>
        <item x="1"/>
        <item t="default"/>
      </items>
    </pivotField>
    <pivotField name="Toegepaste kunst en design" compact="0" numFmtId="49" outline="0" multipleItemSelectionAllowed="1" showAll="0">
      <items>
        <item x="0"/>
        <item x="1"/>
        <item t="default"/>
      </items>
    </pivotField>
    <pivotField name=" " compact="0" outline="0" multipleItemSelectionAllowed="1" showAll="0">
      <items>
        <item x="0"/>
        <item t="default"/>
      </items>
    </pivotField>
    <pivotField name="Shop" compact="0" outline="0" multipleItemSelectionAllowed="1" showAll="0">
      <items>
        <item x="0"/>
        <item x="1"/>
        <item t="default"/>
      </items>
    </pivotField>
    <pivotField name="Café" compact="0" outline="0" multipleItemSelectionAllowed="1" showAll="0">
      <items>
        <item x="0"/>
        <item x="1"/>
        <item t="default"/>
      </items>
    </pivotField>
    <pivotField name="Parking" compact="0" outline="0" multipleItemSelectionAllowed="1" showAll="0">
      <items>
        <item x="0"/>
        <item x="1"/>
        <item t="default"/>
      </items>
    </pivotField>
    <pivotField name="Restaurant" axis="axisCol" compact="0" outline="0" multipleItemSelectionAllowed="1" showAll="0" sortType="ascending">
      <items>
        <item x="0"/>
        <item x="1"/>
        <item t="default"/>
      </items>
    </pivotField>
    <pivotField name="Algemene naam --&gt; als geen NL naam dan F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t="default"/>
      </items>
    </pivotField>
    <pivotField name="Prij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ijdelijk gesloten " compact="0" outline="0" multipleItemSelectionAllowed="1" showAll="0">
      <items>
        <item x="0"/>
        <item x="1"/>
        <item t="default"/>
      </items>
    </pivotField>
    <pivotField name="Tijdelijke tentoonstelling(en)" compact="0" outline="0" multipleItemSelectionAllowed="1" showAll="0">
      <items>
        <item x="0"/>
        <item x="1"/>
        <item t="default"/>
      </items>
    </pivotField>
    <pivotField name="Prijs incl. tijdelijke tentoonstell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</pivotFields>
  <rowFields>
    <field x="2"/>
  </rowFields>
  <colFields>
    <field x="15"/>
  </colFields>
  <dataFields>
    <dataField name="COUNTA of Algemene naam --&gt; als geen NL naam dan FR" fld="16" subtotal="count" baseField="0"/>
  </dataFields>
</pivotTableDefinition>
</file>

<file path=xl/pivotTables/pivotTable10.xml><?xml version="1.0" encoding="utf-8"?>
<pivotTableDefinition xmlns="http://schemas.openxmlformats.org/spreadsheetml/2006/main" name="Draaitabel 6 9" cacheId="0" dataCaption="" colGrandTotals="0" compact="0" compactData="0">
  <location ref="A64:C77" firstHeaderRow="0" firstDataRow="1" firstDataCol="1"/>
  <pivotFields>
    <pivotField name="Musea - Nederlandse benaming (Title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t="default"/>
      </items>
    </pivotField>
    <pivotField name="Musea - Franse benaming (Alternative Title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t="default"/>
      </items>
    </pivotField>
    <pivotField name="Provincie (location)" axis="axisRow" compact="0" outline="0" multipleItemSelectionAllowed="1" showAll="0" sortType="ascending">
      <items>
        <item x="2"/>
        <item x="9"/>
        <item x="7"/>
        <item x="5"/>
        <item x="6"/>
        <item x="8"/>
        <item x="0"/>
        <item x="10"/>
        <item x="4"/>
        <item x="3"/>
        <item x="1"/>
        <item t="default"/>
      </items>
    </pivotField>
    <pivotField name="Alle Thema's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name="Geschiedenis en archeologie" axis="axisCol" dataField="1" compact="0" numFmtId="49" outline="0" multipleItemSelectionAllowed="1" showAll="0" sortType="ascending">
      <items>
        <item x="1"/>
        <item x="0"/>
        <item t="default"/>
      </items>
    </pivotField>
    <pivotField name="Wetenschap en technologie" compact="0" numFmtId="49" outline="0" multipleItemSelectionAllowed="1" showAll="0">
      <items>
        <item x="0"/>
        <item x="1"/>
        <item t="default"/>
      </items>
    </pivotField>
    <pivotField name="Mode" compact="0" numFmtId="49" outline="0" multipleItemSelectionAllowed="1" showAll="0">
      <items>
        <item x="0"/>
        <item x="1"/>
        <item t="default"/>
      </items>
    </pivotField>
    <pivotField name="Literatuur" compact="0" numFmtId="49" outline="0" multipleItemSelectionAllowed="1" showAll="0">
      <items>
        <item x="0"/>
        <item x="1"/>
        <item t="default"/>
      </items>
    </pivotField>
    <pivotField name="Architectuur" compact="0" numFmtId="49" outline="0" multipleItemSelectionAllowed="1" showAll="0">
      <items>
        <item x="0"/>
        <item x="1"/>
        <item t="default"/>
      </items>
    </pivotField>
    <pivotField name="Beeldende kunst" compact="0" numFmtId="49" outline="0" multipleItemSelectionAllowed="1" showAll="0">
      <items>
        <item x="0"/>
        <item x="1"/>
        <item t="default"/>
      </items>
    </pivotField>
    <pivotField name="Toegepaste kunst en design" compact="0" numFmtId="49" outline="0" multipleItemSelectionAllowed="1" showAll="0">
      <items>
        <item x="0"/>
        <item x="1"/>
        <item t="default"/>
      </items>
    </pivotField>
    <pivotField name=" " compact="0" outline="0" multipleItemSelectionAllowed="1" showAll="0">
      <items>
        <item x="0"/>
        <item t="default"/>
      </items>
    </pivotField>
    <pivotField name="Shop" compact="0" outline="0" multipleItemSelectionAllowed="1" showAll="0">
      <items>
        <item x="0"/>
        <item x="1"/>
        <item t="default"/>
      </items>
    </pivotField>
    <pivotField name="Café" compact="0" outline="0" multipleItemSelectionAllowed="1" showAll="0">
      <items>
        <item x="0"/>
        <item x="1"/>
        <item t="default"/>
      </items>
    </pivotField>
    <pivotField name="Parking" compact="0" outline="0" multipleItemSelectionAllowed="1" showAll="0">
      <items>
        <item x="0"/>
        <item x="1"/>
        <item t="default"/>
      </items>
    </pivotField>
    <pivotField name="Restaurant" compact="0" outline="0" multipleItemSelectionAllowed="1" showAll="0">
      <items>
        <item x="0"/>
        <item x="1"/>
        <item t="default"/>
      </items>
    </pivotField>
    <pivotField name="Algemene naam --&gt; als geen NL naam dan F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t="default"/>
      </items>
    </pivotField>
    <pivotField name="Prij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ijdelijk gesloten " compact="0" outline="0" multipleItemSelectionAllowed="1" showAll="0">
      <items>
        <item x="0"/>
        <item x="1"/>
        <item t="default"/>
      </items>
    </pivotField>
    <pivotField name="Tijdelijke tentoonstelling(en)" compact="0" outline="0" multipleItemSelectionAllowed="1" showAll="0">
      <items>
        <item x="0"/>
        <item x="1"/>
        <item t="default"/>
      </items>
    </pivotField>
    <pivotField name="Prijs incl. tijdelijke tentoonstell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</pivotFields>
  <rowFields>
    <field x="2"/>
  </rowFields>
  <colFields>
    <field x="4"/>
  </colFields>
  <dataFields>
    <dataField name="COUNTA of Geschiedenis en archeologie" fld="4" subtotal="count" showDataAs="percentOfCol" baseField="0" numFmtId="10"/>
  </dataFields>
</pivotTableDefinition>
</file>

<file path=xl/pivotTables/pivotTable11.xml><?xml version="1.0" encoding="utf-8"?>
<pivotTableDefinition xmlns="http://schemas.openxmlformats.org/spreadsheetml/2006/main" name="Brussel" cacheId="1" dataCaption="" compact="0" compactData="0">
  <location ref="S2:T10" firstHeaderRow="0" firstDataRow="1" firstDataCol="0"/>
  <pivotFields>
    <pivotField name="History &amp; Archaeolog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Prijs H &amp; A" axis="axisRow" compact="0" numFmtId="165" outline="0" multipleItemSelectionAllowed="1" showAll="0" sortType="ascending">
      <items>
        <item x="11"/>
        <item x="8"/>
        <item x="3"/>
        <item x="0"/>
        <item x="10"/>
        <item x="1"/>
        <item x="7"/>
        <item x="4"/>
        <item x="5"/>
        <item x="2"/>
        <item x="6"/>
        <item x="9"/>
        <item t="default"/>
      </items>
    </pivotField>
    <pivotField name="Science &amp; Technolog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Prijs S &amp; T" compact="0" numFmtId="165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Fashion" compact="0" outline="0" multipleItemSelectionAllowed="1" showAll="0">
      <items>
        <item x="0"/>
        <item x="1"/>
        <item x="2"/>
        <item x="3"/>
        <item t="default"/>
      </items>
    </pivotField>
    <pivotField name="Prijs F" compact="0" numFmtId="165" outline="0" multipleItemSelectionAllowed="1" showAll="0">
      <items>
        <item x="0"/>
        <item x="1"/>
        <item x="2"/>
        <item x="3"/>
        <item t="default"/>
      </items>
    </pivotField>
    <pivotField name="Literatur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ijs L" compact="0" numFmtId="165" outline="0" multipleItemSelectionAllowed="1" showAll="0">
      <items>
        <item x="0"/>
        <item x="1"/>
        <item x="2"/>
        <item x="3"/>
        <item x="4"/>
        <item t="default"/>
      </items>
    </pivotField>
    <pivotField name="Architectu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Prijs A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Visual Ar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Prijs VA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Applied arts &amp; desig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>
    <field x="1"/>
  </rowFields>
  <dataFields>
    <dataField name="COUNTA of History &amp; Archaeology" fld="0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6.xml"/><Relationship Id="rId1" Type="http://schemas.openxmlformats.org/officeDocument/2006/relationships/pivotTable" Target="../pivotTables/pivotTable2.xml"/><Relationship Id="rId2" Type="http://schemas.openxmlformats.org/officeDocument/2006/relationships/pivotTable" Target="../pivotTables/pivotTable3.xml"/><Relationship Id="rId3" Type="http://schemas.openxmlformats.org/officeDocument/2006/relationships/pivotTable" Target="../pivotTables/pivotTable4.xml"/><Relationship Id="rId4" Type="http://schemas.openxmlformats.org/officeDocument/2006/relationships/pivotTable" Target="../pivotTables/pivotTable5.xml"/><Relationship Id="rId9" Type="http://schemas.openxmlformats.org/officeDocument/2006/relationships/pivotTable" Target="../pivotTables/pivotTable10.xml"/><Relationship Id="rId5" Type="http://schemas.openxmlformats.org/officeDocument/2006/relationships/pivotTable" Target="../pivotTables/pivotTable6.xml"/><Relationship Id="rId6" Type="http://schemas.openxmlformats.org/officeDocument/2006/relationships/pivotTable" Target="../pivotTables/pivotTable7.xml"/><Relationship Id="rId7" Type="http://schemas.openxmlformats.org/officeDocument/2006/relationships/pivotTable" Target="../pivotTables/pivotTable8.xml"/><Relationship Id="rId8" Type="http://schemas.openxmlformats.org/officeDocument/2006/relationships/pivotTable" Target="../pivotTables/pivotTable9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1.xm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6.0"/>
    <col customWidth="1" min="2" max="2" width="61.38"/>
    <col customWidth="1" min="3" max="3" width="22.63"/>
    <col customWidth="1" min="4" max="4" width="88.75"/>
    <col customWidth="1" min="5" max="12" width="25.88"/>
    <col customWidth="1" min="13" max="13" width="9.75"/>
    <col customWidth="1" min="17" max="17" width="51.0"/>
    <col customWidth="1" min="19" max="19" width="16.25"/>
    <col customWidth="1" min="20" max="20" width="26.38"/>
    <col customWidth="1" min="21" max="21" width="31.13"/>
    <col customWidth="1" min="23" max="23" width="15.13"/>
    <col customWidth="1" min="24" max="24" width="17.63"/>
    <col customWidth="1" min="25" max="25" width="16.0"/>
    <col customWidth="1" min="26" max="26" width="17.25"/>
    <col customWidth="1" min="31" max="31" width="22.0"/>
    <col customWidth="1" min="35" max="35" width="21.2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1" t="s">
        <v>16</v>
      </c>
      <c r="R1" s="4" t="s">
        <v>17</v>
      </c>
      <c r="S1" s="5" t="s">
        <v>18</v>
      </c>
      <c r="T1" s="5" t="s">
        <v>19</v>
      </c>
      <c r="U1" s="6" t="s">
        <v>20</v>
      </c>
      <c r="X1" s="7" t="s">
        <v>21</v>
      </c>
      <c r="Y1" s="8" t="s">
        <v>22</v>
      </c>
      <c r="Z1" s="7" t="s">
        <v>23</v>
      </c>
      <c r="AE1" s="9"/>
      <c r="AF1" s="10"/>
      <c r="AG1" s="10"/>
      <c r="AH1" s="10"/>
      <c r="AI1" s="11"/>
      <c r="AJ1" s="10"/>
      <c r="AK1" s="11"/>
      <c r="AL1" s="11"/>
      <c r="AM1" s="9"/>
      <c r="AN1" s="9"/>
      <c r="AO1" s="10"/>
      <c r="AP1" s="11"/>
      <c r="AQ1" s="11"/>
      <c r="AR1" s="11"/>
      <c r="AS1" s="12"/>
      <c r="AT1" s="13"/>
      <c r="AU1" s="13"/>
      <c r="AV1" s="14"/>
    </row>
    <row r="2" ht="15.0" customHeight="1">
      <c r="A2" s="15" t="s">
        <v>24</v>
      </c>
      <c r="B2" s="16" t="s">
        <v>25</v>
      </c>
      <c r="C2" s="16" t="s">
        <v>26</v>
      </c>
      <c r="D2" s="16" t="s">
        <v>4</v>
      </c>
      <c r="E2" s="17" t="b">
        <f t="shared" ref="E2:K2" si="1">If(IFERROR(SEARCH(E$1, $D2),0) &gt;= 1, true,false)</f>
        <v>1</v>
      </c>
      <c r="F2" s="17" t="b">
        <f t="shared" si="1"/>
        <v>0</v>
      </c>
      <c r="G2" s="17" t="b">
        <f t="shared" si="1"/>
        <v>0</v>
      </c>
      <c r="H2" s="17" t="b">
        <f t="shared" si="1"/>
        <v>0</v>
      </c>
      <c r="I2" s="17" t="b">
        <f t="shared" si="1"/>
        <v>0</v>
      </c>
      <c r="J2" s="17" t="b">
        <f t="shared" si="1"/>
        <v>0</v>
      </c>
      <c r="K2" s="17" t="b">
        <f t="shared" si="1"/>
        <v>0</v>
      </c>
      <c r="L2" s="17"/>
      <c r="M2" s="18" t="b">
        <v>1</v>
      </c>
      <c r="N2" s="18" t="b">
        <v>0</v>
      </c>
      <c r="O2" s="18" t="b">
        <v>1</v>
      </c>
      <c r="P2" s="18" t="b">
        <v>0</v>
      </c>
      <c r="Q2" s="16" t="str">
        <f t="shared" ref="Q2:Q261" si="3">IF(ISBLANK(A2),B2,A2)</f>
        <v>Archeologisch museum van de Boven-Maas</v>
      </c>
      <c r="R2" s="19">
        <v>3.5</v>
      </c>
      <c r="S2" s="20" t="b">
        <v>0</v>
      </c>
      <c r="T2" s="18" t="b">
        <v>0</v>
      </c>
      <c r="U2" s="21"/>
      <c r="W2" s="7" t="s">
        <v>26</v>
      </c>
      <c r="X2" s="22">
        <f>COUNTIF(C:C, "Namen")</f>
        <v>15</v>
      </c>
      <c r="Y2" s="23">
        <f>AVERAGEIF(C:C, "Namen",R:R)</f>
        <v>5.966666667</v>
      </c>
      <c r="Z2" s="24">
        <f>MEDIAN(R2:R16)</f>
        <v>6</v>
      </c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25"/>
      <c r="AT2" s="11"/>
      <c r="AU2" s="11"/>
      <c r="AV2" s="25"/>
    </row>
    <row r="3">
      <c r="A3" s="15" t="s">
        <v>27</v>
      </c>
      <c r="B3" s="16" t="str">
        <f>IFERROR(__xludf.DUMMYFUNCTION("SPLIT(A3, "" - "", FALSE,FALSE)"),"Citadel van Namen / Bezoekerscentrum Terra Nova en toeristentreintje")</f>
        <v>Citadel van Namen / Bezoekerscentrum Terra Nova en toeristentreintje</v>
      </c>
      <c r="C3" s="16" t="s">
        <v>26</v>
      </c>
      <c r="D3" s="16" t="s">
        <v>4</v>
      </c>
      <c r="E3" s="17" t="b">
        <f t="shared" ref="E3:K3" si="2">If(IFERROR(SEARCH(E$1, $D3),0) &gt;= 1, true,false)</f>
        <v>1</v>
      </c>
      <c r="F3" s="17" t="b">
        <f t="shared" si="2"/>
        <v>0</v>
      </c>
      <c r="G3" s="17" t="b">
        <f t="shared" si="2"/>
        <v>0</v>
      </c>
      <c r="H3" s="17" t="b">
        <f t="shared" si="2"/>
        <v>0</v>
      </c>
      <c r="I3" s="17" t="b">
        <f t="shared" si="2"/>
        <v>0</v>
      </c>
      <c r="J3" s="17" t="b">
        <f t="shared" si="2"/>
        <v>0</v>
      </c>
      <c r="K3" s="17" t="b">
        <f t="shared" si="2"/>
        <v>0</v>
      </c>
      <c r="L3" s="17"/>
      <c r="M3" s="18" t="b">
        <v>1</v>
      </c>
      <c r="N3" s="18" t="b">
        <v>1</v>
      </c>
      <c r="O3" s="18" t="b">
        <v>0</v>
      </c>
      <c r="P3" s="18" t="b">
        <v>0</v>
      </c>
      <c r="Q3" s="16" t="str">
        <f t="shared" si="3"/>
        <v>Citadel van Namen / Bezoekerscentrum Terra Nova en toeristentreintje</v>
      </c>
      <c r="R3" s="19">
        <v>6.0</v>
      </c>
      <c r="S3" s="20" t="b">
        <v>0</v>
      </c>
      <c r="T3" s="18" t="b">
        <v>0</v>
      </c>
      <c r="U3" s="16"/>
      <c r="W3" s="7" t="s">
        <v>28</v>
      </c>
      <c r="X3" s="22">
        <f>COUNTIF(C:C, "West-Vlaanderen")</f>
        <v>41</v>
      </c>
      <c r="Y3" s="23">
        <f>AVERAGEIF(C:C, "West-Vlaanderen",R:R)</f>
        <v>9.146341463</v>
      </c>
      <c r="Z3" s="24">
        <f>MEDIAN(R17:R57)</f>
        <v>9</v>
      </c>
    </row>
    <row r="4">
      <c r="A4" s="16" t="s">
        <v>29</v>
      </c>
      <c r="B4" s="16" t="s">
        <v>30</v>
      </c>
      <c r="C4" s="16" t="s">
        <v>26</v>
      </c>
      <c r="D4" s="16" t="s">
        <v>5</v>
      </c>
      <c r="E4" s="17" t="b">
        <f t="shared" ref="E4:K4" si="4">If(IFERROR(SEARCH(E$1, $D4),0) &gt;= 1, true,false)</f>
        <v>0</v>
      </c>
      <c r="F4" s="17" t="b">
        <f t="shared" si="4"/>
        <v>1</v>
      </c>
      <c r="G4" s="17" t="b">
        <f t="shared" si="4"/>
        <v>0</v>
      </c>
      <c r="H4" s="17" t="b">
        <f t="shared" si="4"/>
        <v>0</v>
      </c>
      <c r="I4" s="17" t="b">
        <f t="shared" si="4"/>
        <v>0</v>
      </c>
      <c r="J4" s="17" t="b">
        <f t="shared" si="4"/>
        <v>0</v>
      </c>
      <c r="K4" s="17" t="b">
        <f t="shared" si="4"/>
        <v>0</v>
      </c>
      <c r="L4" s="17"/>
      <c r="M4" s="18" t="b">
        <v>1</v>
      </c>
      <c r="N4" s="18" t="b">
        <v>1</v>
      </c>
      <c r="O4" s="18" t="b">
        <v>1</v>
      </c>
      <c r="P4" s="18" t="b">
        <v>0</v>
      </c>
      <c r="Q4" s="16" t="str">
        <f t="shared" si="3"/>
        <v>NAM-IP Computermuseum</v>
      </c>
      <c r="R4" s="26">
        <v>8.0</v>
      </c>
      <c r="S4" s="18" t="b">
        <v>0</v>
      </c>
      <c r="T4" s="18" t="b">
        <v>0</v>
      </c>
      <c r="W4" s="7" t="s">
        <v>31</v>
      </c>
      <c r="X4" s="20">
        <v>35.0</v>
      </c>
      <c r="Y4" s="23">
        <f>AVERAGE($R$58:$R$91)</f>
        <v>9.25</v>
      </c>
      <c r="Z4" s="23">
        <f>MEDIAN($R$58:$R$91)</f>
        <v>10</v>
      </c>
    </row>
    <row r="5">
      <c r="A5" s="16" t="s">
        <v>32</v>
      </c>
      <c r="B5" s="16" t="s">
        <v>33</v>
      </c>
      <c r="C5" s="16" t="s">
        <v>26</v>
      </c>
      <c r="D5" s="16" t="s">
        <v>4</v>
      </c>
      <c r="E5" s="17" t="b">
        <f t="shared" ref="E5:K5" si="5">If(IFERROR(SEARCH(E$1, $D5),0) &gt;= 1, true,false)</f>
        <v>1</v>
      </c>
      <c r="F5" s="17" t="b">
        <f t="shared" si="5"/>
        <v>0</v>
      </c>
      <c r="G5" s="17" t="b">
        <f t="shared" si="5"/>
        <v>0</v>
      </c>
      <c r="H5" s="17" t="b">
        <f t="shared" si="5"/>
        <v>0</v>
      </c>
      <c r="I5" s="17" t="b">
        <f t="shared" si="5"/>
        <v>0</v>
      </c>
      <c r="J5" s="17" t="b">
        <f t="shared" si="5"/>
        <v>0</v>
      </c>
      <c r="K5" s="17" t="b">
        <f t="shared" si="5"/>
        <v>0</v>
      </c>
      <c r="L5" s="17"/>
      <c r="M5" s="18" t="b">
        <v>1</v>
      </c>
      <c r="N5" s="18" t="b">
        <v>0</v>
      </c>
      <c r="O5" s="18" t="b">
        <v>0</v>
      </c>
      <c r="P5" s="18" t="b">
        <v>0</v>
      </c>
      <c r="Q5" s="16" t="str">
        <f t="shared" si="3"/>
        <v>Ecomuseum van de Viroin</v>
      </c>
      <c r="R5" s="19">
        <v>4.0</v>
      </c>
      <c r="S5" s="18" t="b">
        <v>0</v>
      </c>
      <c r="T5" s="18" t="b">
        <v>1</v>
      </c>
      <c r="U5" s="27">
        <v>4.0</v>
      </c>
      <c r="W5" s="7" t="s">
        <v>34</v>
      </c>
      <c r="X5" s="20">
        <v>5.0</v>
      </c>
      <c r="Y5" s="23">
        <f>AVERAGE($R$93:$R$97)</f>
        <v>8.8</v>
      </c>
      <c r="Z5" s="23">
        <f>MEDIAN($R$93:$R$97)</f>
        <v>10</v>
      </c>
    </row>
    <row r="6">
      <c r="A6" s="15" t="s">
        <v>35</v>
      </c>
      <c r="B6" s="16" t="s">
        <v>36</v>
      </c>
      <c r="C6" s="16" t="s">
        <v>26</v>
      </c>
      <c r="D6" s="16" t="s">
        <v>37</v>
      </c>
      <c r="E6" s="17" t="b">
        <f t="shared" ref="E6:K6" si="6">If(IFERROR(SEARCH(E$1, $D6),0) &gt;= 1, true,false)</f>
        <v>1</v>
      </c>
      <c r="F6" s="17" t="b">
        <f t="shared" si="6"/>
        <v>0</v>
      </c>
      <c r="G6" s="17" t="b">
        <f t="shared" si="6"/>
        <v>0</v>
      </c>
      <c r="H6" s="17" t="b">
        <f t="shared" si="6"/>
        <v>0</v>
      </c>
      <c r="I6" s="17" t="b">
        <f t="shared" si="6"/>
        <v>0</v>
      </c>
      <c r="J6" s="17" t="b">
        <f t="shared" si="6"/>
        <v>0</v>
      </c>
      <c r="K6" s="17" t="b">
        <f t="shared" si="6"/>
        <v>1</v>
      </c>
      <c r="L6" s="17"/>
      <c r="M6" s="18" t="b">
        <v>1</v>
      </c>
      <c r="N6" s="18" t="b">
        <v>0</v>
      </c>
      <c r="O6" s="18" t="b">
        <v>0</v>
      </c>
      <c r="P6" s="18" t="b">
        <v>0</v>
      </c>
      <c r="Q6" s="16" t="str">
        <f t="shared" si="3"/>
        <v>Andenne Museum</v>
      </c>
      <c r="R6" s="19">
        <v>10.0</v>
      </c>
      <c r="S6" s="18" t="b">
        <v>0</v>
      </c>
      <c r="T6" s="18" t="b">
        <v>0</v>
      </c>
      <c r="W6" s="7" t="s">
        <v>38</v>
      </c>
      <c r="X6" s="20">
        <v>13.0</v>
      </c>
      <c r="Y6" s="23">
        <f>AVERAGE($R$98:$R$110)</f>
        <v>8.192307692</v>
      </c>
      <c r="Z6" s="23">
        <f>MEDIAN($R$98:$R$110)</f>
        <v>10</v>
      </c>
    </row>
    <row r="7">
      <c r="A7" s="16"/>
      <c r="B7" s="16" t="s">
        <v>39</v>
      </c>
      <c r="C7" s="16" t="s">
        <v>26</v>
      </c>
      <c r="D7" s="16" t="s">
        <v>9</v>
      </c>
      <c r="E7" s="17" t="b">
        <f t="shared" ref="E7:K7" si="7">If(IFERROR(SEARCH(E$1, $D7),0) &gt;= 1, true,false)</f>
        <v>0</v>
      </c>
      <c r="F7" s="17" t="b">
        <f t="shared" si="7"/>
        <v>0</v>
      </c>
      <c r="G7" s="17" t="b">
        <f t="shared" si="7"/>
        <v>0</v>
      </c>
      <c r="H7" s="17" t="b">
        <f t="shared" si="7"/>
        <v>0</v>
      </c>
      <c r="I7" s="17" t="b">
        <f t="shared" si="7"/>
        <v>0</v>
      </c>
      <c r="J7" s="17" t="b">
        <f t="shared" si="7"/>
        <v>1</v>
      </c>
      <c r="K7" s="17" t="b">
        <f t="shared" si="7"/>
        <v>0</v>
      </c>
      <c r="L7" s="17"/>
      <c r="M7" s="18" t="b">
        <v>1</v>
      </c>
      <c r="N7" s="18" t="b">
        <v>0</v>
      </c>
      <c r="O7" s="18" t="b">
        <v>0</v>
      </c>
      <c r="P7" s="18" t="b">
        <v>1</v>
      </c>
      <c r="Q7" s="16" t="str">
        <f t="shared" si="3"/>
        <v>Le Delta</v>
      </c>
      <c r="R7" s="19">
        <v>5.0</v>
      </c>
      <c r="S7" s="18" t="b">
        <v>0</v>
      </c>
      <c r="T7" s="18" t="b">
        <v>1</v>
      </c>
      <c r="U7" s="27">
        <v>5.0</v>
      </c>
      <c r="W7" s="7" t="s">
        <v>40</v>
      </c>
      <c r="X7" s="22">
        <f>COUNTIF(C:C, "Limburg")</f>
        <v>15</v>
      </c>
      <c r="Y7" s="23">
        <f>AVERAGEIF(C:C, "Limburg",R:R)</f>
        <v>8.333333333</v>
      </c>
      <c r="Z7" s="24">
        <f>MEDIAN(R111,R125)</f>
        <v>9</v>
      </c>
    </row>
    <row r="8">
      <c r="A8" s="16"/>
      <c r="B8" s="16" t="s">
        <v>41</v>
      </c>
      <c r="C8" s="16" t="s">
        <v>26</v>
      </c>
      <c r="D8" s="16" t="s">
        <v>42</v>
      </c>
      <c r="E8" s="17" t="b">
        <f t="shared" ref="E8:K8" si="8">If(IFERROR(SEARCH(E$1, $D8),0) &gt;= 1, true,false)</f>
        <v>0</v>
      </c>
      <c r="F8" s="17" t="b">
        <f t="shared" si="8"/>
        <v>1</v>
      </c>
      <c r="G8" s="17" t="b">
        <f t="shared" si="8"/>
        <v>0</v>
      </c>
      <c r="H8" s="17" t="b">
        <f t="shared" si="8"/>
        <v>0</v>
      </c>
      <c r="I8" s="17" t="b">
        <f t="shared" si="8"/>
        <v>0</v>
      </c>
      <c r="J8" s="17" t="b">
        <f t="shared" si="8"/>
        <v>1</v>
      </c>
      <c r="K8" s="17" t="b">
        <f t="shared" si="8"/>
        <v>0</v>
      </c>
      <c r="L8" s="17"/>
      <c r="M8" s="18" t="b">
        <v>1</v>
      </c>
      <c r="N8" s="18" t="b">
        <v>0</v>
      </c>
      <c r="O8" s="18" t="b">
        <v>0</v>
      </c>
      <c r="P8" s="18" t="b">
        <v>0</v>
      </c>
      <c r="Q8" s="16" t="str">
        <f t="shared" si="3"/>
        <v>Le Pavillon</v>
      </c>
      <c r="R8" s="19">
        <v>10.0</v>
      </c>
      <c r="S8" s="18" t="b">
        <v>0</v>
      </c>
      <c r="T8" s="18" t="b">
        <v>1</v>
      </c>
      <c r="U8" s="27">
        <v>10.0</v>
      </c>
      <c r="W8" s="7" t="s">
        <v>43</v>
      </c>
      <c r="X8" s="22">
        <f>COUNTIF(C:C, "Luik")</f>
        <v>19</v>
      </c>
      <c r="Y8" s="23">
        <f>AVERAGEIF(C:C, "Luik",R:R)</f>
        <v>6.631578947</v>
      </c>
      <c r="Z8" s="24">
        <f>MEDIAN(R126,R144)</f>
        <v>10.5</v>
      </c>
    </row>
    <row r="9">
      <c r="A9" s="16"/>
      <c r="B9" s="16" t="s">
        <v>44</v>
      </c>
      <c r="C9" s="16" t="s">
        <v>26</v>
      </c>
      <c r="D9" s="16" t="s">
        <v>4</v>
      </c>
      <c r="E9" s="17" t="b">
        <f t="shared" ref="E9:K9" si="9">If(IFERROR(SEARCH(E$1, $D9),0) &gt;= 1, true,false)</f>
        <v>1</v>
      </c>
      <c r="F9" s="17" t="b">
        <f t="shared" si="9"/>
        <v>0</v>
      </c>
      <c r="G9" s="17" t="b">
        <f t="shared" si="9"/>
        <v>0</v>
      </c>
      <c r="H9" s="17" t="b">
        <f t="shared" si="9"/>
        <v>0</v>
      </c>
      <c r="I9" s="17" t="b">
        <f t="shared" si="9"/>
        <v>0</v>
      </c>
      <c r="J9" s="17" t="b">
        <f t="shared" si="9"/>
        <v>0</v>
      </c>
      <c r="K9" s="17" t="b">
        <f t="shared" si="9"/>
        <v>0</v>
      </c>
      <c r="L9" s="17"/>
      <c r="M9" s="18" t="b">
        <v>1</v>
      </c>
      <c r="N9" s="18" t="b">
        <v>0</v>
      </c>
      <c r="O9" s="18" t="b">
        <v>1</v>
      </c>
      <c r="P9" s="18" t="b">
        <v>0</v>
      </c>
      <c r="Q9" s="16" t="str">
        <f t="shared" si="3"/>
        <v>Maison du patrimoine médiéval mosan</v>
      </c>
      <c r="R9" s="19">
        <v>6.0</v>
      </c>
      <c r="S9" s="18" t="b">
        <v>0</v>
      </c>
      <c r="T9" s="18" t="b">
        <v>1</v>
      </c>
      <c r="U9" s="27">
        <v>6.0</v>
      </c>
      <c r="W9" s="7" t="s">
        <v>45</v>
      </c>
      <c r="X9" s="22">
        <f>COUNTIF(C:C,"Henegouwen") </f>
        <v>37</v>
      </c>
      <c r="Y9" s="23">
        <f>AVERAGEIF(C:C,"Henegouwen",R:R)</f>
        <v>6.540540541</v>
      </c>
      <c r="Z9" s="24">
        <f>MEDIAN(R145:R181)</f>
        <v>6</v>
      </c>
    </row>
    <row r="10">
      <c r="A10" s="16" t="s">
        <v>46</v>
      </c>
      <c r="B10" s="16" t="s">
        <v>47</v>
      </c>
      <c r="C10" s="16" t="s">
        <v>26</v>
      </c>
      <c r="D10" s="16" t="s">
        <v>4</v>
      </c>
      <c r="E10" s="17" t="b">
        <f t="shared" ref="E10:K10" si="10">If(IFERROR(SEARCH(E$1, $D10),0) &gt;= 1, true,false)</f>
        <v>1</v>
      </c>
      <c r="F10" s="17" t="b">
        <f t="shared" si="10"/>
        <v>0</v>
      </c>
      <c r="G10" s="17" t="b">
        <f t="shared" si="10"/>
        <v>0</v>
      </c>
      <c r="H10" s="17" t="b">
        <f t="shared" si="10"/>
        <v>0</v>
      </c>
      <c r="I10" s="17" t="b">
        <f t="shared" si="10"/>
        <v>0</v>
      </c>
      <c r="J10" s="17" t="b">
        <f t="shared" si="10"/>
        <v>0</v>
      </c>
      <c r="K10" s="17" t="b">
        <f t="shared" si="10"/>
        <v>0</v>
      </c>
      <c r="L10" s="17"/>
      <c r="M10" s="18" t="b">
        <v>1</v>
      </c>
      <c r="N10" s="18" t="b">
        <v>1</v>
      </c>
      <c r="O10" s="18" t="b">
        <v>1</v>
      </c>
      <c r="P10" s="18" t="b">
        <v>0</v>
      </c>
      <c r="Q10" s="16" t="str">
        <f t="shared" si="3"/>
        <v>Archeopark van Rochefort</v>
      </c>
      <c r="R10" s="19">
        <v>8.0</v>
      </c>
      <c r="S10" s="18" t="b">
        <v>0</v>
      </c>
      <c r="T10" s="18" t="b">
        <v>0</v>
      </c>
      <c r="U10" s="21"/>
      <c r="W10" s="7" t="s">
        <v>48</v>
      </c>
      <c r="X10" s="22">
        <f>COUNTIF(C:C,"Luxemburg")</f>
        <v>9</v>
      </c>
      <c r="Y10" s="23">
        <f>AVERAGEIF(C:C,"Luxemburg",R:R)</f>
        <v>7.055555556</v>
      </c>
      <c r="Z10" s="24">
        <f>MEDIAN(R182,R190)</f>
        <v>10.5</v>
      </c>
    </row>
    <row r="11">
      <c r="A11" s="16" t="s">
        <v>49</v>
      </c>
      <c r="B11" s="16" t="s">
        <v>50</v>
      </c>
      <c r="C11" s="16" t="s">
        <v>26</v>
      </c>
      <c r="D11" s="16" t="s">
        <v>37</v>
      </c>
      <c r="E11" s="17" t="b">
        <f t="shared" ref="E11:K11" si="11">If(IFERROR(SEARCH(E$1, $D11),0) &gt;= 1, true,false)</f>
        <v>1</v>
      </c>
      <c r="F11" s="17" t="b">
        <f t="shared" si="11"/>
        <v>0</v>
      </c>
      <c r="G11" s="17" t="b">
        <f t="shared" si="11"/>
        <v>0</v>
      </c>
      <c r="H11" s="17" t="b">
        <f t="shared" si="11"/>
        <v>0</v>
      </c>
      <c r="I11" s="17" t="b">
        <f t="shared" si="11"/>
        <v>0</v>
      </c>
      <c r="J11" s="17" t="b">
        <f t="shared" si="11"/>
        <v>0</v>
      </c>
      <c r="K11" s="17" t="b">
        <f t="shared" si="11"/>
        <v>1</v>
      </c>
      <c r="L11" s="17"/>
      <c r="M11" s="18" t="b">
        <v>1</v>
      </c>
      <c r="N11" s="18" t="b">
        <v>0</v>
      </c>
      <c r="O11" s="18" t="b">
        <v>0</v>
      </c>
      <c r="P11" s="18" t="b">
        <v>0</v>
      </c>
      <c r="Q11" s="16" t="str">
        <f t="shared" si="3"/>
        <v>MusAfrica Namen</v>
      </c>
      <c r="R11" s="19">
        <v>8.0</v>
      </c>
      <c r="S11" s="18" t="b">
        <v>0</v>
      </c>
      <c r="T11" s="18" t="b">
        <v>0</v>
      </c>
      <c r="U11" s="16"/>
      <c r="W11" s="7" t="s">
        <v>51</v>
      </c>
      <c r="X11" s="22">
        <f>countif(C2:C261,"Brussel")</f>
        <v>48</v>
      </c>
      <c r="Y11" s="23">
        <f>AVERAGE(R191:R238)</f>
        <v>9.1875</v>
      </c>
      <c r="Z11" s="24">
        <f>MEDIAN(R191:R238)</f>
        <v>10</v>
      </c>
    </row>
    <row r="12">
      <c r="A12" s="16" t="s">
        <v>52</v>
      </c>
      <c r="B12" s="16" t="s">
        <v>53</v>
      </c>
      <c r="C12" s="16" t="s">
        <v>26</v>
      </c>
      <c r="D12" s="16" t="s">
        <v>54</v>
      </c>
      <c r="E12" s="17" t="b">
        <f t="shared" ref="E12:K12" si="12">If(IFERROR(SEARCH(E$1, $D12),0) &gt;= 1, true,false)</f>
        <v>1</v>
      </c>
      <c r="F12" s="17" t="b">
        <f t="shared" si="12"/>
        <v>1</v>
      </c>
      <c r="G12" s="17" t="b">
        <f t="shared" si="12"/>
        <v>0</v>
      </c>
      <c r="H12" s="17" t="b">
        <f t="shared" si="12"/>
        <v>0</v>
      </c>
      <c r="I12" s="17" t="b">
        <f t="shared" si="12"/>
        <v>0</v>
      </c>
      <c r="J12" s="17" t="b">
        <f t="shared" si="12"/>
        <v>1</v>
      </c>
      <c r="K12" s="17" t="b">
        <f t="shared" si="12"/>
        <v>0</v>
      </c>
      <c r="L12" s="17"/>
      <c r="M12" s="18" t="b">
        <v>1</v>
      </c>
      <c r="N12" s="18" t="b">
        <v>0</v>
      </c>
      <c r="O12" s="18" t="b">
        <v>0</v>
      </c>
      <c r="P12" s="18" t="b">
        <v>0</v>
      </c>
      <c r="Q12" s="16" t="str">
        <f t="shared" si="3"/>
        <v>Aardbeimuseum</v>
      </c>
      <c r="R12" s="19">
        <v>6.0</v>
      </c>
      <c r="S12" s="18" t="b">
        <v>0</v>
      </c>
      <c r="T12" s="18" t="b">
        <v>0</v>
      </c>
      <c r="U12" s="16"/>
      <c r="W12" s="7" t="s">
        <v>55</v>
      </c>
      <c r="X12" s="22">
        <f>countif(C2:C261,"Oost-Vlaanderen")</f>
        <v>23</v>
      </c>
      <c r="Y12" s="23">
        <f>AVERAGE(R239:R261)</f>
        <v>8.565217391</v>
      </c>
      <c r="Z12" s="24">
        <f>MEDIAN(R239:R261)</f>
        <v>9</v>
      </c>
    </row>
    <row r="13">
      <c r="A13" s="16"/>
      <c r="B13" s="16" t="s">
        <v>56</v>
      </c>
      <c r="C13" s="16" t="s">
        <v>26</v>
      </c>
      <c r="D13" s="16" t="s">
        <v>4</v>
      </c>
      <c r="E13" s="17" t="b">
        <f t="shared" ref="E13:K13" si="13">If(IFERROR(SEARCH(E$1, $D13),0) &gt;= 1, true,false)</f>
        <v>1</v>
      </c>
      <c r="F13" s="17" t="b">
        <f t="shared" si="13"/>
        <v>0</v>
      </c>
      <c r="G13" s="17" t="b">
        <f t="shared" si="13"/>
        <v>0</v>
      </c>
      <c r="H13" s="17" t="b">
        <f t="shared" si="13"/>
        <v>0</v>
      </c>
      <c r="I13" s="17" t="b">
        <f t="shared" si="13"/>
        <v>0</v>
      </c>
      <c r="J13" s="17" t="b">
        <f t="shared" si="13"/>
        <v>0</v>
      </c>
      <c r="K13" s="17" t="b">
        <f t="shared" si="13"/>
        <v>0</v>
      </c>
      <c r="L13" s="17"/>
      <c r="M13" s="18" t="b">
        <v>1</v>
      </c>
      <c r="N13" s="18" t="b">
        <v>0</v>
      </c>
      <c r="O13" s="18" t="b">
        <v>0</v>
      </c>
      <c r="P13" s="18" t="b">
        <v>0</v>
      </c>
      <c r="Q13" s="16" t="str">
        <f t="shared" si="3"/>
        <v>Musée du Malgré-Tout</v>
      </c>
      <c r="R13" s="28">
        <v>5.0</v>
      </c>
      <c r="S13" s="18" t="b">
        <v>0</v>
      </c>
      <c r="T13" s="18" t="b">
        <v>0</v>
      </c>
      <c r="U13" s="16"/>
      <c r="Y13" s="23"/>
    </row>
    <row r="14">
      <c r="A14" s="16" t="s">
        <v>57</v>
      </c>
      <c r="B14" s="16" t="s">
        <v>58</v>
      </c>
      <c r="C14" s="16" t="s">
        <v>26</v>
      </c>
      <c r="D14" s="16" t="s">
        <v>9</v>
      </c>
      <c r="E14" s="17" t="b">
        <f t="shared" ref="E14:K14" si="14">If(IFERROR(SEARCH(E$1, $D14),0) &gt;= 1, true,false)</f>
        <v>0</v>
      </c>
      <c r="F14" s="17" t="b">
        <f t="shared" si="14"/>
        <v>0</v>
      </c>
      <c r="G14" s="17" t="b">
        <f t="shared" si="14"/>
        <v>0</v>
      </c>
      <c r="H14" s="17" t="b">
        <f t="shared" si="14"/>
        <v>0</v>
      </c>
      <c r="I14" s="17" t="b">
        <f t="shared" si="14"/>
        <v>0</v>
      </c>
      <c r="J14" s="17" t="b">
        <f t="shared" si="14"/>
        <v>1</v>
      </c>
      <c r="K14" s="17" t="b">
        <f t="shared" si="14"/>
        <v>0</v>
      </c>
      <c r="L14" s="17"/>
      <c r="M14" s="18" t="b">
        <v>1</v>
      </c>
      <c r="N14" s="18" t="b">
        <v>0</v>
      </c>
      <c r="O14" s="18" t="b">
        <v>0</v>
      </c>
      <c r="P14" s="18" t="b">
        <v>0</v>
      </c>
      <c r="Q14" s="16" t="str">
        <f t="shared" si="3"/>
        <v>Museum van het Klein Formaat</v>
      </c>
      <c r="R14" s="19">
        <v>5.0</v>
      </c>
      <c r="S14" s="18" t="b">
        <v>0</v>
      </c>
      <c r="T14" s="18" t="b">
        <v>1</v>
      </c>
      <c r="U14" s="29">
        <v>5.0</v>
      </c>
      <c r="Y14" s="23"/>
    </row>
    <row r="15">
      <c r="A15" s="16" t="s">
        <v>59</v>
      </c>
      <c r="B15" s="16" t="s">
        <v>60</v>
      </c>
      <c r="C15" s="16" t="s">
        <v>26</v>
      </c>
      <c r="D15" s="16" t="s">
        <v>9</v>
      </c>
      <c r="E15" s="17" t="b">
        <f t="shared" ref="E15:K15" si="15">If(IFERROR(SEARCH(E$1, $D15),0) &gt;= 1, true,false)</f>
        <v>0</v>
      </c>
      <c r="F15" s="17" t="b">
        <f t="shared" si="15"/>
        <v>0</v>
      </c>
      <c r="G15" s="17" t="b">
        <f t="shared" si="15"/>
        <v>0</v>
      </c>
      <c r="H15" s="17" t="b">
        <f t="shared" si="15"/>
        <v>0</v>
      </c>
      <c r="I15" s="17" t="b">
        <f t="shared" si="15"/>
        <v>0</v>
      </c>
      <c r="J15" s="17" t="b">
        <f t="shared" si="15"/>
        <v>1</v>
      </c>
      <c r="K15" s="17" t="b">
        <f t="shared" si="15"/>
        <v>0</v>
      </c>
      <c r="L15" s="17"/>
      <c r="M15" s="18" t="b">
        <v>1</v>
      </c>
      <c r="N15" s="18" t="b">
        <v>0</v>
      </c>
      <c r="O15" s="18" t="b">
        <v>0</v>
      </c>
      <c r="P15" s="18" t="b">
        <v>0</v>
      </c>
      <c r="Q15" s="16" t="str">
        <f t="shared" si="3"/>
        <v>Félicien Rops Museum</v>
      </c>
      <c r="R15" s="19">
        <v>0.0</v>
      </c>
      <c r="S15" s="18" t="b">
        <v>0</v>
      </c>
      <c r="T15" s="18" t="b">
        <v>1</v>
      </c>
      <c r="U15" s="29">
        <v>8.0</v>
      </c>
      <c r="Y15" s="23"/>
    </row>
    <row r="16">
      <c r="A16" s="16" t="s">
        <v>61</v>
      </c>
      <c r="B16" s="16" t="s">
        <v>62</v>
      </c>
      <c r="C16" s="16" t="s">
        <v>26</v>
      </c>
      <c r="D16" s="16" t="s">
        <v>9</v>
      </c>
      <c r="E16" s="17" t="b">
        <f t="shared" ref="E16:K16" si="16">If(IFERROR(SEARCH(E$1, $D16),0) &gt;= 1, true,false)</f>
        <v>0</v>
      </c>
      <c r="F16" s="17" t="b">
        <f t="shared" si="16"/>
        <v>0</v>
      </c>
      <c r="G16" s="17" t="b">
        <f t="shared" si="16"/>
        <v>0</v>
      </c>
      <c r="H16" s="17" t="b">
        <f t="shared" si="16"/>
        <v>0</v>
      </c>
      <c r="I16" s="17" t="b">
        <f t="shared" si="16"/>
        <v>0</v>
      </c>
      <c r="J16" s="17" t="b">
        <f t="shared" si="16"/>
        <v>1</v>
      </c>
      <c r="K16" s="17" t="b">
        <f t="shared" si="16"/>
        <v>0</v>
      </c>
      <c r="L16" s="17"/>
      <c r="M16" s="18" t="b">
        <v>1</v>
      </c>
      <c r="N16" s="18" t="b">
        <v>0</v>
      </c>
      <c r="O16" s="18" t="b">
        <v>0</v>
      </c>
      <c r="P16" s="18" t="b">
        <v>0</v>
      </c>
      <c r="Q16" s="16" t="str">
        <f t="shared" si="3"/>
        <v>Museum voor Oude Kunsten</v>
      </c>
      <c r="R16" s="19">
        <v>5.0</v>
      </c>
      <c r="S16" s="18" t="b">
        <v>0</v>
      </c>
      <c r="T16" s="18" t="b">
        <v>1</v>
      </c>
      <c r="U16" s="30">
        <v>8.0</v>
      </c>
      <c r="Y16" s="23"/>
    </row>
    <row r="17">
      <c r="A17" s="16" t="s">
        <v>63</v>
      </c>
      <c r="B17" s="16" t="s">
        <v>64</v>
      </c>
      <c r="C17" s="16" t="s">
        <v>28</v>
      </c>
      <c r="D17" s="16" t="s">
        <v>65</v>
      </c>
      <c r="E17" s="17" t="b">
        <f t="shared" ref="E17:K17" si="17">If(IFERROR(SEARCH(E$1, $D17),0) &gt;= 1, true,false)</f>
        <v>1</v>
      </c>
      <c r="F17" s="17" t="b">
        <f t="shared" si="17"/>
        <v>1</v>
      </c>
      <c r="G17" s="17" t="b">
        <f t="shared" si="17"/>
        <v>0</v>
      </c>
      <c r="H17" s="17" t="b">
        <f t="shared" si="17"/>
        <v>0</v>
      </c>
      <c r="I17" s="17" t="b">
        <f t="shared" si="17"/>
        <v>1</v>
      </c>
      <c r="J17" s="17" t="b">
        <f t="shared" si="17"/>
        <v>0</v>
      </c>
      <c r="K17" s="17" t="b">
        <f t="shared" si="17"/>
        <v>0</v>
      </c>
      <c r="L17" s="17"/>
      <c r="M17" s="18" t="b">
        <v>1</v>
      </c>
      <c r="N17" s="18" t="b">
        <v>0</v>
      </c>
      <c r="O17" s="18" t="b">
        <v>1</v>
      </c>
      <c r="P17" s="18" t="b">
        <v>0</v>
      </c>
      <c r="Q17" s="16" t="str">
        <f t="shared" si="3"/>
        <v>Abdijmuseum Ten Duinen</v>
      </c>
      <c r="R17" s="28">
        <v>10.0</v>
      </c>
      <c r="S17" s="18" t="b">
        <v>0</v>
      </c>
      <c r="T17" s="18" t="b">
        <v>1</v>
      </c>
      <c r="U17" s="31">
        <v>10.0</v>
      </c>
      <c r="Y17" s="23"/>
    </row>
    <row r="18">
      <c r="A18" s="16" t="s">
        <v>66</v>
      </c>
      <c r="B18" s="16" t="s">
        <v>67</v>
      </c>
      <c r="C18" s="16" t="s">
        <v>28</v>
      </c>
      <c r="D18" s="16" t="s">
        <v>68</v>
      </c>
      <c r="E18" s="17" t="b">
        <f t="shared" ref="E18:K18" si="18">If(IFERROR(SEARCH(E$1, $D18),0) &gt;= 1, true,false)</f>
        <v>1</v>
      </c>
      <c r="F18" s="17" t="b">
        <f t="shared" si="18"/>
        <v>0</v>
      </c>
      <c r="G18" s="17" t="b">
        <f t="shared" si="18"/>
        <v>0</v>
      </c>
      <c r="H18" s="17" t="b">
        <f t="shared" si="18"/>
        <v>0</v>
      </c>
      <c r="I18" s="17" t="b">
        <f t="shared" si="18"/>
        <v>1</v>
      </c>
      <c r="J18" s="17" t="b">
        <f t="shared" si="18"/>
        <v>1</v>
      </c>
      <c r="K18" s="17" t="b">
        <f t="shared" si="18"/>
        <v>1</v>
      </c>
      <c r="L18" s="17"/>
      <c r="M18" s="18" t="b">
        <v>1</v>
      </c>
      <c r="N18" s="18" t="b">
        <v>1</v>
      </c>
      <c r="O18" s="18" t="b">
        <v>0</v>
      </c>
      <c r="P18" s="18" t="b">
        <v>0</v>
      </c>
      <c r="Q18" s="16" t="str">
        <f t="shared" si="3"/>
        <v>Adornesdomein</v>
      </c>
      <c r="R18" s="28">
        <v>10.0</v>
      </c>
      <c r="S18" s="18" t="b">
        <v>0</v>
      </c>
      <c r="T18" s="18" t="b">
        <v>0</v>
      </c>
      <c r="U18" s="32"/>
      <c r="Y18" s="23"/>
    </row>
    <row r="19">
      <c r="A19" s="16" t="s">
        <v>69</v>
      </c>
      <c r="B19" s="16"/>
      <c r="C19" s="16" t="s">
        <v>28</v>
      </c>
      <c r="D19" s="16" t="s">
        <v>70</v>
      </c>
      <c r="E19" s="17" t="b">
        <f t="shared" ref="E19:K19" si="19">If(IFERROR(SEARCH(E$1, $D19),0) &gt;= 1, true,false)</f>
        <v>1</v>
      </c>
      <c r="F19" s="17" t="b">
        <f t="shared" si="19"/>
        <v>1</v>
      </c>
      <c r="G19" s="17" t="b">
        <f t="shared" si="19"/>
        <v>0</v>
      </c>
      <c r="H19" s="17" t="b">
        <f t="shared" si="19"/>
        <v>0</v>
      </c>
      <c r="I19" s="17" t="b">
        <f t="shared" si="19"/>
        <v>1</v>
      </c>
      <c r="J19" s="17" t="b">
        <f t="shared" si="19"/>
        <v>1</v>
      </c>
      <c r="K19" s="17" t="b">
        <f t="shared" si="19"/>
        <v>1</v>
      </c>
      <c r="L19" s="17"/>
      <c r="M19" s="18" t="b">
        <v>1</v>
      </c>
      <c r="N19" s="18" t="b">
        <v>1</v>
      </c>
      <c r="O19" s="18" t="b">
        <v>1</v>
      </c>
      <c r="P19" s="18" t="b">
        <v>1</v>
      </c>
      <c r="Q19" s="16" t="str">
        <f t="shared" si="3"/>
        <v>Atlantikwall Raversyde</v>
      </c>
      <c r="R19" s="19">
        <v>10.0</v>
      </c>
      <c r="S19" s="18" t="b">
        <v>0</v>
      </c>
      <c r="T19" s="18" t="b">
        <v>1</v>
      </c>
      <c r="U19" s="31">
        <v>10.0</v>
      </c>
      <c r="Y19" s="23"/>
    </row>
    <row r="20">
      <c r="A20" s="16" t="s">
        <v>71</v>
      </c>
      <c r="B20" s="16" t="s">
        <v>72</v>
      </c>
      <c r="C20" s="16" t="s">
        <v>28</v>
      </c>
      <c r="D20" s="16" t="s">
        <v>4</v>
      </c>
      <c r="E20" s="17" t="b">
        <f t="shared" ref="E20:K20" si="20">If(IFERROR(SEARCH(E$1, $D20),0) &gt;= 1, true,false)</f>
        <v>1</v>
      </c>
      <c r="F20" s="17" t="b">
        <f t="shared" si="20"/>
        <v>0</v>
      </c>
      <c r="G20" s="17" t="b">
        <f t="shared" si="20"/>
        <v>0</v>
      </c>
      <c r="H20" s="17" t="b">
        <f t="shared" si="20"/>
        <v>0</v>
      </c>
      <c r="I20" s="17" t="b">
        <f t="shared" si="20"/>
        <v>0</v>
      </c>
      <c r="J20" s="17" t="b">
        <f t="shared" si="20"/>
        <v>0</v>
      </c>
      <c r="K20" s="17" t="b">
        <f t="shared" si="20"/>
        <v>0</v>
      </c>
      <c r="L20" s="17"/>
      <c r="M20" s="18" t="b">
        <v>1</v>
      </c>
      <c r="N20" s="18" t="b">
        <v>1</v>
      </c>
      <c r="O20" s="18" t="b">
        <v>1</v>
      </c>
      <c r="P20" s="18" t="b">
        <v>1</v>
      </c>
      <c r="Q20" s="16" t="str">
        <f t="shared" si="3"/>
        <v>Bakkerijmuseum</v>
      </c>
      <c r="R20" s="19">
        <v>8.0</v>
      </c>
      <c r="S20" s="18" t="b">
        <v>0</v>
      </c>
      <c r="T20" s="18" t="b">
        <v>0</v>
      </c>
      <c r="U20" s="33"/>
      <c r="Y20" s="23"/>
    </row>
    <row r="21">
      <c r="A21" s="16" t="s">
        <v>73</v>
      </c>
      <c r="B21" s="16" t="s">
        <v>74</v>
      </c>
      <c r="C21" s="16" t="s">
        <v>28</v>
      </c>
      <c r="D21" s="16" t="s">
        <v>65</v>
      </c>
      <c r="E21" s="17" t="b">
        <f t="shared" ref="E21:K21" si="21">If(IFERROR(SEARCH(E$1, $D21),0) &gt;= 1, true,false)</f>
        <v>1</v>
      </c>
      <c r="F21" s="17" t="b">
        <f t="shared" si="21"/>
        <v>1</v>
      </c>
      <c r="G21" s="17" t="b">
        <f t="shared" si="21"/>
        <v>0</v>
      </c>
      <c r="H21" s="17" t="b">
        <f t="shared" si="21"/>
        <v>0</v>
      </c>
      <c r="I21" s="17" t="b">
        <f t="shared" si="21"/>
        <v>1</v>
      </c>
      <c r="J21" s="17" t="b">
        <f t="shared" si="21"/>
        <v>0</v>
      </c>
      <c r="K21" s="17" t="b">
        <f t="shared" si="21"/>
        <v>0</v>
      </c>
      <c r="L21" s="17"/>
      <c r="M21" s="18" t="b">
        <v>0</v>
      </c>
      <c r="N21" s="18" t="b">
        <v>0</v>
      </c>
      <c r="O21" s="18" t="b">
        <v>0</v>
      </c>
      <c r="P21" s="18" t="b">
        <v>0</v>
      </c>
      <c r="Q21" s="16" t="str">
        <f t="shared" si="3"/>
        <v>Belfort van Brugge</v>
      </c>
      <c r="R21" s="19">
        <v>15.0</v>
      </c>
      <c r="S21" s="18" t="b">
        <v>0</v>
      </c>
      <c r="T21" s="18" t="b">
        <v>0</v>
      </c>
      <c r="U21" s="33"/>
      <c r="Y21" s="23"/>
    </row>
    <row r="22">
      <c r="A22" s="16" t="s">
        <v>75</v>
      </c>
      <c r="B22" s="16" t="s">
        <v>76</v>
      </c>
      <c r="C22" s="16" t="s">
        <v>28</v>
      </c>
      <c r="D22" s="16" t="s">
        <v>4</v>
      </c>
      <c r="E22" s="17" t="b">
        <f t="shared" ref="E22:K22" si="22">If(IFERROR(SEARCH(E$1, $D22),0) &gt;= 1, true,false)</f>
        <v>1</v>
      </c>
      <c r="F22" s="17" t="b">
        <f t="shared" si="22"/>
        <v>0</v>
      </c>
      <c r="G22" s="17" t="b">
        <f t="shared" si="22"/>
        <v>0</v>
      </c>
      <c r="H22" s="17" t="b">
        <f t="shared" si="22"/>
        <v>0</v>
      </c>
      <c r="I22" s="17" t="b">
        <f t="shared" si="22"/>
        <v>0</v>
      </c>
      <c r="J22" s="17" t="b">
        <f t="shared" si="22"/>
        <v>0</v>
      </c>
      <c r="K22" s="17" t="b">
        <f t="shared" si="22"/>
        <v>0</v>
      </c>
      <c r="L22" s="17"/>
      <c r="M22" s="18" t="b">
        <v>1</v>
      </c>
      <c r="N22" s="18" t="b">
        <v>0</v>
      </c>
      <c r="O22" s="18" t="b">
        <v>0</v>
      </c>
      <c r="P22" s="18" t="b">
        <v>0</v>
      </c>
      <c r="Q22" s="16" t="str">
        <f t="shared" si="3"/>
        <v>Belle Epoque Centrum</v>
      </c>
      <c r="R22" s="19">
        <v>5.0</v>
      </c>
      <c r="S22" s="18" t="b">
        <v>0</v>
      </c>
      <c r="T22" s="18" t="b">
        <v>0</v>
      </c>
      <c r="U22" s="32"/>
      <c r="Y22" s="23"/>
    </row>
    <row r="23">
      <c r="A23" s="16" t="s">
        <v>77</v>
      </c>
      <c r="B23" s="16" t="s">
        <v>78</v>
      </c>
      <c r="C23" s="16" t="s">
        <v>28</v>
      </c>
      <c r="D23" s="16" t="s">
        <v>79</v>
      </c>
      <c r="E23" s="17" t="b">
        <f t="shared" ref="E23:K23" si="23">If(IFERROR(SEARCH(E$1, $D23),0) &gt;= 1, true,false)</f>
        <v>1</v>
      </c>
      <c r="F23" s="17" t="b">
        <f t="shared" si="23"/>
        <v>0</v>
      </c>
      <c r="G23" s="17" t="b">
        <f t="shared" si="23"/>
        <v>0</v>
      </c>
      <c r="H23" s="17" t="b">
        <f t="shared" si="23"/>
        <v>0</v>
      </c>
      <c r="I23" s="17" t="b">
        <f t="shared" si="23"/>
        <v>0</v>
      </c>
      <c r="J23" s="17" t="b">
        <f t="shared" si="23"/>
        <v>1</v>
      </c>
      <c r="K23" s="17" t="b">
        <f t="shared" si="23"/>
        <v>1</v>
      </c>
      <c r="L23" s="17"/>
      <c r="M23" s="18" t="b">
        <v>0</v>
      </c>
      <c r="N23" s="18" t="b">
        <v>0</v>
      </c>
      <c r="O23" s="18" t="b">
        <v>0</v>
      </c>
      <c r="P23" s="18" t="b">
        <v>0</v>
      </c>
      <c r="Q23" s="16" t="str">
        <f t="shared" si="3"/>
        <v>Brugse Vrije</v>
      </c>
      <c r="R23" s="19">
        <v>3.0</v>
      </c>
      <c r="S23" s="18" t="b">
        <v>0</v>
      </c>
      <c r="T23" s="18" t="b">
        <v>0</v>
      </c>
      <c r="Y23" s="23"/>
    </row>
    <row r="24">
      <c r="A24" s="16" t="s">
        <v>80</v>
      </c>
      <c r="B24" s="16" t="s">
        <v>81</v>
      </c>
      <c r="C24" s="16" t="s">
        <v>28</v>
      </c>
      <c r="D24" s="16" t="s">
        <v>4</v>
      </c>
      <c r="E24" s="17" t="b">
        <f t="shared" ref="E24:K24" si="24">If(IFERROR(SEARCH(E$1, $D24),0) &gt;= 1, true,false)</f>
        <v>1</v>
      </c>
      <c r="F24" s="17" t="b">
        <f t="shared" si="24"/>
        <v>0</v>
      </c>
      <c r="G24" s="17" t="b">
        <f t="shared" si="24"/>
        <v>0</v>
      </c>
      <c r="H24" s="17" t="b">
        <f t="shared" si="24"/>
        <v>0</v>
      </c>
      <c r="I24" s="17" t="b">
        <f t="shared" si="24"/>
        <v>0</v>
      </c>
      <c r="J24" s="17" t="b">
        <f t="shared" si="24"/>
        <v>0</v>
      </c>
      <c r="K24" s="17" t="b">
        <f t="shared" si="24"/>
        <v>0</v>
      </c>
      <c r="L24" s="17"/>
      <c r="M24" s="18" t="b">
        <v>0</v>
      </c>
      <c r="N24" s="18" t="b">
        <v>0</v>
      </c>
      <c r="O24" s="18" t="b">
        <v>1</v>
      </c>
      <c r="P24" s="18" t="b">
        <v>0</v>
      </c>
      <c r="Q24" s="16" t="str">
        <f t="shared" si="3"/>
        <v>Dodengang</v>
      </c>
      <c r="R24" s="19">
        <v>6.0</v>
      </c>
      <c r="S24" s="20" t="b">
        <v>0</v>
      </c>
      <c r="T24" s="18" t="b">
        <v>0</v>
      </c>
      <c r="U24" s="16"/>
      <c r="Y24" s="23"/>
    </row>
    <row r="25">
      <c r="A25" s="16"/>
      <c r="B25" s="16" t="s">
        <v>82</v>
      </c>
      <c r="C25" s="16" t="s">
        <v>28</v>
      </c>
      <c r="D25" s="16" t="s">
        <v>83</v>
      </c>
      <c r="E25" s="17" t="b">
        <f t="shared" ref="E25:K25" si="25">If(IFERROR(SEARCH(E$1, $D25),0) &gt;= 1, true,false)</f>
        <v>1</v>
      </c>
      <c r="F25" s="17" t="b">
        <f t="shared" si="25"/>
        <v>1</v>
      </c>
      <c r="G25" s="17" t="b">
        <f t="shared" si="25"/>
        <v>1</v>
      </c>
      <c r="H25" s="17" t="b">
        <f t="shared" si="25"/>
        <v>0</v>
      </c>
      <c r="I25" s="17" t="b">
        <f t="shared" si="25"/>
        <v>1</v>
      </c>
      <c r="J25" s="17" t="b">
        <f t="shared" si="25"/>
        <v>0</v>
      </c>
      <c r="K25" s="17" t="b">
        <f t="shared" si="25"/>
        <v>0</v>
      </c>
      <c r="L25" s="17"/>
      <c r="M25" s="18" t="b">
        <v>1</v>
      </c>
      <c r="N25" s="18" t="b">
        <v>0</v>
      </c>
      <c r="O25" s="18" t="b">
        <v>1</v>
      </c>
      <c r="P25" s="18" t="b">
        <v>0</v>
      </c>
      <c r="Q25" s="16" t="str">
        <f t="shared" si="3"/>
        <v>Eperon d’Or</v>
      </c>
      <c r="R25" s="19">
        <v>8.0</v>
      </c>
      <c r="S25" s="20" t="b">
        <v>0</v>
      </c>
      <c r="T25" s="18" t="b">
        <v>1</v>
      </c>
      <c r="U25" s="29">
        <v>8.0</v>
      </c>
      <c r="Y25" s="23"/>
    </row>
    <row r="26">
      <c r="A26" s="16" t="s">
        <v>84</v>
      </c>
      <c r="B26" s="16" t="s">
        <v>85</v>
      </c>
      <c r="C26" s="16" t="s">
        <v>28</v>
      </c>
      <c r="D26" s="16" t="s">
        <v>7</v>
      </c>
      <c r="E26" s="17" t="b">
        <f t="shared" ref="E26:K26" si="26">If(IFERROR(SEARCH(E$1, $D26),0) &gt;= 1, true,false)</f>
        <v>0</v>
      </c>
      <c r="F26" s="17" t="b">
        <f t="shared" si="26"/>
        <v>0</v>
      </c>
      <c r="G26" s="17" t="b">
        <f t="shared" si="26"/>
        <v>0</v>
      </c>
      <c r="H26" s="17" t="b">
        <f t="shared" si="26"/>
        <v>1</v>
      </c>
      <c r="I26" s="17" t="b">
        <f t="shared" si="26"/>
        <v>0</v>
      </c>
      <c r="J26" s="17" t="b">
        <f t="shared" si="26"/>
        <v>0</v>
      </c>
      <c r="K26" s="17" t="b">
        <f t="shared" si="26"/>
        <v>0</v>
      </c>
      <c r="L26" s="17"/>
      <c r="M26" s="18" t="b">
        <v>0</v>
      </c>
      <c r="N26" s="18" t="b">
        <v>0</v>
      </c>
      <c r="O26" s="18" t="b">
        <v>0</v>
      </c>
      <c r="P26" s="18" t="b">
        <v>0</v>
      </c>
      <c r="Q26" s="16" t="str">
        <f t="shared" si="3"/>
        <v>Gezellehuis</v>
      </c>
      <c r="R26" s="19">
        <v>0.0</v>
      </c>
      <c r="S26" s="20" t="b">
        <v>0</v>
      </c>
      <c r="T26" s="18" t="b">
        <v>0</v>
      </c>
      <c r="U26" s="16"/>
      <c r="Y26" s="23"/>
    </row>
    <row r="27">
      <c r="A27" s="16" t="s">
        <v>86</v>
      </c>
      <c r="B27" s="16" t="s">
        <v>87</v>
      </c>
      <c r="C27" s="16" t="s">
        <v>28</v>
      </c>
      <c r="D27" s="16" t="s">
        <v>9</v>
      </c>
      <c r="E27" s="17" t="b">
        <f t="shared" ref="E27:K27" si="27">If(IFERROR(SEARCH(E$1, $D27),0) &gt;= 1, true,false)</f>
        <v>0</v>
      </c>
      <c r="F27" s="17" t="b">
        <f t="shared" si="27"/>
        <v>0</v>
      </c>
      <c r="G27" s="17" t="b">
        <f t="shared" si="27"/>
        <v>0</v>
      </c>
      <c r="H27" s="17" t="b">
        <f t="shared" si="27"/>
        <v>0</v>
      </c>
      <c r="I27" s="17" t="b">
        <f t="shared" si="27"/>
        <v>0</v>
      </c>
      <c r="J27" s="17" t="b">
        <f t="shared" si="27"/>
        <v>1</v>
      </c>
      <c r="K27" s="17" t="b">
        <f t="shared" si="27"/>
        <v>0</v>
      </c>
      <c r="L27" s="17"/>
      <c r="M27" s="18" t="b">
        <v>1</v>
      </c>
      <c r="N27" s="18" t="b">
        <v>0</v>
      </c>
      <c r="O27" s="18" t="b">
        <v>0</v>
      </c>
      <c r="P27" s="18" t="b">
        <v>0</v>
      </c>
      <c r="Q27" s="16" t="str">
        <f t="shared" si="3"/>
        <v>Groeningemuseum</v>
      </c>
      <c r="R27" s="19">
        <v>15.0</v>
      </c>
      <c r="S27" s="20" t="b">
        <v>0</v>
      </c>
      <c r="T27" s="18" t="b">
        <v>0</v>
      </c>
      <c r="U27" s="21"/>
      <c r="Y27" s="23"/>
    </row>
    <row r="28">
      <c r="A28" s="16" t="s">
        <v>88</v>
      </c>
      <c r="B28" s="16" t="s">
        <v>89</v>
      </c>
      <c r="C28" s="16" t="s">
        <v>28</v>
      </c>
      <c r="D28" s="16" t="s">
        <v>68</v>
      </c>
      <c r="E28" s="17" t="b">
        <f t="shared" ref="E28:K28" si="28">If(IFERROR(SEARCH(E$1, $D28),0) &gt;= 1, true,false)</f>
        <v>1</v>
      </c>
      <c r="F28" s="17" t="b">
        <f t="shared" si="28"/>
        <v>0</v>
      </c>
      <c r="G28" s="17" t="b">
        <f t="shared" si="28"/>
        <v>0</v>
      </c>
      <c r="H28" s="17" t="b">
        <f t="shared" si="28"/>
        <v>0</v>
      </c>
      <c r="I28" s="17" t="b">
        <f t="shared" si="28"/>
        <v>1</v>
      </c>
      <c r="J28" s="17" t="b">
        <f t="shared" si="28"/>
        <v>1</v>
      </c>
      <c r="K28" s="17" t="b">
        <f t="shared" si="28"/>
        <v>1</v>
      </c>
      <c r="L28" s="17"/>
      <c r="M28" s="18" t="b">
        <v>0</v>
      </c>
      <c r="N28" s="18" t="b">
        <v>0</v>
      </c>
      <c r="O28" s="18" t="b">
        <v>0</v>
      </c>
      <c r="P28" s="18" t="b">
        <v>0</v>
      </c>
      <c r="Q28" s="16" t="str">
        <f t="shared" si="3"/>
        <v>Gruuthusemuseum</v>
      </c>
      <c r="R28" s="19">
        <v>15.0</v>
      </c>
      <c r="S28" s="18" t="b">
        <v>0</v>
      </c>
      <c r="T28" s="18" t="b">
        <v>0</v>
      </c>
      <c r="Y28" s="23"/>
    </row>
    <row r="29">
      <c r="A29" s="16" t="s">
        <v>90</v>
      </c>
      <c r="B29" s="16" t="s">
        <v>91</v>
      </c>
      <c r="C29" s="16" t="s">
        <v>28</v>
      </c>
      <c r="D29" s="16" t="s">
        <v>9</v>
      </c>
      <c r="E29" s="17" t="b">
        <f t="shared" ref="E29:K29" si="29">If(IFERROR(SEARCH(E$1, $D29),0) &gt;= 1, true,false)</f>
        <v>0</v>
      </c>
      <c r="F29" s="17" t="b">
        <f t="shared" si="29"/>
        <v>0</v>
      </c>
      <c r="G29" s="17" t="b">
        <f t="shared" si="29"/>
        <v>0</v>
      </c>
      <c r="H29" s="17" t="b">
        <f t="shared" si="29"/>
        <v>0</v>
      </c>
      <c r="I29" s="17" t="b">
        <f t="shared" si="29"/>
        <v>0</v>
      </c>
      <c r="J29" s="17" t="b">
        <f t="shared" si="29"/>
        <v>1</v>
      </c>
      <c r="K29" s="17" t="b">
        <f t="shared" si="29"/>
        <v>0</v>
      </c>
      <c r="L29" s="17"/>
      <c r="M29" s="18" t="b">
        <v>1</v>
      </c>
      <c r="N29" s="18" t="b">
        <v>0</v>
      </c>
      <c r="O29" s="18" t="b">
        <v>0</v>
      </c>
      <c r="P29" s="18" t="b">
        <v>0</v>
      </c>
      <c r="Q29" s="16" t="str">
        <f t="shared" si="3"/>
        <v>Het James Ensorhuis</v>
      </c>
      <c r="R29" s="19">
        <v>13.0</v>
      </c>
      <c r="S29" s="18" t="b">
        <v>0</v>
      </c>
      <c r="T29" s="18" t="b">
        <v>1</v>
      </c>
      <c r="U29" s="29">
        <v>13.0</v>
      </c>
      <c r="Y29" s="23"/>
    </row>
    <row r="30">
      <c r="A30" s="16" t="s">
        <v>92</v>
      </c>
      <c r="B30" s="16"/>
      <c r="C30" s="16" t="s">
        <v>28</v>
      </c>
      <c r="D30" s="16" t="s">
        <v>93</v>
      </c>
      <c r="E30" s="17" t="b">
        <f t="shared" ref="E30:K30" si="30">If(IFERROR(SEARCH(E$1, $D30),0) &gt;= 1, true,false)</f>
        <v>0</v>
      </c>
      <c r="F30" s="17" t="b">
        <f t="shared" si="30"/>
        <v>0</v>
      </c>
      <c r="G30" s="17" t="b">
        <f t="shared" si="30"/>
        <v>0</v>
      </c>
      <c r="H30" s="17" t="b">
        <f t="shared" si="30"/>
        <v>1</v>
      </c>
      <c r="I30" s="17" t="b">
        <f t="shared" si="30"/>
        <v>1</v>
      </c>
      <c r="J30" s="17" t="b">
        <f t="shared" si="30"/>
        <v>1</v>
      </c>
      <c r="K30" s="17" t="b">
        <f t="shared" si="30"/>
        <v>0</v>
      </c>
      <c r="L30" s="17"/>
      <c r="M30" s="18" t="b">
        <v>1</v>
      </c>
      <c r="N30" s="18" t="b">
        <v>0</v>
      </c>
      <c r="O30" s="18" t="b">
        <v>1</v>
      </c>
      <c r="P30" s="18" t="b">
        <v>0</v>
      </c>
      <c r="Q30" s="16" t="str">
        <f t="shared" si="3"/>
        <v>Het Lijsternest | Streuvelshuis &amp; Schrijversresidentie</v>
      </c>
      <c r="R30" s="19">
        <v>3.0</v>
      </c>
      <c r="S30" s="18" t="b">
        <v>1</v>
      </c>
      <c r="T30" s="18" t="b">
        <v>0</v>
      </c>
      <c r="U30" s="16"/>
      <c r="Y30" s="23"/>
    </row>
    <row r="31">
      <c r="A31" s="16" t="s">
        <v>94</v>
      </c>
      <c r="B31" s="16"/>
      <c r="C31" s="16" t="s">
        <v>28</v>
      </c>
      <c r="D31" s="16" t="s">
        <v>95</v>
      </c>
      <c r="E31" s="17" t="b">
        <f t="shared" ref="E31:K31" si="31">If(IFERROR(SEARCH(E$1, $D31),0) &gt;= 1, true,false)</f>
        <v>1</v>
      </c>
      <c r="F31" s="17" t="b">
        <f t="shared" si="31"/>
        <v>0</v>
      </c>
      <c r="G31" s="17" t="b">
        <f t="shared" si="31"/>
        <v>0</v>
      </c>
      <c r="H31" s="17" t="b">
        <f t="shared" si="31"/>
        <v>0</v>
      </c>
      <c r="I31" s="17" t="b">
        <f t="shared" si="31"/>
        <v>0</v>
      </c>
      <c r="J31" s="17" t="b">
        <f t="shared" si="31"/>
        <v>1</v>
      </c>
      <c r="K31" s="17" t="b">
        <f t="shared" si="31"/>
        <v>0</v>
      </c>
      <c r="L31" s="17"/>
      <c r="M31" s="18" t="b">
        <v>1</v>
      </c>
      <c r="N31" s="18" t="b">
        <v>0</v>
      </c>
      <c r="O31" s="18" t="b">
        <v>0</v>
      </c>
      <c r="P31" s="18" t="b">
        <v>0</v>
      </c>
      <c r="Q31" s="16" t="str">
        <f t="shared" si="3"/>
        <v>HEY Museum</v>
      </c>
      <c r="R31" s="19">
        <v>10.0</v>
      </c>
      <c r="S31" s="18" t="b">
        <v>0</v>
      </c>
      <c r="T31" s="18" t="b">
        <v>0</v>
      </c>
      <c r="U31" s="16"/>
      <c r="Y31" s="23"/>
    </row>
    <row r="32">
      <c r="A32" s="16" t="s">
        <v>96</v>
      </c>
      <c r="B32" s="16" t="s">
        <v>97</v>
      </c>
      <c r="C32" s="16" t="s">
        <v>28</v>
      </c>
      <c r="D32" s="16" t="s">
        <v>4</v>
      </c>
      <c r="E32" s="17" t="b">
        <f t="shared" ref="E32:K32" si="32">If(IFERROR(SEARCH(E$1, $D32),0) &gt;= 1, true,false)</f>
        <v>1</v>
      </c>
      <c r="F32" s="17" t="b">
        <f t="shared" si="32"/>
        <v>0</v>
      </c>
      <c r="G32" s="17" t="b">
        <f t="shared" si="32"/>
        <v>0</v>
      </c>
      <c r="H32" s="17" t="b">
        <f t="shared" si="32"/>
        <v>0</v>
      </c>
      <c r="I32" s="17" t="b">
        <f t="shared" si="32"/>
        <v>0</v>
      </c>
      <c r="J32" s="17" t="b">
        <f t="shared" si="32"/>
        <v>0</v>
      </c>
      <c r="K32" s="17" t="b">
        <f t="shared" si="32"/>
        <v>0</v>
      </c>
      <c r="L32" s="17"/>
      <c r="M32" s="18" t="b">
        <v>1</v>
      </c>
      <c r="N32" s="18" t="b">
        <v>1</v>
      </c>
      <c r="O32" s="18" t="b">
        <v>0</v>
      </c>
      <c r="P32" s="18" t="b">
        <v>0</v>
      </c>
      <c r="Q32" s="16" t="str">
        <f t="shared" si="3"/>
        <v>Hopmuseum Poperinge</v>
      </c>
      <c r="R32" s="19">
        <v>7.0</v>
      </c>
      <c r="S32" s="18" t="b">
        <v>0</v>
      </c>
      <c r="T32" s="18" t="b">
        <v>0</v>
      </c>
      <c r="U32" s="16"/>
      <c r="Y32" s="23"/>
    </row>
    <row r="33">
      <c r="A33" s="16" t="s">
        <v>98</v>
      </c>
      <c r="B33" s="16" t="s">
        <v>99</v>
      </c>
      <c r="C33" s="16" t="s">
        <v>28</v>
      </c>
      <c r="D33" s="16" t="s">
        <v>4</v>
      </c>
      <c r="E33" s="17" t="b">
        <f t="shared" ref="E33:K33" si="33">If(IFERROR(SEARCH(E$1, $D33),0) &gt;= 1, true,false)</f>
        <v>1</v>
      </c>
      <c r="F33" s="17" t="b">
        <f t="shared" si="33"/>
        <v>0</v>
      </c>
      <c r="G33" s="17" t="b">
        <f t="shared" si="33"/>
        <v>0</v>
      </c>
      <c r="H33" s="17" t="b">
        <f t="shared" si="33"/>
        <v>0</v>
      </c>
      <c r="I33" s="17" t="b">
        <f t="shared" si="33"/>
        <v>0</v>
      </c>
      <c r="J33" s="17" t="b">
        <f t="shared" si="33"/>
        <v>0</v>
      </c>
      <c r="K33" s="17" t="b">
        <f t="shared" si="33"/>
        <v>0</v>
      </c>
      <c r="L33" s="17"/>
      <c r="M33" s="18" t="b">
        <v>1</v>
      </c>
      <c r="N33" s="18" t="b">
        <v>1</v>
      </c>
      <c r="O33" s="18" t="b">
        <v>0</v>
      </c>
      <c r="P33" s="18" t="b">
        <v>0</v>
      </c>
      <c r="Q33" s="16" t="str">
        <f t="shared" si="3"/>
        <v>In Flanders Fields Museum</v>
      </c>
      <c r="R33" s="19">
        <v>12.0</v>
      </c>
      <c r="S33" s="18" t="b">
        <v>0</v>
      </c>
      <c r="T33" s="18" t="b">
        <v>1</v>
      </c>
      <c r="U33" s="30">
        <v>12.0</v>
      </c>
      <c r="Y33" s="23"/>
    </row>
    <row r="34">
      <c r="A34" s="16" t="s">
        <v>100</v>
      </c>
      <c r="B34" s="16" t="s">
        <v>101</v>
      </c>
      <c r="C34" s="16" t="s">
        <v>28</v>
      </c>
      <c r="D34" s="16" t="s">
        <v>102</v>
      </c>
      <c r="E34" s="17" t="b">
        <f t="shared" ref="E34:K34" si="34">If(IFERROR(SEARCH(E$1, $D34),0) &gt;= 1, true,false)</f>
        <v>1</v>
      </c>
      <c r="F34" s="17" t="b">
        <f t="shared" si="34"/>
        <v>0</v>
      </c>
      <c r="G34" s="17" t="b">
        <f t="shared" si="34"/>
        <v>1</v>
      </c>
      <c r="H34" s="17" t="b">
        <f t="shared" si="34"/>
        <v>0</v>
      </c>
      <c r="I34" s="17" t="b">
        <f t="shared" si="34"/>
        <v>0</v>
      </c>
      <c r="J34" s="17" t="b">
        <f t="shared" si="34"/>
        <v>0</v>
      </c>
      <c r="K34" s="17" t="b">
        <f t="shared" si="34"/>
        <v>1</v>
      </c>
      <c r="L34" s="17"/>
      <c r="M34" s="18" t="b">
        <v>1</v>
      </c>
      <c r="N34" s="18" t="b">
        <v>0</v>
      </c>
      <c r="O34" s="18" t="b">
        <v>0</v>
      </c>
      <c r="P34" s="18" t="b">
        <v>0</v>
      </c>
      <c r="Q34" s="16" t="str">
        <f t="shared" si="3"/>
        <v>Kantmuseum Brugge</v>
      </c>
      <c r="R34" s="19">
        <v>8.0</v>
      </c>
      <c r="S34" s="18" t="b">
        <v>0</v>
      </c>
      <c r="T34" s="18" t="b">
        <v>0</v>
      </c>
      <c r="U34" s="21"/>
      <c r="Y34" s="23"/>
    </row>
    <row r="35">
      <c r="A35" s="16" t="s">
        <v>103</v>
      </c>
      <c r="B35" s="16" t="s">
        <v>104</v>
      </c>
      <c r="C35" s="16" t="s">
        <v>28</v>
      </c>
      <c r="D35" s="16" t="s">
        <v>95</v>
      </c>
      <c r="E35" s="17" t="b">
        <f t="shared" ref="E35:K35" si="35">If(IFERROR(SEARCH(E$1, $D35),0) &gt;= 1, true,false)</f>
        <v>1</v>
      </c>
      <c r="F35" s="17" t="b">
        <f t="shared" si="35"/>
        <v>0</v>
      </c>
      <c r="G35" s="17" t="b">
        <f t="shared" si="35"/>
        <v>0</v>
      </c>
      <c r="H35" s="17" t="b">
        <f t="shared" si="35"/>
        <v>0</v>
      </c>
      <c r="I35" s="17" t="b">
        <f t="shared" si="35"/>
        <v>0</v>
      </c>
      <c r="J35" s="17" t="b">
        <f t="shared" si="35"/>
        <v>1</v>
      </c>
      <c r="K35" s="17" t="b">
        <f t="shared" si="35"/>
        <v>0</v>
      </c>
      <c r="L35" s="17"/>
      <c r="M35" s="18" t="b">
        <v>1</v>
      </c>
      <c r="N35" s="18" t="b">
        <v>0</v>
      </c>
      <c r="O35" s="18" t="b">
        <v>1</v>
      </c>
      <c r="P35" s="18" t="b">
        <v>0</v>
      </c>
      <c r="Q35" s="16" t="str">
        <f t="shared" si="3"/>
        <v>Kasteel van Loppem</v>
      </c>
      <c r="R35" s="19">
        <v>9.0</v>
      </c>
      <c r="S35" s="18" t="b">
        <v>0</v>
      </c>
      <c r="T35" s="18" t="b">
        <v>0</v>
      </c>
      <c r="U35" s="21"/>
      <c r="Y35" s="23"/>
    </row>
    <row r="36">
      <c r="A36" s="16" t="s">
        <v>105</v>
      </c>
      <c r="B36" s="16" t="s">
        <v>106</v>
      </c>
      <c r="C36" s="16" t="s">
        <v>28</v>
      </c>
      <c r="D36" s="16" t="s">
        <v>107</v>
      </c>
      <c r="E36" s="17" t="b">
        <f t="shared" ref="E36:K36" si="36">If(IFERROR(SEARCH(E$1, $D36),0) &gt;= 1, true,false)</f>
        <v>1</v>
      </c>
      <c r="F36" s="17" t="b">
        <f t="shared" si="36"/>
        <v>1</v>
      </c>
      <c r="G36" s="17" t="b">
        <f t="shared" si="36"/>
        <v>0</v>
      </c>
      <c r="H36" s="17" t="b">
        <f t="shared" si="36"/>
        <v>0</v>
      </c>
      <c r="I36" s="17" t="b">
        <f t="shared" si="36"/>
        <v>0</v>
      </c>
      <c r="J36" s="17" t="b">
        <f t="shared" si="36"/>
        <v>0</v>
      </c>
      <c r="K36" s="17" t="b">
        <f t="shared" si="36"/>
        <v>0</v>
      </c>
      <c r="L36" s="17"/>
      <c r="M36" s="18" t="b">
        <v>1</v>
      </c>
      <c r="N36" s="18" t="b">
        <v>1</v>
      </c>
      <c r="O36" s="18" t="b">
        <v>0</v>
      </c>
      <c r="P36" s="18" t="b">
        <v>1</v>
      </c>
      <c r="Q36" s="16" t="str">
        <f t="shared" si="3"/>
        <v>KOERS | Museum van de Wielersport</v>
      </c>
      <c r="R36" s="19">
        <v>9.0</v>
      </c>
      <c r="S36" s="18" t="b">
        <v>0</v>
      </c>
      <c r="T36" s="18" t="b">
        <v>0</v>
      </c>
      <c r="U36" s="21"/>
      <c r="Y36" s="23"/>
    </row>
    <row r="37">
      <c r="A37" s="16" t="s">
        <v>108</v>
      </c>
      <c r="B37" s="16" t="s">
        <v>109</v>
      </c>
      <c r="C37" s="17" t="s">
        <v>28</v>
      </c>
      <c r="D37" s="16" t="s">
        <v>4</v>
      </c>
      <c r="E37" s="17" t="b">
        <f t="shared" ref="E37:K37" si="37">If(IFERROR(SEARCH(E$1, $D37),0) &gt;= 1, true,false)</f>
        <v>1</v>
      </c>
      <c r="F37" s="17" t="b">
        <f t="shared" si="37"/>
        <v>0</v>
      </c>
      <c r="G37" s="17" t="b">
        <f t="shared" si="37"/>
        <v>0</v>
      </c>
      <c r="H37" s="17" t="b">
        <f t="shared" si="37"/>
        <v>0</v>
      </c>
      <c r="I37" s="17" t="b">
        <f t="shared" si="37"/>
        <v>0</v>
      </c>
      <c r="J37" s="17" t="b">
        <f t="shared" si="37"/>
        <v>0</v>
      </c>
      <c r="K37" s="17" t="b">
        <f t="shared" si="37"/>
        <v>0</v>
      </c>
      <c r="L37" s="17"/>
      <c r="M37" s="18" t="b">
        <v>1</v>
      </c>
      <c r="N37" s="18" t="b">
        <v>1</v>
      </c>
      <c r="O37" s="18" t="b">
        <v>1</v>
      </c>
      <c r="P37" s="18" t="b">
        <v>0</v>
      </c>
      <c r="Q37" s="16" t="str">
        <f t="shared" si="3"/>
        <v>Museum aan de IJzer</v>
      </c>
      <c r="R37" s="19">
        <v>9.5</v>
      </c>
      <c r="S37" s="18" t="b">
        <v>0</v>
      </c>
      <c r="T37" s="18" t="b">
        <v>1</v>
      </c>
      <c r="U37" s="30">
        <v>9.5</v>
      </c>
      <c r="Y37" s="23"/>
    </row>
    <row r="38">
      <c r="A38" s="16" t="s">
        <v>110</v>
      </c>
      <c r="B38" s="16" t="s">
        <v>111</v>
      </c>
      <c r="C38" s="17" t="s">
        <v>28</v>
      </c>
      <c r="D38" s="16" t="s">
        <v>70</v>
      </c>
      <c r="E38" s="17" t="b">
        <f t="shared" ref="E38:K38" si="38">If(IFERROR(SEARCH(E$1, $D38),0) &gt;= 1, true,false)</f>
        <v>1</v>
      </c>
      <c r="F38" s="17" t="b">
        <f t="shared" si="38"/>
        <v>1</v>
      </c>
      <c r="G38" s="17" t="b">
        <f t="shared" si="38"/>
        <v>0</v>
      </c>
      <c r="H38" s="17" t="b">
        <f t="shared" si="38"/>
        <v>0</v>
      </c>
      <c r="I38" s="17" t="b">
        <f t="shared" si="38"/>
        <v>1</v>
      </c>
      <c r="J38" s="17" t="b">
        <f t="shared" si="38"/>
        <v>1</v>
      </c>
      <c r="K38" s="17" t="b">
        <f t="shared" si="38"/>
        <v>1</v>
      </c>
      <c r="L38" s="17"/>
      <c r="M38" s="18" t="b">
        <v>1</v>
      </c>
      <c r="N38" s="18" t="b">
        <v>0</v>
      </c>
      <c r="O38" s="18" t="b">
        <v>0</v>
      </c>
      <c r="P38" s="18" t="b">
        <v>0</v>
      </c>
      <c r="Q38" s="16" t="str">
        <f t="shared" si="3"/>
        <v>Museum Sint-Janshospitaal</v>
      </c>
      <c r="R38" s="19">
        <v>15.0</v>
      </c>
      <c r="S38" s="18" t="b">
        <v>0</v>
      </c>
      <c r="T38" s="18" t="b">
        <v>1</v>
      </c>
      <c r="U38" s="30">
        <v>15.0</v>
      </c>
      <c r="Y38" s="23"/>
    </row>
    <row r="39">
      <c r="A39" s="16" t="s">
        <v>112</v>
      </c>
      <c r="B39" s="16" t="s">
        <v>113</v>
      </c>
      <c r="C39" s="17" t="s">
        <v>28</v>
      </c>
      <c r="D39" s="16" t="s">
        <v>9</v>
      </c>
      <c r="E39" s="17" t="b">
        <f t="shared" ref="E39:K39" si="39">If(IFERROR(SEARCH(E$1, $D39),0) &gt;= 1, true,false)</f>
        <v>0</v>
      </c>
      <c r="F39" s="17" t="b">
        <f t="shared" si="39"/>
        <v>0</v>
      </c>
      <c r="G39" s="17" t="b">
        <f t="shared" si="39"/>
        <v>0</v>
      </c>
      <c r="H39" s="17" t="b">
        <f t="shared" si="39"/>
        <v>0</v>
      </c>
      <c r="I39" s="17" t="b">
        <f t="shared" si="39"/>
        <v>0</v>
      </c>
      <c r="J39" s="17" t="b">
        <f t="shared" si="39"/>
        <v>1</v>
      </c>
      <c r="K39" s="17" t="b">
        <f t="shared" si="39"/>
        <v>0</v>
      </c>
      <c r="L39" s="17"/>
      <c r="M39" s="18" t="b">
        <v>1</v>
      </c>
      <c r="N39" s="18" t="b">
        <v>0</v>
      </c>
      <c r="O39" s="18" t="b">
        <v>0</v>
      </c>
      <c r="P39" s="18" t="b">
        <v>0</v>
      </c>
      <c r="Q39" s="16" t="str">
        <f t="shared" si="3"/>
        <v>Mu.ZEE | Kunstmuseum aan Zee</v>
      </c>
      <c r="R39" s="19">
        <v>12.0</v>
      </c>
      <c r="S39" s="18" t="b">
        <v>1</v>
      </c>
      <c r="T39" s="18" t="b">
        <v>1</v>
      </c>
      <c r="U39" s="30">
        <v>12.0</v>
      </c>
      <c r="Y39" s="23"/>
    </row>
    <row r="40">
      <c r="A40" s="16" t="s">
        <v>114</v>
      </c>
      <c r="B40" s="16" t="s">
        <v>115</v>
      </c>
      <c r="C40" s="17" t="s">
        <v>28</v>
      </c>
      <c r="D40" s="16" t="s">
        <v>4</v>
      </c>
      <c r="E40" s="17" t="b">
        <f t="shared" ref="E40:K40" si="40">If(IFERROR(SEARCH(E$1, $D40),0) &gt;= 1, true,false)</f>
        <v>1</v>
      </c>
      <c r="F40" s="17" t="b">
        <f t="shared" si="40"/>
        <v>0</v>
      </c>
      <c r="G40" s="17" t="b">
        <f t="shared" si="40"/>
        <v>0</v>
      </c>
      <c r="H40" s="17" t="b">
        <f t="shared" si="40"/>
        <v>0</v>
      </c>
      <c r="I40" s="17" t="b">
        <f t="shared" si="40"/>
        <v>0</v>
      </c>
      <c r="J40" s="17" t="b">
        <f t="shared" si="40"/>
        <v>0</v>
      </c>
      <c r="K40" s="17" t="b">
        <f t="shared" si="40"/>
        <v>0</v>
      </c>
      <c r="L40" s="17"/>
      <c r="M40" s="18" t="b">
        <v>0</v>
      </c>
      <c r="N40" s="18" t="b">
        <v>0</v>
      </c>
      <c r="O40" s="18" t="b">
        <v>0</v>
      </c>
      <c r="P40" s="18" t="b">
        <v>0</v>
      </c>
      <c r="Q40" s="16" t="str">
        <f t="shared" si="3"/>
        <v>Nationaal Tabaksmuseum</v>
      </c>
      <c r="R40" s="19">
        <v>4.5</v>
      </c>
      <c r="S40" s="18" t="b">
        <v>0</v>
      </c>
      <c r="T40" s="18" t="b">
        <v>1</v>
      </c>
      <c r="U40" s="31">
        <v>4.5</v>
      </c>
      <c r="Y40" s="23"/>
    </row>
    <row r="41">
      <c r="A41" s="16" t="s">
        <v>116</v>
      </c>
      <c r="B41" s="16" t="s">
        <v>117</v>
      </c>
      <c r="C41" s="17" t="s">
        <v>28</v>
      </c>
      <c r="D41" s="16" t="s">
        <v>42</v>
      </c>
      <c r="E41" s="17" t="b">
        <f t="shared" ref="E41:K41" si="41">If(IFERROR(SEARCH(E$1, $D41),0) &gt;= 1, true,false)</f>
        <v>0</v>
      </c>
      <c r="F41" s="17" t="b">
        <f t="shared" si="41"/>
        <v>1</v>
      </c>
      <c r="G41" s="17" t="b">
        <f t="shared" si="41"/>
        <v>0</v>
      </c>
      <c r="H41" s="17" t="b">
        <f t="shared" si="41"/>
        <v>0</v>
      </c>
      <c r="I41" s="17" t="b">
        <f t="shared" si="41"/>
        <v>0</v>
      </c>
      <c r="J41" s="17" t="b">
        <f t="shared" si="41"/>
        <v>1</v>
      </c>
      <c r="K41" s="17" t="b">
        <f t="shared" si="41"/>
        <v>0</v>
      </c>
      <c r="L41" s="17"/>
      <c r="M41" s="18" t="b">
        <v>1</v>
      </c>
      <c r="N41" s="18" t="b">
        <v>1</v>
      </c>
      <c r="O41" s="18" t="b">
        <v>1</v>
      </c>
      <c r="P41" s="18" t="b">
        <v>1</v>
      </c>
      <c r="Q41" s="16" t="str">
        <f t="shared" si="3"/>
        <v>NAVIGO Visserijmuseum</v>
      </c>
      <c r="R41" s="19">
        <v>10.0</v>
      </c>
      <c r="S41" s="20" t="b">
        <v>0</v>
      </c>
      <c r="T41" s="18" t="b">
        <v>1</v>
      </c>
      <c r="U41" s="30">
        <v>0.0</v>
      </c>
      <c r="Y41" s="23"/>
    </row>
    <row r="42">
      <c r="A42" s="16" t="s">
        <v>118</v>
      </c>
      <c r="B42" s="16" t="s">
        <v>119</v>
      </c>
      <c r="C42" s="17" t="s">
        <v>28</v>
      </c>
      <c r="D42" s="16" t="s">
        <v>120</v>
      </c>
      <c r="E42" s="17" t="b">
        <f t="shared" ref="E42:K42" si="42">If(IFERROR(SEARCH(E$1, $D42),0) &gt;= 1, true,false)</f>
        <v>0</v>
      </c>
      <c r="F42" s="17" t="b">
        <f t="shared" si="42"/>
        <v>0</v>
      </c>
      <c r="G42" s="17" t="b">
        <f t="shared" si="42"/>
        <v>0</v>
      </c>
      <c r="H42" s="17" t="b">
        <f t="shared" si="42"/>
        <v>0</v>
      </c>
      <c r="I42" s="17" t="b">
        <f t="shared" si="42"/>
        <v>1</v>
      </c>
      <c r="J42" s="17" t="b">
        <f t="shared" si="42"/>
        <v>1</v>
      </c>
      <c r="K42" s="17" t="b">
        <f t="shared" si="42"/>
        <v>0</v>
      </c>
      <c r="L42" s="17"/>
      <c r="M42" s="18" t="b">
        <v>0</v>
      </c>
      <c r="N42" s="18" t="b">
        <v>0</v>
      </c>
      <c r="O42" s="18" t="b">
        <v>0</v>
      </c>
      <c r="P42" s="18" t="b">
        <v>0</v>
      </c>
      <c r="Q42" s="16" t="str">
        <f t="shared" si="3"/>
        <v>O.L.V.-kerk Museum</v>
      </c>
      <c r="R42" s="19">
        <v>8.0</v>
      </c>
      <c r="S42" s="20" t="b">
        <v>0</v>
      </c>
      <c r="T42" s="18" t="b">
        <v>0</v>
      </c>
      <c r="U42" s="21"/>
      <c r="Y42" s="23"/>
    </row>
    <row r="43">
      <c r="A43" s="16" t="s">
        <v>121</v>
      </c>
      <c r="B43" s="16" t="s">
        <v>122</v>
      </c>
      <c r="C43" s="17" t="s">
        <v>28</v>
      </c>
      <c r="D43" s="16" t="s">
        <v>68</v>
      </c>
      <c r="E43" s="17" t="b">
        <f t="shared" ref="E43:K43" si="43">If(IFERROR(SEARCH(E$1, $D43),0) &gt;= 1, true,false)</f>
        <v>1</v>
      </c>
      <c r="F43" s="17" t="b">
        <f t="shared" si="43"/>
        <v>0</v>
      </c>
      <c r="G43" s="17" t="b">
        <f t="shared" si="43"/>
        <v>0</v>
      </c>
      <c r="H43" s="17" t="b">
        <f t="shared" si="43"/>
        <v>0</v>
      </c>
      <c r="I43" s="17" t="b">
        <f t="shared" si="43"/>
        <v>1</v>
      </c>
      <c r="J43" s="17" t="b">
        <f t="shared" si="43"/>
        <v>1</v>
      </c>
      <c r="K43" s="17" t="b">
        <f t="shared" si="43"/>
        <v>1</v>
      </c>
      <c r="L43" s="17"/>
      <c r="M43" s="18" t="b">
        <v>0</v>
      </c>
      <c r="N43" s="18" t="b">
        <v>0</v>
      </c>
      <c r="O43" s="18" t="b">
        <v>0</v>
      </c>
      <c r="P43" s="18" t="b">
        <v>0</v>
      </c>
      <c r="Q43" s="16" t="str">
        <f t="shared" si="3"/>
        <v>O.L.V. ter Potterie</v>
      </c>
      <c r="R43" s="19">
        <v>8.0</v>
      </c>
      <c r="S43" s="20" t="b">
        <v>0</v>
      </c>
      <c r="T43" s="18" t="b">
        <v>0</v>
      </c>
      <c r="U43" s="16"/>
      <c r="Y43" s="23"/>
    </row>
    <row r="44">
      <c r="A44" s="16" t="s">
        <v>123</v>
      </c>
      <c r="B44" s="16"/>
      <c r="C44" s="17" t="s">
        <v>28</v>
      </c>
      <c r="D44" s="16" t="s">
        <v>4</v>
      </c>
      <c r="E44" s="17" t="b">
        <f t="shared" ref="E44:K44" si="44">If(IFERROR(SEARCH(E$1, $D44),0) &gt;= 1, true,false)</f>
        <v>1</v>
      </c>
      <c r="F44" s="17" t="b">
        <f t="shared" si="44"/>
        <v>0</v>
      </c>
      <c r="G44" s="17" t="b">
        <f t="shared" si="44"/>
        <v>0</v>
      </c>
      <c r="H44" s="17" t="b">
        <f t="shared" si="44"/>
        <v>0</v>
      </c>
      <c r="I44" s="17" t="b">
        <f t="shared" si="44"/>
        <v>0</v>
      </c>
      <c r="J44" s="17" t="b">
        <f t="shared" si="44"/>
        <v>0</v>
      </c>
      <c r="K44" s="17" t="b">
        <f t="shared" si="44"/>
        <v>0</v>
      </c>
      <c r="L44" s="17"/>
      <c r="M44" s="18" t="b">
        <v>1</v>
      </c>
      <c r="N44" s="18" t="b">
        <v>0</v>
      </c>
      <c r="O44" s="18" t="b">
        <v>1</v>
      </c>
      <c r="P44" s="18" t="b">
        <v>0</v>
      </c>
      <c r="Q44" s="16" t="str">
        <f t="shared" si="3"/>
        <v>Passchendaele Museum</v>
      </c>
      <c r="R44" s="19">
        <v>13.0</v>
      </c>
      <c r="S44" s="20" t="b">
        <v>0</v>
      </c>
      <c r="T44" s="18" t="b">
        <v>1</v>
      </c>
      <c r="U44" s="30">
        <v>13.0</v>
      </c>
      <c r="Y44" s="23"/>
    </row>
    <row r="45">
      <c r="A45" s="16" t="s">
        <v>124</v>
      </c>
      <c r="B45" s="16" t="s">
        <v>125</v>
      </c>
      <c r="C45" s="17" t="s">
        <v>28</v>
      </c>
      <c r="D45" s="16" t="s">
        <v>9</v>
      </c>
      <c r="E45" s="17" t="b">
        <f t="shared" ref="E45:K45" si="45">If(IFERROR(SEARCH(E$1, $D45),0) &gt;= 1, true,false)</f>
        <v>0</v>
      </c>
      <c r="F45" s="17" t="b">
        <f t="shared" si="45"/>
        <v>0</v>
      </c>
      <c r="G45" s="17" t="b">
        <f t="shared" si="45"/>
        <v>0</v>
      </c>
      <c r="H45" s="17" t="b">
        <f t="shared" si="45"/>
        <v>0</v>
      </c>
      <c r="I45" s="17" t="b">
        <f t="shared" si="45"/>
        <v>0</v>
      </c>
      <c r="J45" s="17" t="b">
        <f t="shared" si="45"/>
        <v>1</v>
      </c>
      <c r="K45" s="17" t="b">
        <f t="shared" si="45"/>
        <v>0</v>
      </c>
      <c r="L45" s="17"/>
      <c r="M45" s="18" t="b">
        <v>1</v>
      </c>
      <c r="N45" s="18" t="b">
        <v>1</v>
      </c>
      <c r="O45" s="18" t="b">
        <v>1</v>
      </c>
      <c r="P45" s="18" t="b">
        <v>0</v>
      </c>
      <c r="Q45" s="16" t="str">
        <f t="shared" si="3"/>
        <v>Paul Delvaux Museum</v>
      </c>
      <c r="R45" s="19">
        <v>12.0</v>
      </c>
      <c r="S45" s="20" t="b">
        <v>0</v>
      </c>
      <c r="T45" s="18" t="b">
        <v>0</v>
      </c>
      <c r="U45" s="21"/>
      <c r="Y45" s="23"/>
    </row>
    <row r="46">
      <c r="A46" s="16" t="s">
        <v>126</v>
      </c>
      <c r="B46" s="16"/>
      <c r="C46" s="17" t="s">
        <v>28</v>
      </c>
      <c r="D46" s="16" t="s">
        <v>9</v>
      </c>
      <c r="E46" s="17" t="b">
        <f t="shared" ref="E46:K46" si="46">If(IFERROR(SEARCH(E$1, $D46),0) &gt;= 1, true,false)</f>
        <v>0</v>
      </c>
      <c r="F46" s="17" t="b">
        <f t="shared" si="46"/>
        <v>0</v>
      </c>
      <c r="G46" s="17" t="b">
        <f t="shared" si="46"/>
        <v>0</v>
      </c>
      <c r="H46" s="17" t="b">
        <f t="shared" si="46"/>
        <v>0</v>
      </c>
      <c r="I46" s="17" t="b">
        <f t="shared" si="46"/>
        <v>0</v>
      </c>
      <c r="J46" s="17" t="b">
        <f t="shared" si="46"/>
        <v>1</v>
      </c>
      <c r="K46" s="17" t="b">
        <f t="shared" si="46"/>
        <v>0</v>
      </c>
      <c r="L46" s="17"/>
      <c r="M46" s="18" t="b">
        <v>1</v>
      </c>
      <c r="N46" s="18" t="b">
        <v>0</v>
      </c>
      <c r="O46" s="18" t="b">
        <v>0</v>
      </c>
      <c r="P46" s="18" t="b">
        <v>0</v>
      </c>
      <c r="Q46" s="16" t="str">
        <f t="shared" si="3"/>
        <v>Peiremuzee</v>
      </c>
      <c r="R46" s="19">
        <v>12.0</v>
      </c>
      <c r="S46" s="20" t="b">
        <v>0</v>
      </c>
      <c r="T46" s="18" t="b">
        <v>0</v>
      </c>
      <c r="U46" s="16"/>
      <c r="Y46" s="23"/>
    </row>
    <row r="47">
      <c r="A47" s="16" t="s">
        <v>127</v>
      </c>
      <c r="B47" s="16" t="s">
        <v>128</v>
      </c>
      <c r="C47" s="17" t="s">
        <v>28</v>
      </c>
      <c r="D47" s="16" t="s">
        <v>9</v>
      </c>
      <c r="E47" s="17" t="b">
        <f t="shared" ref="E47:K47" si="47">If(IFERROR(SEARCH(E$1, $D47),0) &gt;= 1, true,false)</f>
        <v>0</v>
      </c>
      <c r="F47" s="17" t="b">
        <f t="shared" si="47"/>
        <v>0</v>
      </c>
      <c r="G47" s="17" t="b">
        <f t="shared" si="47"/>
        <v>0</v>
      </c>
      <c r="H47" s="17" t="b">
        <f t="shared" si="47"/>
        <v>0</v>
      </c>
      <c r="I47" s="17" t="b">
        <f t="shared" si="47"/>
        <v>0</v>
      </c>
      <c r="J47" s="17" t="b">
        <f t="shared" si="47"/>
        <v>1</v>
      </c>
      <c r="K47" s="17" t="b">
        <f t="shared" si="47"/>
        <v>0</v>
      </c>
      <c r="L47" s="17"/>
      <c r="M47" s="18" t="b">
        <v>0</v>
      </c>
      <c r="N47" s="18" t="b">
        <v>0</v>
      </c>
      <c r="O47" s="18" t="b">
        <v>0</v>
      </c>
      <c r="P47" s="18" t="b">
        <v>0</v>
      </c>
      <c r="Q47" s="16" t="str">
        <f t="shared" si="3"/>
        <v>Permekemuseum</v>
      </c>
      <c r="R47" s="19">
        <v>12.0</v>
      </c>
      <c r="S47" s="20" t="b">
        <v>0</v>
      </c>
      <c r="T47" s="18" t="b">
        <v>0</v>
      </c>
      <c r="U47" s="16"/>
      <c r="Y47" s="23"/>
    </row>
    <row r="48">
      <c r="A48" s="16" t="s">
        <v>129</v>
      </c>
      <c r="B48" s="16" t="s">
        <v>130</v>
      </c>
      <c r="C48" s="17" t="s">
        <v>28</v>
      </c>
      <c r="D48" s="16" t="s">
        <v>4</v>
      </c>
      <c r="E48" s="17" t="b">
        <f t="shared" ref="E48:K48" si="48">If(IFERROR(SEARCH(E$1, $D48),0) &gt;= 1, true,false)</f>
        <v>1</v>
      </c>
      <c r="F48" s="17" t="b">
        <f t="shared" si="48"/>
        <v>0</v>
      </c>
      <c r="G48" s="17" t="b">
        <f t="shared" si="48"/>
        <v>0</v>
      </c>
      <c r="H48" s="17" t="b">
        <f t="shared" si="48"/>
        <v>0</v>
      </c>
      <c r="I48" s="17" t="b">
        <f t="shared" si="48"/>
        <v>0</v>
      </c>
      <c r="J48" s="17" t="b">
        <f t="shared" si="48"/>
        <v>0</v>
      </c>
      <c r="K48" s="17" t="b">
        <f t="shared" si="48"/>
        <v>0</v>
      </c>
      <c r="L48" s="17"/>
      <c r="M48" s="18" t="b">
        <v>1</v>
      </c>
      <c r="N48" s="18" t="b">
        <v>1</v>
      </c>
      <c r="O48" s="18" t="b">
        <v>1</v>
      </c>
      <c r="P48" s="18" t="b">
        <v>0</v>
      </c>
      <c r="Q48" s="16" t="str">
        <f t="shared" si="3"/>
        <v>Romeins Archeologisch Museum Oudenburg</v>
      </c>
      <c r="R48" s="26">
        <v>8.0</v>
      </c>
      <c r="S48" s="18" t="b">
        <v>0</v>
      </c>
      <c r="T48" s="18" t="b">
        <v>0</v>
      </c>
      <c r="Y48" s="23"/>
    </row>
    <row r="49">
      <c r="A49" s="16" t="s">
        <v>131</v>
      </c>
      <c r="B49" s="16" t="s">
        <v>132</v>
      </c>
      <c r="C49" s="17" t="s">
        <v>28</v>
      </c>
      <c r="D49" s="16" t="s">
        <v>107</v>
      </c>
      <c r="E49" s="17" t="b">
        <f t="shared" ref="E49:K49" si="49">If(IFERROR(SEARCH(E$1, $D49),0) &gt;= 1, true,false)</f>
        <v>1</v>
      </c>
      <c r="F49" s="17" t="b">
        <f t="shared" si="49"/>
        <v>1</v>
      </c>
      <c r="G49" s="17" t="b">
        <f t="shared" si="49"/>
        <v>0</v>
      </c>
      <c r="H49" s="17" t="b">
        <f t="shared" si="49"/>
        <v>0</v>
      </c>
      <c r="I49" s="17" t="b">
        <f t="shared" si="49"/>
        <v>0</v>
      </c>
      <c r="J49" s="17" t="b">
        <f t="shared" si="49"/>
        <v>0</v>
      </c>
      <c r="K49" s="17" t="b">
        <f t="shared" si="49"/>
        <v>0</v>
      </c>
      <c r="L49" s="17"/>
      <c r="M49" s="18" t="b">
        <v>0</v>
      </c>
      <c r="N49" s="18" t="b">
        <v>0</v>
      </c>
      <c r="O49" s="18" t="b">
        <v>0</v>
      </c>
      <c r="P49" s="18" t="b">
        <v>0</v>
      </c>
      <c r="Q49" s="16" t="str">
        <f t="shared" si="3"/>
        <v>Sint-Janshuismolen</v>
      </c>
      <c r="R49" s="19">
        <v>5.0</v>
      </c>
      <c r="S49" s="18" t="b">
        <v>0</v>
      </c>
      <c r="T49" s="18" t="b">
        <v>0</v>
      </c>
      <c r="Y49" s="23"/>
    </row>
    <row r="50">
      <c r="A50" s="16" t="s">
        <v>133</v>
      </c>
      <c r="B50" s="16" t="s">
        <v>134</v>
      </c>
      <c r="C50" s="17" t="s">
        <v>28</v>
      </c>
      <c r="D50" s="16" t="s">
        <v>68</v>
      </c>
      <c r="E50" s="17" t="b">
        <f t="shared" ref="E50:K50" si="50">If(IFERROR(SEARCH(E$1, $D50),0) &gt;= 1, true,false)</f>
        <v>1</v>
      </c>
      <c r="F50" s="17" t="b">
        <f t="shared" si="50"/>
        <v>0</v>
      </c>
      <c r="G50" s="17" t="b">
        <f t="shared" si="50"/>
        <v>0</v>
      </c>
      <c r="H50" s="17" t="b">
        <f t="shared" si="50"/>
        <v>0</v>
      </c>
      <c r="I50" s="17" t="b">
        <f t="shared" si="50"/>
        <v>1</v>
      </c>
      <c r="J50" s="17" t="b">
        <f t="shared" si="50"/>
        <v>1</v>
      </c>
      <c r="K50" s="17" t="b">
        <f t="shared" si="50"/>
        <v>1</v>
      </c>
      <c r="L50" s="17"/>
      <c r="M50" s="18" t="b">
        <v>0</v>
      </c>
      <c r="N50" s="18" t="b">
        <v>0</v>
      </c>
      <c r="O50" s="18" t="b">
        <v>0</v>
      </c>
      <c r="P50" s="18" t="b">
        <v>0</v>
      </c>
      <c r="Q50" s="16" t="str">
        <f t="shared" si="3"/>
        <v>Stadhuis Brugge</v>
      </c>
      <c r="R50" s="19">
        <v>8.0</v>
      </c>
      <c r="S50" s="18" t="b">
        <v>0</v>
      </c>
      <c r="T50" s="18" t="b">
        <v>0</v>
      </c>
      <c r="Y50" s="23"/>
    </row>
    <row r="51">
      <c r="A51" s="16" t="s">
        <v>135</v>
      </c>
      <c r="B51" s="16"/>
      <c r="C51" s="17" t="s">
        <v>28</v>
      </c>
      <c r="D51" s="16" t="s">
        <v>4</v>
      </c>
      <c r="E51" s="17" t="b">
        <f t="shared" ref="E51:K51" si="51">If(IFERROR(SEARCH(E$1, $D51),0) &gt;= 1, true,false)</f>
        <v>1</v>
      </c>
      <c r="F51" s="17" t="b">
        <f t="shared" si="51"/>
        <v>0</v>
      </c>
      <c r="G51" s="17" t="b">
        <f t="shared" si="51"/>
        <v>0</v>
      </c>
      <c r="H51" s="17" t="b">
        <f t="shared" si="51"/>
        <v>0</v>
      </c>
      <c r="I51" s="17" t="b">
        <f t="shared" si="51"/>
        <v>0</v>
      </c>
      <c r="J51" s="17" t="b">
        <f t="shared" si="51"/>
        <v>0</v>
      </c>
      <c r="K51" s="17" t="b">
        <f t="shared" si="51"/>
        <v>0</v>
      </c>
      <c r="L51" s="17"/>
      <c r="M51" s="18" t="b">
        <v>1</v>
      </c>
      <c r="N51" s="18" t="b">
        <v>0</v>
      </c>
      <c r="O51" s="18" t="b">
        <v>0</v>
      </c>
      <c r="P51" s="18" t="b">
        <v>0</v>
      </c>
      <c r="Q51" s="16" t="str">
        <f t="shared" si="3"/>
        <v>Talbot House</v>
      </c>
      <c r="R51" s="19">
        <v>10.0</v>
      </c>
      <c r="S51" s="18" t="b">
        <v>0</v>
      </c>
      <c r="T51" s="18" t="b">
        <v>1</v>
      </c>
      <c r="U51" s="27">
        <v>10.0</v>
      </c>
      <c r="Y51" s="23"/>
    </row>
    <row r="52">
      <c r="A52" s="16" t="s">
        <v>136</v>
      </c>
      <c r="B52" s="16" t="s">
        <v>137</v>
      </c>
      <c r="C52" s="17" t="s">
        <v>28</v>
      </c>
      <c r="D52" s="16" t="s">
        <v>138</v>
      </c>
      <c r="E52" s="17" t="b">
        <f t="shared" ref="E52:K52" si="52">If(IFERROR(SEARCH(E$1, $D52),0) &gt;= 1, true,false)</f>
        <v>0</v>
      </c>
      <c r="F52" s="17" t="b">
        <f t="shared" si="52"/>
        <v>1</v>
      </c>
      <c r="G52" s="17" t="b">
        <f t="shared" si="52"/>
        <v>1</v>
      </c>
      <c r="H52" s="17" t="b">
        <f t="shared" si="52"/>
        <v>0</v>
      </c>
      <c r="I52" s="17" t="b">
        <f t="shared" si="52"/>
        <v>1</v>
      </c>
      <c r="J52" s="17" t="b">
        <f t="shared" si="52"/>
        <v>0</v>
      </c>
      <c r="K52" s="17" t="b">
        <f t="shared" si="52"/>
        <v>1</v>
      </c>
      <c r="L52" s="17"/>
      <c r="M52" s="18" t="b">
        <v>1</v>
      </c>
      <c r="N52" s="18" t="b">
        <v>1</v>
      </c>
      <c r="O52" s="18" t="b">
        <v>1</v>
      </c>
      <c r="P52" s="18" t="b">
        <v>0</v>
      </c>
      <c r="Q52" s="16" t="str">
        <f t="shared" si="3"/>
        <v>Texture | Museum van Vlas en Textiel</v>
      </c>
      <c r="R52" s="19">
        <v>8.0</v>
      </c>
      <c r="S52" s="18" t="b">
        <v>0</v>
      </c>
      <c r="T52" s="18" t="b">
        <v>1</v>
      </c>
      <c r="U52" s="27">
        <v>8.0</v>
      </c>
      <c r="Y52" s="23"/>
    </row>
    <row r="53">
      <c r="A53" s="16" t="s">
        <v>139</v>
      </c>
      <c r="B53" s="16" t="s">
        <v>140</v>
      </c>
      <c r="C53" s="17" t="s">
        <v>28</v>
      </c>
      <c r="D53" s="16" t="s">
        <v>7</v>
      </c>
      <c r="E53" s="17" t="b">
        <f t="shared" ref="E53:K53" si="53">If(IFERROR(SEARCH(E$1, $D53),0) &gt;= 1, true,false)</f>
        <v>0</v>
      </c>
      <c r="F53" s="17" t="b">
        <f t="shared" si="53"/>
        <v>0</v>
      </c>
      <c r="G53" s="17" t="b">
        <f t="shared" si="53"/>
        <v>0</v>
      </c>
      <c r="H53" s="17" t="b">
        <f t="shared" si="53"/>
        <v>1</v>
      </c>
      <c r="I53" s="17" t="b">
        <f t="shared" si="53"/>
        <v>0</v>
      </c>
      <c r="J53" s="17" t="b">
        <f t="shared" si="53"/>
        <v>0</v>
      </c>
      <c r="K53" s="17" t="b">
        <f t="shared" si="53"/>
        <v>0</v>
      </c>
      <c r="L53" s="17"/>
      <c r="M53" s="18" t="b">
        <v>0</v>
      </c>
      <c r="N53" s="18" t="b">
        <v>0</v>
      </c>
      <c r="O53" s="18" t="b">
        <v>0</v>
      </c>
      <c r="P53" s="18" t="b">
        <v>0</v>
      </c>
      <c r="Q53" s="16" t="str">
        <f t="shared" si="3"/>
        <v>Uilenspiegelmuseum</v>
      </c>
      <c r="R53" s="19">
        <v>6.0</v>
      </c>
      <c r="S53" s="18" t="b">
        <v>0</v>
      </c>
      <c r="T53" s="18" t="b">
        <v>0</v>
      </c>
      <c r="Y53" s="23"/>
    </row>
    <row r="54">
      <c r="A54" s="16" t="s">
        <v>141</v>
      </c>
      <c r="B54" s="16" t="s">
        <v>142</v>
      </c>
      <c r="C54" s="17" t="s">
        <v>28</v>
      </c>
      <c r="D54" s="16" t="s">
        <v>4</v>
      </c>
      <c r="E54" s="17" t="b">
        <f t="shared" ref="E54:K54" si="54">If(IFERROR(SEARCH(E$1, $D54),0) &gt;= 1, true,false)</f>
        <v>1</v>
      </c>
      <c r="F54" s="17" t="b">
        <f t="shared" si="54"/>
        <v>0</v>
      </c>
      <c r="G54" s="17" t="b">
        <f t="shared" si="54"/>
        <v>0</v>
      </c>
      <c r="H54" s="17" t="b">
        <f t="shared" si="54"/>
        <v>0</v>
      </c>
      <c r="I54" s="17" t="b">
        <f t="shared" si="54"/>
        <v>0</v>
      </c>
      <c r="J54" s="17" t="b">
        <f t="shared" si="54"/>
        <v>0</v>
      </c>
      <c r="K54" s="17" t="b">
        <f t="shared" si="54"/>
        <v>0</v>
      </c>
      <c r="L54" s="17"/>
      <c r="M54" s="18" t="b">
        <v>0</v>
      </c>
      <c r="N54" s="18" t="b">
        <v>0</v>
      </c>
      <c r="O54" s="18" t="b">
        <v>0</v>
      </c>
      <c r="P54" s="18" t="b">
        <v>0</v>
      </c>
      <c r="Q54" s="16" t="str">
        <f t="shared" si="3"/>
        <v>Volkskundemuseum</v>
      </c>
      <c r="R54" s="19">
        <v>8.0</v>
      </c>
      <c r="S54" s="18" t="b">
        <v>0</v>
      </c>
      <c r="T54" s="18" t="b">
        <v>0</v>
      </c>
      <c r="Y54" s="23"/>
    </row>
    <row r="55">
      <c r="A55" s="16" t="s">
        <v>143</v>
      </c>
      <c r="B55" s="16"/>
      <c r="C55" s="17" t="s">
        <v>28</v>
      </c>
      <c r="D55" s="16" t="s">
        <v>144</v>
      </c>
      <c r="E55" s="17" t="b">
        <f t="shared" ref="E55:K55" si="55">If(IFERROR(SEARCH(E$1, $D55),0) &gt;= 1, true,false)</f>
        <v>1</v>
      </c>
      <c r="F55" s="17" t="b">
        <f t="shared" si="55"/>
        <v>0</v>
      </c>
      <c r="G55" s="17" t="b">
        <f t="shared" si="55"/>
        <v>0</v>
      </c>
      <c r="H55" s="17" t="b">
        <f t="shared" si="55"/>
        <v>0</v>
      </c>
      <c r="I55" s="17" t="b">
        <f t="shared" si="55"/>
        <v>1</v>
      </c>
      <c r="J55" s="17" t="b">
        <f t="shared" si="55"/>
        <v>0</v>
      </c>
      <c r="K55" s="17" t="b">
        <f t="shared" si="55"/>
        <v>0</v>
      </c>
      <c r="L55" s="17"/>
      <c r="M55" s="18" t="b">
        <v>1</v>
      </c>
      <c r="N55" s="18" t="b">
        <v>0</v>
      </c>
      <c r="O55" s="18" t="b">
        <v>0</v>
      </c>
      <c r="P55" s="18" t="b">
        <v>0</v>
      </c>
      <c r="Q55" s="16" t="str">
        <f t="shared" si="3"/>
        <v>Westfront Nieuwpoort</v>
      </c>
      <c r="R55" s="19">
        <v>9.5</v>
      </c>
      <c r="S55" s="18" t="b">
        <v>0</v>
      </c>
      <c r="T55" s="18" t="b">
        <v>0</v>
      </c>
      <c r="U55" s="16"/>
      <c r="Y55" s="23"/>
    </row>
    <row r="56">
      <c r="A56" s="16" t="s">
        <v>145</v>
      </c>
      <c r="B56" s="16"/>
      <c r="C56" s="17" t="s">
        <v>28</v>
      </c>
      <c r="D56" s="16" t="s">
        <v>68</v>
      </c>
      <c r="E56" s="17" t="b">
        <f t="shared" ref="E56:K56" si="56">If(IFERROR(SEARCH(E$1, $D56),0) &gt;= 1, true,false)</f>
        <v>1</v>
      </c>
      <c r="F56" s="17" t="b">
        <f t="shared" si="56"/>
        <v>0</v>
      </c>
      <c r="G56" s="17" t="b">
        <f t="shared" si="56"/>
        <v>0</v>
      </c>
      <c r="H56" s="17" t="b">
        <f t="shared" si="56"/>
        <v>0</v>
      </c>
      <c r="I56" s="17" t="b">
        <f t="shared" si="56"/>
        <v>1</v>
      </c>
      <c r="J56" s="17" t="b">
        <f t="shared" si="56"/>
        <v>1</v>
      </c>
      <c r="K56" s="17" t="b">
        <f t="shared" si="56"/>
        <v>1</v>
      </c>
      <c r="L56" s="17"/>
      <c r="M56" s="18" t="b">
        <v>0</v>
      </c>
      <c r="N56" s="18" t="b">
        <v>1</v>
      </c>
      <c r="O56" s="18" t="b">
        <v>0</v>
      </c>
      <c r="P56" s="18" t="b">
        <v>0</v>
      </c>
      <c r="Q56" s="16" t="str">
        <f t="shared" si="3"/>
        <v>Yper Museum</v>
      </c>
      <c r="R56" s="19">
        <v>8.5</v>
      </c>
      <c r="S56" s="18" t="b">
        <v>0</v>
      </c>
      <c r="T56" s="18" t="b">
        <v>0</v>
      </c>
      <c r="U56" s="16"/>
      <c r="Y56" s="23"/>
    </row>
    <row r="57">
      <c r="A57" s="16" t="s">
        <v>146</v>
      </c>
      <c r="B57" s="16" t="s">
        <v>147</v>
      </c>
      <c r="C57" s="17" t="s">
        <v>28</v>
      </c>
      <c r="D57" s="16" t="s">
        <v>107</v>
      </c>
      <c r="E57" s="17" t="b">
        <f t="shared" ref="E57:K57" si="57">If(IFERROR(SEARCH(E$1, $D57),0) &gt;= 1, true,false)</f>
        <v>1</v>
      </c>
      <c r="F57" s="17" t="b">
        <f t="shared" si="57"/>
        <v>1</v>
      </c>
      <c r="G57" s="17" t="b">
        <f t="shared" si="57"/>
        <v>0</v>
      </c>
      <c r="H57" s="17" t="b">
        <f t="shared" si="57"/>
        <v>0</v>
      </c>
      <c r="I57" s="17" t="b">
        <f t="shared" si="57"/>
        <v>0</v>
      </c>
      <c r="J57" s="17" t="b">
        <f t="shared" si="57"/>
        <v>0</v>
      </c>
      <c r="K57" s="17" t="b">
        <f t="shared" si="57"/>
        <v>0</v>
      </c>
      <c r="L57" s="17"/>
      <c r="M57" s="18" t="b">
        <v>1</v>
      </c>
      <c r="N57" s="18" t="b">
        <v>1</v>
      </c>
      <c r="O57" s="18" t="b">
        <v>1</v>
      </c>
      <c r="P57" s="18" t="b">
        <v>1</v>
      </c>
      <c r="Q57" s="16" t="str">
        <f t="shared" si="3"/>
        <v>Zwin Natuur Park</v>
      </c>
      <c r="R57" s="19">
        <v>12.0</v>
      </c>
      <c r="S57" s="18" t="b">
        <v>0</v>
      </c>
      <c r="T57" s="18" t="b">
        <v>1</v>
      </c>
      <c r="U57" s="29">
        <v>14.0</v>
      </c>
      <c r="Y57" s="23"/>
    </row>
    <row r="58">
      <c r="A58" s="16" t="s">
        <v>148</v>
      </c>
      <c r="B58" s="16"/>
      <c r="C58" s="34" t="s">
        <v>31</v>
      </c>
      <c r="D58" s="16" t="s">
        <v>5</v>
      </c>
      <c r="E58" s="17" t="b">
        <f t="shared" ref="E58:K58" si="58">If(IFERROR(SEARCH(E$1, $D58),0) &gt;= 1, true,false)</f>
        <v>0</v>
      </c>
      <c r="F58" s="17" t="b">
        <f t="shared" si="58"/>
        <v>1</v>
      </c>
      <c r="G58" s="17" t="b">
        <f t="shared" si="58"/>
        <v>0</v>
      </c>
      <c r="H58" s="17" t="b">
        <f t="shared" si="58"/>
        <v>0</v>
      </c>
      <c r="I58" s="17" t="b">
        <f t="shared" si="58"/>
        <v>0</v>
      </c>
      <c r="J58" s="17" t="b">
        <f t="shared" si="58"/>
        <v>0</v>
      </c>
      <c r="K58" s="17" t="b">
        <f t="shared" si="58"/>
        <v>0</v>
      </c>
      <c r="L58" s="17"/>
      <c r="M58" s="18" t="b">
        <v>1</v>
      </c>
      <c r="N58" s="18" t="b">
        <v>1</v>
      </c>
      <c r="O58" s="18" t="b">
        <v>1</v>
      </c>
      <c r="P58" s="18" t="b">
        <v>1</v>
      </c>
      <c r="Q58" s="16" t="str">
        <f t="shared" si="3"/>
        <v>Arboretum Kalmtout</v>
      </c>
      <c r="R58" s="19">
        <v>8.0</v>
      </c>
      <c r="S58" s="18" t="b">
        <v>0</v>
      </c>
      <c r="T58" s="18" t="b">
        <v>1</v>
      </c>
      <c r="U58" s="29">
        <v>9.5</v>
      </c>
      <c r="Y58" s="23"/>
    </row>
    <row r="59">
      <c r="A59" s="16" t="s">
        <v>149</v>
      </c>
      <c r="B59" s="16" t="s">
        <v>150</v>
      </c>
      <c r="C59" s="34" t="s">
        <v>31</v>
      </c>
      <c r="D59" s="16" t="s">
        <v>95</v>
      </c>
      <c r="E59" s="17" t="b">
        <f t="shared" ref="E59:K59" si="59">If(IFERROR(SEARCH(E$1, $D59),0) &gt;= 1, true,false)</f>
        <v>1</v>
      </c>
      <c r="F59" s="17" t="b">
        <f t="shared" si="59"/>
        <v>0</v>
      </c>
      <c r="G59" s="17" t="b">
        <f t="shared" si="59"/>
        <v>0</v>
      </c>
      <c r="H59" s="17" t="b">
        <f t="shared" si="59"/>
        <v>0</v>
      </c>
      <c r="I59" s="17" t="b">
        <f t="shared" si="59"/>
        <v>0</v>
      </c>
      <c r="J59" s="17" t="b">
        <f t="shared" si="59"/>
        <v>1</v>
      </c>
      <c r="K59" s="17" t="b">
        <f t="shared" si="59"/>
        <v>0</v>
      </c>
      <c r="L59" s="17"/>
      <c r="M59" s="18" t="b">
        <v>1</v>
      </c>
      <c r="N59" s="18" t="b">
        <v>0</v>
      </c>
      <c r="O59" s="18" t="b">
        <v>0</v>
      </c>
      <c r="P59" s="18" t="b">
        <v>0</v>
      </c>
      <c r="Q59" s="16" t="str">
        <f t="shared" si="3"/>
        <v>Begijnhofmuseum Turnhout</v>
      </c>
      <c r="R59" s="19">
        <v>5.0</v>
      </c>
      <c r="S59" s="18" t="b">
        <v>0</v>
      </c>
      <c r="T59" s="18" t="b">
        <v>0</v>
      </c>
      <c r="U59" s="16"/>
      <c r="Y59" s="23"/>
    </row>
    <row r="60">
      <c r="A60" s="16" t="s">
        <v>151</v>
      </c>
      <c r="B60" s="16" t="s">
        <v>152</v>
      </c>
      <c r="C60" s="34" t="s">
        <v>31</v>
      </c>
      <c r="D60" s="16" t="s">
        <v>153</v>
      </c>
      <c r="E60" s="17" t="b">
        <f t="shared" ref="E60:K60" si="60">If(IFERROR(SEARCH(E$1, $D60),0) &gt;= 1, true,false)</f>
        <v>1</v>
      </c>
      <c r="F60" s="17" t="b">
        <f t="shared" si="60"/>
        <v>1</v>
      </c>
      <c r="G60" s="17" t="b">
        <f t="shared" si="60"/>
        <v>0</v>
      </c>
      <c r="H60" s="17" t="b">
        <f t="shared" si="60"/>
        <v>0</v>
      </c>
      <c r="I60" s="17" t="b">
        <f t="shared" si="60"/>
        <v>0</v>
      </c>
      <c r="J60" s="17" t="b">
        <f t="shared" si="60"/>
        <v>0</v>
      </c>
      <c r="K60" s="17" t="b">
        <f t="shared" si="60"/>
        <v>1</v>
      </c>
      <c r="L60" s="17"/>
      <c r="M60" s="18" t="b">
        <v>1</v>
      </c>
      <c r="N60" s="18" t="b">
        <v>0</v>
      </c>
      <c r="O60" s="18" t="b">
        <v>0</v>
      </c>
      <c r="P60" s="18" t="b">
        <v>0</v>
      </c>
      <c r="Q60" s="16" t="str">
        <f t="shared" si="3"/>
        <v>DIVA | museum voor diamant juwelen en zilver</v>
      </c>
      <c r="R60" s="19">
        <v>12.0</v>
      </c>
      <c r="S60" s="18" t="b">
        <v>0</v>
      </c>
      <c r="T60" s="18" t="b">
        <v>0</v>
      </c>
      <c r="U60" s="16"/>
      <c r="Y60" s="23"/>
    </row>
    <row r="61">
      <c r="A61" s="16" t="s">
        <v>154</v>
      </c>
      <c r="B61" s="16" t="s">
        <v>155</v>
      </c>
      <c r="C61" s="34" t="s">
        <v>31</v>
      </c>
      <c r="D61" s="16" t="s">
        <v>156</v>
      </c>
      <c r="E61" s="17" t="b">
        <f t="shared" ref="E61:K61" si="61">If(IFERROR(SEARCH(E$1, $D61),0) &gt;= 1, true,false)</f>
        <v>1</v>
      </c>
      <c r="F61" s="17" t="b">
        <f t="shared" si="61"/>
        <v>0</v>
      </c>
      <c r="G61" s="17" t="b">
        <f t="shared" si="61"/>
        <v>0</v>
      </c>
      <c r="H61" s="17" t="b">
        <f t="shared" si="61"/>
        <v>1</v>
      </c>
      <c r="I61" s="17" t="b">
        <f t="shared" si="61"/>
        <v>0</v>
      </c>
      <c r="J61" s="17" t="b">
        <f t="shared" si="61"/>
        <v>0</v>
      </c>
      <c r="K61" s="17" t="b">
        <f t="shared" si="61"/>
        <v>0</v>
      </c>
      <c r="L61" s="17"/>
      <c r="M61" s="18" t="b">
        <v>0</v>
      </c>
      <c r="N61" s="18" t="b">
        <v>0</v>
      </c>
      <c r="O61" s="18" t="b">
        <v>0</v>
      </c>
      <c r="P61" s="18" t="b">
        <v>0</v>
      </c>
      <c r="Q61" s="16" t="str">
        <f t="shared" si="3"/>
        <v>Erfgoedbibliotheek Hendrik Conscience - Nottebohmzaal</v>
      </c>
      <c r="R61" s="19">
        <v>0.0</v>
      </c>
      <c r="S61" s="18" t="b">
        <v>0</v>
      </c>
      <c r="T61" s="18" t="b">
        <v>0</v>
      </c>
      <c r="U61" s="21"/>
      <c r="Y61" s="23"/>
    </row>
    <row r="62">
      <c r="A62" s="16" t="s">
        <v>157</v>
      </c>
      <c r="B62" s="16" t="s">
        <v>158</v>
      </c>
      <c r="C62" s="34" t="s">
        <v>31</v>
      </c>
      <c r="D62" s="16" t="s">
        <v>9</v>
      </c>
      <c r="E62" s="17" t="b">
        <f t="shared" ref="E62:K62" si="62">If(IFERROR(SEARCH(E$1, $D62),0) &gt;= 1, true,false)</f>
        <v>0</v>
      </c>
      <c r="F62" s="17" t="b">
        <f t="shared" si="62"/>
        <v>0</v>
      </c>
      <c r="G62" s="17" t="b">
        <f t="shared" si="62"/>
        <v>0</v>
      </c>
      <c r="H62" s="17" t="b">
        <f t="shared" si="62"/>
        <v>0</v>
      </c>
      <c r="I62" s="17" t="b">
        <f t="shared" si="62"/>
        <v>0</v>
      </c>
      <c r="J62" s="17" t="b">
        <f t="shared" si="62"/>
        <v>1</v>
      </c>
      <c r="K62" s="17" t="b">
        <f t="shared" si="62"/>
        <v>0</v>
      </c>
      <c r="L62" s="17"/>
      <c r="M62" s="18" t="b">
        <v>1</v>
      </c>
      <c r="N62" s="18" t="b">
        <v>1</v>
      </c>
      <c r="O62" s="18" t="b">
        <v>1</v>
      </c>
      <c r="P62" s="18" t="b">
        <v>0</v>
      </c>
      <c r="Q62" s="16" t="str">
        <f t="shared" si="3"/>
        <v>FOMU | Fotomuseum Antwerpen</v>
      </c>
      <c r="R62" s="19">
        <v>12.0</v>
      </c>
      <c r="S62" s="18" t="b">
        <v>0</v>
      </c>
      <c r="T62" s="18" t="b">
        <v>1</v>
      </c>
      <c r="U62" s="30">
        <v>12.0</v>
      </c>
      <c r="Y62" s="23"/>
    </row>
    <row r="63">
      <c r="A63" s="16" t="s">
        <v>159</v>
      </c>
      <c r="B63" s="16" t="s">
        <v>160</v>
      </c>
      <c r="C63" s="34" t="s">
        <v>31</v>
      </c>
      <c r="D63" s="16" t="s">
        <v>4</v>
      </c>
      <c r="E63" s="17" t="b">
        <f t="shared" ref="E63:K63" si="63">If(IFERROR(SEARCH(E$1, $D63),0) &gt;= 1, true,false)</f>
        <v>1</v>
      </c>
      <c r="F63" s="17" t="b">
        <f t="shared" si="63"/>
        <v>0</v>
      </c>
      <c r="G63" s="17" t="b">
        <f t="shared" si="63"/>
        <v>0</v>
      </c>
      <c r="H63" s="17" t="b">
        <f t="shared" si="63"/>
        <v>0</v>
      </c>
      <c r="I63" s="17" t="b">
        <f t="shared" si="63"/>
        <v>0</v>
      </c>
      <c r="J63" s="17" t="b">
        <f t="shared" si="63"/>
        <v>0</v>
      </c>
      <c r="K63" s="17" t="b">
        <f t="shared" si="63"/>
        <v>0</v>
      </c>
      <c r="L63" s="17"/>
      <c r="M63" s="18" t="b">
        <v>0</v>
      </c>
      <c r="N63" s="18" t="b">
        <v>0</v>
      </c>
      <c r="O63" s="18" t="b">
        <v>1</v>
      </c>
      <c r="P63" s="18" t="b">
        <v>0</v>
      </c>
      <c r="Q63" s="16" t="str">
        <f t="shared" si="3"/>
        <v>Fort van Breendonk</v>
      </c>
      <c r="R63" s="19">
        <v>12.0</v>
      </c>
      <c r="S63" s="18" t="b">
        <v>0</v>
      </c>
      <c r="T63" s="18" t="b">
        <v>0</v>
      </c>
      <c r="U63" s="21"/>
      <c r="Y63" s="23"/>
    </row>
    <row r="64">
      <c r="A64" s="16" t="s">
        <v>161</v>
      </c>
      <c r="B64" s="16" t="s">
        <v>162</v>
      </c>
      <c r="C64" s="34" t="s">
        <v>31</v>
      </c>
      <c r="D64" s="16" t="s">
        <v>163</v>
      </c>
      <c r="E64" s="17" t="b">
        <f t="shared" ref="E64:K64" si="64">If(IFERROR(SEARCH(E$1, $D64),0) &gt;= 1, true,false)</f>
        <v>1</v>
      </c>
      <c r="F64" s="17" t="b">
        <f t="shared" si="64"/>
        <v>1</v>
      </c>
      <c r="G64" s="17" t="b">
        <f t="shared" si="64"/>
        <v>0</v>
      </c>
      <c r="H64" s="17" t="b">
        <f t="shared" si="64"/>
        <v>0</v>
      </c>
      <c r="I64" s="17" t="b">
        <f t="shared" si="64"/>
        <v>1</v>
      </c>
      <c r="J64" s="17" t="b">
        <f t="shared" si="64"/>
        <v>1</v>
      </c>
      <c r="K64" s="17" t="b">
        <f t="shared" si="64"/>
        <v>0</v>
      </c>
      <c r="L64" s="17"/>
      <c r="M64" s="18" t="b">
        <v>1</v>
      </c>
      <c r="N64" s="18" t="b">
        <v>0</v>
      </c>
      <c r="O64" s="18" t="b">
        <v>1</v>
      </c>
      <c r="P64" s="18" t="b">
        <v>0</v>
      </c>
      <c r="Q64" s="16" t="str">
        <f t="shared" si="3"/>
        <v>Gasthuismuseum Geel</v>
      </c>
      <c r="R64" s="19">
        <v>12.0</v>
      </c>
      <c r="S64" s="18" t="b">
        <v>0</v>
      </c>
      <c r="T64" s="18" t="b">
        <v>1</v>
      </c>
      <c r="U64" s="30">
        <v>6.0</v>
      </c>
      <c r="Y64" s="23"/>
    </row>
    <row r="65">
      <c r="A65" s="16" t="s">
        <v>164</v>
      </c>
      <c r="B65" s="16" t="s">
        <v>165</v>
      </c>
      <c r="C65" s="34" t="s">
        <v>31</v>
      </c>
      <c r="D65" s="16" t="s">
        <v>4</v>
      </c>
      <c r="E65" s="17" t="b">
        <f t="shared" ref="E65:K65" si="65">If(IFERROR(SEARCH(E$1, $D65),0) &gt;= 1, true,false)</f>
        <v>1</v>
      </c>
      <c r="F65" s="17" t="b">
        <f t="shared" si="65"/>
        <v>0</v>
      </c>
      <c r="G65" s="17" t="b">
        <f t="shared" si="65"/>
        <v>0</v>
      </c>
      <c r="H65" s="17" t="b">
        <f t="shared" si="65"/>
        <v>0</v>
      </c>
      <c r="I65" s="17" t="b">
        <f t="shared" si="65"/>
        <v>0</v>
      </c>
      <c r="J65" s="17" t="b">
        <f t="shared" si="65"/>
        <v>0</v>
      </c>
      <c r="K65" s="17" t="b">
        <f t="shared" si="65"/>
        <v>0</v>
      </c>
      <c r="L65" s="17"/>
      <c r="M65" s="18" t="b">
        <v>1</v>
      </c>
      <c r="N65" s="18" t="b">
        <v>0</v>
      </c>
      <c r="O65" s="18" t="b">
        <v>0</v>
      </c>
      <c r="P65" s="18" t="b">
        <v>0</v>
      </c>
      <c r="Q65" s="16" t="str">
        <f t="shared" si="3"/>
        <v>Het Snijders&amp;Rockoxhuis</v>
      </c>
      <c r="R65" s="19">
        <v>10.0</v>
      </c>
      <c r="S65" s="18" t="b">
        <v>0</v>
      </c>
      <c r="T65" s="18" t="b">
        <v>1</v>
      </c>
      <c r="U65" s="30">
        <v>10.0</v>
      </c>
      <c r="Y65" s="23"/>
    </row>
    <row r="66">
      <c r="A66" s="16" t="s">
        <v>166</v>
      </c>
      <c r="B66" s="16" t="s">
        <v>167</v>
      </c>
      <c r="C66" s="34" t="s">
        <v>31</v>
      </c>
      <c r="D66" s="16" t="s">
        <v>9</v>
      </c>
      <c r="E66" s="17" t="b">
        <f t="shared" ref="E66:K66" si="66">If(IFERROR(SEARCH(E$1, $D66),0) &gt;= 1, true,false)</f>
        <v>0</v>
      </c>
      <c r="F66" s="17" t="b">
        <f t="shared" si="66"/>
        <v>0</v>
      </c>
      <c r="G66" s="17" t="b">
        <f t="shared" si="66"/>
        <v>0</v>
      </c>
      <c r="H66" s="17" t="b">
        <f t="shared" si="66"/>
        <v>0</v>
      </c>
      <c r="I66" s="17" t="b">
        <f t="shared" si="66"/>
        <v>0</v>
      </c>
      <c r="J66" s="17" t="b">
        <f t="shared" si="66"/>
        <v>1</v>
      </c>
      <c r="K66" s="17" t="b">
        <f t="shared" si="66"/>
        <v>0</v>
      </c>
      <c r="L66" s="17"/>
      <c r="M66" s="18" t="b">
        <v>1</v>
      </c>
      <c r="N66" s="18" t="b">
        <v>0</v>
      </c>
      <c r="O66" s="18" t="b">
        <v>1</v>
      </c>
      <c r="P66" s="18" t="b">
        <v>0</v>
      </c>
      <c r="Q66" s="16" t="str">
        <f t="shared" si="3"/>
        <v>Jakob Smitsmuseum</v>
      </c>
      <c r="R66" s="19">
        <v>5.0</v>
      </c>
      <c r="S66" s="18" t="b">
        <v>0</v>
      </c>
      <c r="T66" s="18" t="b">
        <v>1</v>
      </c>
      <c r="U66" s="35">
        <v>5.0</v>
      </c>
      <c r="Y66" s="23"/>
    </row>
    <row r="67">
      <c r="A67" s="16" t="s">
        <v>168</v>
      </c>
      <c r="B67" s="16" t="s">
        <v>169</v>
      </c>
      <c r="C67" s="34" t="s">
        <v>31</v>
      </c>
      <c r="D67" s="16" t="s">
        <v>107</v>
      </c>
      <c r="E67" s="17" t="b">
        <f t="shared" ref="E67:K67" si="67">If(IFERROR(SEARCH(E$1, $D67),0) &gt;= 1, true,false)</f>
        <v>1</v>
      </c>
      <c r="F67" s="17" t="b">
        <f t="shared" si="67"/>
        <v>1</v>
      </c>
      <c r="G67" s="17" t="b">
        <f t="shared" si="67"/>
        <v>0</v>
      </c>
      <c r="H67" s="17" t="b">
        <f t="shared" si="67"/>
        <v>0</v>
      </c>
      <c r="I67" s="17" t="b">
        <f t="shared" si="67"/>
        <v>0</v>
      </c>
      <c r="J67" s="17" t="b">
        <f t="shared" si="67"/>
        <v>0</v>
      </c>
      <c r="K67" s="17" t="b">
        <f t="shared" si="67"/>
        <v>0</v>
      </c>
      <c r="L67" s="17"/>
      <c r="M67" s="18" t="b">
        <v>1</v>
      </c>
      <c r="N67" s="18" t="b">
        <v>1</v>
      </c>
      <c r="O67" s="18" t="b">
        <v>1</v>
      </c>
      <c r="P67" s="18" t="b">
        <v>1</v>
      </c>
      <c r="Q67" s="16" t="str">
        <f t="shared" si="3"/>
        <v>Karrenmuseum Essen</v>
      </c>
      <c r="R67" s="19">
        <v>6.0</v>
      </c>
      <c r="S67" s="18" t="b">
        <v>0</v>
      </c>
      <c r="T67" s="18" t="b">
        <v>0</v>
      </c>
      <c r="U67" s="32"/>
      <c r="Y67" s="23"/>
    </row>
    <row r="68">
      <c r="A68" s="16" t="s">
        <v>170</v>
      </c>
      <c r="B68" s="16" t="s">
        <v>171</v>
      </c>
      <c r="C68" s="34" t="s">
        <v>31</v>
      </c>
      <c r="D68" s="16" t="s">
        <v>4</v>
      </c>
      <c r="E68" s="17" t="b">
        <f t="shared" ref="E68:K68" si="68">If(IFERROR(SEARCH(E$1, $D68),0) &gt;= 1, true,false)</f>
        <v>1</v>
      </c>
      <c r="F68" s="17" t="b">
        <f t="shared" si="68"/>
        <v>0</v>
      </c>
      <c r="G68" s="17" t="b">
        <f t="shared" si="68"/>
        <v>0</v>
      </c>
      <c r="H68" s="17" t="b">
        <f t="shared" si="68"/>
        <v>0</v>
      </c>
      <c r="I68" s="17" t="b">
        <f t="shared" si="68"/>
        <v>0</v>
      </c>
      <c r="J68" s="17" t="b">
        <f t="shared" si="68"/>
        <v>0</v>
      </c>
      <c r="K68" s="17" t="b">
        <f t="shared" si="68"/>
        <v>0</v>
      </c>
      <c r="L68" s="17"/>
      <c r="M68" s="18" t="b">
        <v>1</v>
      </c>
      <c r="N68" s="18" t="b">
        <v>0</v>
      </c>
      <c r="O68" s="18" t="b">
        <v>1</v>
      </c>
      <c r="P68" s="18" t="b">
        <v>0</v>
      </c>
      <c r="Q68" s="16" t="str">
        <f t="shared" si="3"/>
        <v>Kazerne Dossin</v>
      </c>
      <c r="R68" s="19">
        <v>12.0</v>
      </c>
      <c r="S68" s="18" t="b">
        <v>0</v>
      </c>
      <c r="T68" s="18" t="b">
        <v>1</v>
      </c>
      <c r="U68" s="31">
        <v>10.0</v>
      </c>
      <c r="Y68" s="23"/>
    </row>
    <row r="69">
      <c r="A69" s="16" t="s">
        <v>172</v>
      </c>
      <c r="B69" s="16" t="s">
        <v>173</v>
      </c>
      <c r="C69" s="34" t="s">
        <v>31</v>
      </c>
      <c r="D69" s="16" t="s">
        <v>9</v>
      </c>
      <c r="E69" s="17" t="b">
        <f t="shared" ref="E69:K69" si="69">If(IFERROR(SEARCH(E$1, $D69),0) &gt;= 1, true,false)</f>
        <v>0</v>
      </c>
      <c r="F69" s="17" t="b">
        <f t="shared" si="69"/>
        <v>0</v>
      </c>
      <c r="G69" s="17" t="b">
        <f t="shared" si="69"/>
        <v>0</v>
      </c>
      <c r="H69" s="17" t="b">
        <f t="shared" si="69"/>
        <v>0</v>
      </c>
      <c r="I69" s="17" t="b">
        <f t="shared" si="69"/>
        <v>0</v>
      </c>
      <c r="J69" s="17" t="b">
        <f t="shared" si="69"/>
        <v>1</v>
      </c>
      <c r="K69" s="17" t="b">
        <f t="shared" si="69"/>
        <v>0</v>
      </c>
      <c r="L69" s="17"/>
      <c r="M69" s="18" t="b">
        <v>1</v>
      </c>
      <c r="N69" s="18" t="b">
        <v>1</v>
      </c>
      <c r="O69" s="18" t="b">
        <v>0</v>
      </c>
      <c r="P69" s="18" t="b">
        <v>1</v>
      </c>
      <c r="Q69" s="16" t="str">
        <f t="shared" si="3"/>
        <v>KMSKA | Koninklijk Museum voor Schone Kunsten Antwerpen</v>
      </c>
      <c r="R69" s="19">
        <v>20.0</v>
      </c>
      <c r="S69" s="18" t="b">
        <v>0</v>
      </c>
      <c r="T69" s="18" t="b">
        <v>1</v>
      </c>
      <c r="U69" s="35">
        <v>20.0</v>
      </c>
      <c r="Y69" s="23"/>
    </row>
    <row r="70">
      <c r="A70" s="16" t="s">
        <v>174</v>
      </c>
      <c r="B70" s="16"/>
      <c r="C70" s="34" t="s">
        <v>31</v>
      </c>
      <c r="D70" s="16" t="s">
        <v>9</v>
      </c>
      <c r="E70" s="17" t="b">
        <f t="shared" ref="E70:K70" si="70">If(IFERROR(SEARCH(E$1, $D70),0) &gt;= 1, true,false)</f>
        <v>0</v>
      </c>
      <c r="F70" s="17" t="b">
        <f t="shared" si="70"/>
        <v>0</v>
      </c>
      <c r="G70" s="17" t="b">
        <f t="shared" si="70"/>
        <v>0</v>
      </c>
      <c r="H70" s="17" t="b">
        <f t="shared" si="70"/>
        <v>0</v>
      </c>
      <c r="I70" s="17" t="b">
        <f t="shared" si="70"/>
        <v>0</v>
      </c>
      <c r="J70" s="17" t="b">
        <f t="shared" si="70"/>
        <v>1</v>
      </c>
      <c r="K70" s="17" t="b">
        <f t="shared" si="70"/>
        <v>0</v>
      </c>
      <c r="L70" s="17"/>
      <c r="M70" s="18" t="b">
        <v>1</v>
      </c>
      <c r="N70" s="18" t="b">
        <v>1</v>
      </c>
      <c r="O70" s="18" t="b">
        <v>0</v>
      </c>
      <c r="P70" s="18" t="b">
        <v>0</v>
      </c>
      <c r="Q70" s="16" t="str">
        <f t="shared" si="3"/>
        <v>Kunsthal Extra City</v>
      </c>
      <c r="R70" s="19">
        <v>7.0</v>
      </c>
      <c r="S70" s="18" t="b">
        <v>0</v>
      </c>
      <c r="T70" s="18" t="b">
        <v>1</v>
      </c>
      <c r="U70" s="31">
        <v>7.0</v>
      </c>
      <c r="Y70" s="23"/>
    </row>
    <row r="71">
      <c r="A71" s="16" t="s">
        <v>175</v>
      </c>
      <c r="B71" s="16" t="s">
        <v>176</v>
      </c>
      <c r="C71" s="34" t="s">
        <v>31</v>
      </c>
      <c r="D71" s="16" t="s">
        <v>9</v>
      </c>
      <c r="E71" s="17" t="b">
        <f t="shared" ref="E71:K71" si="71">If(IFERROR(SEARCH(E$1, $D71),0) &gt;= 1, true,false)</f>
        <v>0</v>
      </c>
      <c r="F71" s="17" t="b">
        <f t="shared" si="71"/>
        <v>0</v>
      </c>
      <c r="G71" s="17" t="b">
        <f t="shared" si="71"/>
        <v>0</v>
      </c>
      <c r="H71" s="17" t="b">
        <f t="shared" si="71"/>
        <v>0</v>
      </c>
      <c r="I71" s="17" t="b">
        <f t="shared" si="71"/>
        <v>0</v>
      </c>
      <c r="J71" s="17" t="b">
        <f t="shared" si="71"/>
        <v>1</v>
      </c>
      <c r="K71" s="17" t="b">
        <f t="shared" si="71"/>
        <v>0</v>
      </c>
      <c r="L71" s="17"/>
      <c r="M71" s="18" t="b">
        <v>1</v>
      </c>
      <c r="N71" s="18" t="b">
        <v>1</v>
      </c>
      <c r="O71" s="18" t="b">
        <v>0</v>
      </c>
      <c r="P71" s="18" t="b">
        <v>0</v>
      </c>
      <c r="Q71" s="16" t="str">
        <f t="shared" si="3"/>
        <v>Kunsthal Mechelen</v>
      </c>
      <c r="R71" s="19">
        <v>5.0</v>
      </c>
      <c r="S71" s="18" t="b">
        <v>0</v>
      </c>
      <c r="T71" s="18" t="b">
        <v>1</v>
      </c>
      <c r="U71" s="31">
        <v>5.0</v>
      </c>
      <c r="Y71" s="23"/>
    </row>
    <row r="72">
      <c r="A72" s="16" t="s">
        <v>177</v>
      </c>
      <c r="B72" s="16"/>
      <c r="C72" s="34" t="s">
        <v>31</v>
      </c>
      <c r="D72" s="16" t="s">
        <v>79</v>
      </c>
      <c r="E72" s="17" t="b">
        <f t="shared" ref="E72:K72" si="72">If(IFERROR(SEARCH(E$1, $D72),0) &gt;= 1, true,false)</f>
        <v>1</v>
      </c>
      <c r="F72" s="17" t="b">
        <f t="shared" si="72"/>
        <v>0</v>
      </c>
      <c r="G72" s="17" t="b">
        <f t="shared" si="72"/>
        <v>0</v>
      </c>
      <c r="H72" s="17" t="b">
        <f t="shared" si="72"/>
        <v>0</v>
      </c>
      <c r="I72" s="17" t="b">
        <f t="shared" si="72"/>
        <v>0</v>
      </c>
      <c r="J72" s="17" t="b">
        <f t="shared" si="72"/>
        <v>1</v>
      </c>
      <c r="K72" s="17" t="b">
        <f t="shared" si="72"/>
        <v>1</v>
      </c>
      <c r="L72" s="17"/>
      <c r="M72" s="18" t="b">
        <v>1</v>
      </c>
      <c r="N72" s="18" t="b">
        <v>1</v>
      </c>
      <c r="O72" s="18" t="b">
        <v>0</v>
      </c>
      <c r="P72" s="18" t="b">
        <v>1</v>
      </c>
      <c r="Q72" s="16" t="str">
        <f t="shared" si="3"/>
        <v>MAS | Museum aan de Stroom</v>
      </c>
      <c r="R72" s="19">
        <v>10.0</v>
      </c>
      <c r="S72" s="18" t="b">
        <v>0</v>
      </c>
      <c r="T72" s="18" t="b">
        <v>1</v>
      </c>
      <c r="U72" s="35">
        <v>10.0</v>
      </c>
      <c r="Y72" s="23"/>
    </row>
    <row r="73">
      <c r="A73" s="16" t="s">
        <v>178</v>
      </c>
      <c r="B73" s="16" t="s">
        <v>179</v>
      </c>
      <c r="C73" s="34" t="s">
        <v>31</v>
      </c>
      <c r="D73" s="16" t="s">
        <v>180</v>
      </c>
      <c r="E73" s="17" t="b">
        <f t="shared" ref="E73:K73" si="73">If(IFERROR(SEARCH(E$1, $D73),0) &gt;= 1, true,false)</f>
        <v>0</v>
      </c>
      <c r="F73" s="17" t="b">
        <f t="shared" si="73"/>
        <v>0</v>
      </c>
      <c r="G73" s="17" t="b">
        <f t="shared" si="73"/>
        <v>0</v>
      </c>
      <c r="H73" s="17" t="b">
        <f t="shared" si="73"/>
        <v>0</v>
      </c>
      <c r="I73" s="17" t="b">
        <f t="shared" si="73"/>
        <v>0</v>
      </c>
      <c r="J73" s="17" t="b">
        <f t="shared" si="73"/>
        <v>1</v>
      </c>
      <c r="K73" s="17" t="b">
        <f t="shared" si="73"/>
        <v>1</v>
      </c>
      <c r="L73" s="17"/>
      <c r="M73" s="18" t="b">
        <v>1</v>
      </c>
      <c r="N73" s="18" t="b">
        <v>1</v>
      </c>
      <c r="O73" s="18" t="b">
        <v>0</v>
      </c>
      <c r="P73" s="18" t="b">
        <v>0</v>
      </c>
      <c r="Q73" s="16" t="str">
        <f t="shared" si="3"/>
        <v>M HKA | Museum van Hedendaagse Kunst Antwerpen</v>
      </c>
      <c r="R73" s="19">
        <v>14.0</v>
      </c>
      <c r="S73" s="18" t="b">
        <v>0</v>
      </c>
      <c r="T73" s="18" t="b">
        <v>1</v>
      </c>
      <c r="U73" s="31">
        <v>14.0</v>
      </c>
      <c r="Y73" s="23"/>
    </row>
    <row r="74">
      <c r="A74" s="16" t="s">
        <v>181</v>
      </c>
      <c r="B74" s="16" t="s">
        <v>182</v>
      </c>
      <c r="C74" s="34" t="s">
        <v>31</v>
      </c>
      <c r="D74" s="16" t="s">
        <v>180</v>
      </c>
      <c r="E74" s="17" t="b">
        <f t="shared" ref="E74:K74" si="74">If(IFERROR(SEARCH(E$1, $D74),0) &gt;= 1, true,false)</f>
        <v>0</v>
      </c>
      <c r="F74" s="17" t="b">
        <f t="shared" si="74"/>
        <v>0</v>
      </c>
      <c r="G74" s="17" t="b">
        <f t="shared" si="74"/>
        <v>0</v>
      </c>
      <c r="H74" s="17" t="b">
        <f t="shared" si="74"/>
        <v>0</v>
      </c>
      <c r="I74" s="17" t="b">
        <f t="shared" si="74"/>
        <v>0</v>
      </c>
      <c r="J74" s="17" t="b">
        <f t="shared" si="74"/>
        <v>1</v>
      </c>
      <c r="K74" s="17" t="b">
        <f t="shared" si="74"/>
        <v>1</v>
      </c>
      <c r="L74" s="17"/>
      <c r="M74" s="18" t="b">
        <v>1</v>
      </c>
      <c r="N74" s="18" t="b">
        <v>1</v>
      </c>
      <c r="O74" s="18" t="b">
        <v>0</v>
      </c>
      <c r="P74" s="18" t="b">
        <v>0</v>
      </c>
      <c r="Q74" s="16" t="str">
        <f t="shared" si="3"/>
        <v>Middelheimmuseum</v>
      </c>
      <c r="R74" s="19">
        <v>0.0</v>
      </c>
      <c r="S74" s="20" t="b">
        <v>0</v>
      </c>
      <c r="T74" s="18" t="b">
        <v>1</v>
      </c>
      <c r="U74" s="29">
        <v>0.0</v>
      </c>
      <c r="Y74" s="23"/>
    </row>
    <row r="75">
      <c r="A75" s="16" t="s">
        <v>183</v>
      </c>
      <c r="B75" s="16" t="s">
        <v>184</v>
      </c>
      <c r="C75" s="34" t="s">
        <v>31</v>
      </c>
      <c r="D75" s="16" t="s">
        <v>185</v>
      </c>
      <c r="E75" s="17" t="b">
        <f t="shared" ref="E75:K75" si="75">If(IFERROR(SEARCH(E$1, $D75),0) &gt;= 1, true,false)</f>
        <v>0</v>
      </c>
      <c r="F75" s="17" t="b">
        <f t="shared" si="75"/>
        <v>0</v>
      </c>
      <c r="G75" s="17" t="b">
        <f t="shared" si="75"/>
        <v>1</v>
      </c>
      <c r="H75" s="17" t="b">
        <f t="shared" si="75"/>
        <v>0</v>
      </c>
      <c r="I75" s="17" t="b">
        <f t="shared" si="75"/>
        <v>0</v>
      </c>
      <c r="J75" s="17" t="b">
        <f t="shared" si="75"/>
        <v>0</v>
      </c>
      <c r="K75" s="17" t="b">
        <f t="shared" si="75"/>
        <v>1</v>
      </c>
      <c r="L75" s="17"/>
      <c r="M75" s="18" t="b">
        <v>1</v>
      </c>
      <c r="N75" s="18" t="b">
        <v>1</v>
      </c>
      <c r="O75" s="18" t="b">
        <v>0</v>
      </c>
      <c r="P75" s="18" t="b">
        <v>0</v>
      </c>
      <c r="Q75" s="16" t="str">
        <f t="shared" si="3"/>
        <v>MoMu | ModeMuseum Antwerpen</v>
      </c>
      <c r="R75" s="19">
        <v>12.0</v>
      </c>
      <c r="S75" s="20" t="b">
        <v>0</v>
      </c>
      <c r="T75" s="18" t="b">
        <v>1</v>
      </c>
      <c r="U75" s="30">
        <v>12.0</v>
      </c>
      <c r="Y75" s="23"/>
    </row>
    <row r="76">
      <c r="A76" s="16" t="s">
        <v>186</v>
      </c>
      <c r="B76" s="16" t="s">
        <v>187</v>
      </c>
      <c r="C76" s="34" t="s">
        <v>31</v>
      </c>
      <c r="D76" s="16" t="s">
        <v>9</v>
      </c>
      <c r="E76" s="17" t="b">
        <f t="shared" ref="E76:K76" si="76">If(IFERROR(SEARCH(E$1, $D76),0) &gt;= 1, true,false)</f>
        <v>0</v>
      </c>
      <c r="F76" s="17" t="b">
        <f t="shared" si="76"/>
        <v>0</v>
      </c>
      <c r="G76" s="17" t="b">
        <f t="shared" si="76"/>
        <v>0</v>
      </c>
      <c r="H76" s="17" t="b">
        <f t="shared" si="76"/>
        <v>0</v>
      </c>
      <c r="I76" s="17" t="b">
        <f t="shared" si="76"/>
        <v>0</v>
      </c>
      <c r="J76" s="17" t="b">
        <f t="shared" si="76"/>
        <v>1</v>
      </c>
      <c r="K76" s="17" t="b">
        <f t="shared" si="76"/>
        <v>0</v>
      </c>
      <c r="L76" s="17"/>
      <c r="M76" s="18" t="b">
        <v>1</v>
      </c>
      <c r="N76" s="18" t="b">
        <v>0</v>
      </c>
      <c r="O76" s="18" t="b">
        <v>0</v>
      </c>
      <c r="P76" s="18" t="b">
        <v>0</v>
      </c>
      <c r="Q76" s="16" t="str">
        <f t="shared" si="3"/>
        <v>Museum De Reede</v>
      </c>
      <c r="R76" s="19">
        <v>15.0</v>
      </c>
      <c r="S76" s="20" t="b">
        <v>0</v>
      </c>
      <c r="T76" s="18" t="b">
        <v>1</v>
      </c>
      <c r="U76" s="29">
        <v>15.0</v>
      </c>
      <c r="Y76" s="23"/>
    </row>
    <row r="77">
      <c r="A77" s="16" t="s">
        <v>188</v>
      </c>
      <c r="B77" s="16" t="s">
        <v>189</v>
      </c>
      <c r="C77" s="34" t="s">
        <v>31</v>
      </c>
      <c r="D77" s="16" t="s">
        <v>4</v>
      </c>
      <c r="E77" s="17" t="b">
        <f t="shared" ref="E77:K77" si="77">If(IFERROR(SEARCH(E$1, $D77),0) &gt;= 1, true,false)</f>
        <v>1</v>
      </c>
      <c r="F77" s="17" t="b">
        <f t="shared" si="77"/>
        <v>0</v>
      </c>
      <c r="G77" s="17" t="b">
        <f t="shared" si="77"/>
        <v>0</v>
      </c>
      <c r="H77" s="17" t="b">
        <f t="shared" si="77"/>
        <v>0</v>
      </c>
      <c r="I77" s="17" t="b">
        <f t="shared" si="77"/>
        <v>0</v>
      </c>
      <c r="J77" s="17" t="b">
        <f t="shared" si="77"/>
        <v>0</v>
      </c>
      <c r="K77" s="17" t="b">
        <f t="shared" si="77"/>
        <v>0</v>
      </c>
      <c r="L77" s="17"/>
      <c r="M77" s="18" t="b">
        <v>1</v>
      </c>
      <c r="N77" s="18" t="b">
        <v>1</v>
      </c>
      <c r="O77" s="18" t="b">
        <v>1</v>
      </c>
      <c r="P77" s="18" t="b">
        <v>1</v>
      </c>
      <c r="Q77" s="16" t="str">
        <f t="shared" si="3"/>
        <v>Museum Fort Liezele</v>
      </c>
      <c r="R77" s="19">
        <v>12.0</v>
      </c>
      <c r="S77" s="20" t="b">
        <v>0</v>
      </c>
      <c r="T77" s="18" t="b">
        <v>0</v>
      </c>
      <c r="U77" s="16"/>
      <c r="Y77" s="23"/>
    </row>
    <row r="78">
      <c r="A78" s="16" t="s">
        <v>190</v>
      </c>
      <c r="B78" s="16"/>
      <c r="C78" s="34" t="s">
        <v>31</v>
      </c>
      <c r="D78" s="16" t="s">
        <v>4</v>
      </c>
      <c r="E78" s="17" t="b">
        <f t="shared" ref="E78:K78" si="78">If(IFERROR(SEARCH(E$1, $D78),0) &gt;= 1, true,false)</f>
        <v>1</v>
      </c>
      <c r="F78" s="17" t="b">
        <f t="shared" si="78"/>
        <v>0</v>
      </c>
      <c r="G78" s="17" t="b">
        <f t="shared" si="78"/>
        <v>0</v>
      </c>
      <c r="H78" s="17" t="b">
        <f t="shared" si="78"/>
        <v>0</v>
      </c>
      <c r="I78" s="17" t="b">
        <f t="shared" si="78"/>
        <v>0</v>
      </c>
      <c r="J78" s="17" t="b">
        <f t="shared" si="78"/>
        <v>0</v>
      </c>
      <c r="K78" s="17" t="b">
        <f t="shared" si="78"/>
        <v>0</v>
      </c>
      <c r="L78" s="17"/>
      <c r="M78" s="18" t="b">
        <v>1</v>
      </c>
      <c r="N78" s="18" t="b">
        <v>1</v>
      </c>
      <c r="O78" s="18" t="b">
        <v>0</v>
      </c>
      <c r="P78" s="18" t="b">
        <v>0</v>
      </c>
      <c r="Q78" s="16" t="str">
        <f t="shared" si="3"/>
        <v>Museum Hof van Busleyden</v>
      </c>
      <c r="R78" s="19">
        <v>15.0</v>
      </c>
      <c r="S78" s="20" t="b">
        <v>0</v>
      </c>
      <c r="T78" s="18" t="b">
        <v>1</v>
      </c>
      <c r="U78" s="29">
        <v>15.0</v>
      </c>
      <c r="Y78" s="23"/>
    </row>
    <row r="79">
      <c r="A79" s="16" t="s">
        <v>191</v>
      </c>
      <c r="B79" s="16" t="s">
        <v>192</v>
      </c>
      <c r="C79" s="34" t="s">
        <v>31</v>
      </c>
      <c r="D79" s="16" t="s">
        <v>95</v>
      </c>
      <c r="E79" s="17" t="b">
        <f t="shared" ref="E79:K79" si="79">If(IFERROR(SEARCH(E$1, $D79),0) &gt;= 1, true,false)</f>
        <v>1</v>
      </c>
      <c r="F79" s="17" t="b">
        <f t="shared" si="79"/>
        <v>0</v>
      </c>
      <c r="G79" s="17" t="b">
        <f t="shared" si="79"/>
        <v>0</v>
      </c>
      <c r="H79" s="17" t="b">
        <f t="shared" si="79"/>
        <v>0</v>
      </c>
      <c r="I79" s="17" t="b">
        <f t="shared" si="79"/>
        <v>0</v>
      </c>
      <c r="J79" s="17" t="b">
        <f t="shared" si="79"/>
        <v>1</v>
      </c>
      <c r="K79" s="17" t="b">
        <f t="shared" si="79"/>
        <v>0</v>
      </c>
      <c r="L79" s="17"/>
      <c r="M79" s="18" t="b">
        <v>1</v>
      </c>
      <c r="N79" s="18" t="b">
        <v>0</v>
      </c>
      <c r="O79" s="18" t="b">
        <v>0</v>
      </c>
      <c r="P79" s="18" t="b">
        <v>0</v>
      </c>
      <c r="Q79" s="16" t="str">
        <f t="shared" si="3"/>
        <v>Museum Mayer van den Bergh</v>
      </c>
      <c r="R79" s="19">
        <v>10.0</v>
      </c>
      <c r="S79" s="18" t="b">
        <v>1</v>
      </c>
      <c r="T79" s="18" t="b">
        <v>0</v>
      </c>
      <c r="Y79" s="23"/>
    </row>
    <row r="80">
      <c r="A80" s="16" t="s">
        <v>193</v>
      </c>
      <c r="B80" s="16" t="s">
        <v>194</v>
      </c>
      <c r="C80" s="34" t="s">
        <v>31</v>
      </c>
      <c r="D80" s="16" t="s">
        <v>195</v>
      </c>
      <c r="E80" s="17" t="b">
        <f t="shared" ref="E80:K80" si="80">If(IFERROR(SEARCH(E$1, $D80),0) &gt;= 1, true,false)</f>
        <v>1</v>
      </c>
      <c r="F80" s="17" t="b">
        <f t="shared" si="80"/>
        <v>1</v>
      </c>
      <c r="G80" s="17" t="b">
        <f t="shared" si="80"/>
        <v>0</v>
      </c>
      <c r="H80" s="17" t="b">
        <f t="shared" si="80"/>
        <v>1</v>
      </c>
      <c r="I80" s="17" t="b">
        <f t="shared" si="80"/>
        <v>1</v>
      </c>
      <c r="J80" s="17" t="b">
        <f t="shared" si="80"/>
        <v>1</v>
      </c>
      <c r="K80" s="17" t="b">
        <f t="shared" si="80"/>
        <v>0</v>
      </c>
      <c r="L80" s="17"/>
      <c r="M80" s="18" t="b">
        <v>1</v>
      </c>
      <c r="N80" s="18" t="b">
        <v>0</v>
      </c>
      <c r="O80" s="18" t="b">
        <v>0</v>
      </c>
      <c r="P80" s="18" t="b">
        <v>0</v>
      </c>
      <c r="Q80" s="16" t="str">
        <f t="shared" si="3"/>
        <v>Museum Plantin-Moretus</v>
      </c>
      <c r="R80" s="19">
        <v>12.0</v>
      </c>
      <c r="S80" s="18" t="b">
        <v>0</v>
      </c>
      <c r="T80" s="18" t="b">
        <v>1</v>
      </c>
      <c r="U80" s="29">
        <v>12.0</v>
      </c>
      <c r="Y80" s="23"/>
    </row>
    <row r="81">
      <c r="A81" s="16" t="s">
        <v>196</v>
      </c>
      <c r="B81" s="16" t="s">
        <v>197</v>
      </c>
      <c r="C81" s="34" t="s">
        <v>31</v>
      </c>
      <c r="D81" s="16" t="s">
        <v>198</v>
      </c>
      <c r="E81" s="17" t="b">
        <f t="shared" ref="E81:K81" si="81">If(IFERROR(SEARCH(E$1, $D81),0) &gt;= 1, true,false)</f>
        <v>1</v>
      </c>
      <c r="F81" s="17" t="b">
        <f t="shared" si="81"/>
        <v>0</v>
      </c>
      <c r="G81" s="17" t="b">
        <f t="shared" si="81"/>
        <v>0</v>
      </c>
      <c r="H81" s="17" t="b">
        <f t="shared" si="81"/>
        <v>0</v>
      </c>
      <c r="I81" s="17" t="b">
        <f t="shared" si="81"/>
        <v>1</v>
      </c>
      <c r="J81" s="17" t="b">
        <f t="shared" si="81"/>
        <v>1</v>
      </c>
      <c r="K81" s="17" t="b">
        <f t="shared" si="81"/>
        <v>0</v>
      </c>
      <c r="L81" s="17"/>
      <c r="M81" s="18" t="b">
        <v>1</v>
      </c>
      <c r="N81" s="18" t="b">
        <v>0</v>
      </c>
      <c r="O81" s="18" t="b">
        <v>0</v>
      </c>
      <c r="P81" s="18" t="b">
        <v>0</v>
      </c>
      <c r="Q81" s="16" t="str">
        <f t="shared" si="3"/>
        <v>Museum Vleeshuis</v>
      </c>
      <c r="R81" s="19">
        <v>8.0</v>
      </c>
      <c r="S81" s="18" t="b">
        <v>1</v>
      </c>
      <c r="T81" s="18" t="b">
        <v>0</v>
      </c>
      <c r="U81" s="16"/>
      <c r="Y81" s="23"/>
    </row>
    <row r="82">
      <c r="A82" s="16" t="s">
        <v>199</v>
      </c>
      <c r="B82" s="16" t="s">
        <v>200</v>
      </c>
      <c r="C82" s="34" t="s">
        <v>31</v>
      </c>
      <c r="D82" s="36" t="s">
        <v>107</v>
      </c>
      <c r="E82" s="17" t="b">
        <f t="shared" ref="E82:K82" si="82">If(IFERROR(SEARCH(E$1, $D82),0) &gt;= 1, true,false)</f>
        <v>1</v>
      </c>
      <c r="F82" s="17" t="b">
        <f t="shared" si="82"/>
        <v>1</v>
      </c>
      <c r="G82" s="17" t="b">
        <f t="shared" si="82"/>
        <v>0</v>
      </c>
      <c r="H82" s="17" t="b">
        <f t="shared" si="82"/>
        <v>0</v>
      </c>
      <c r="I82" s="17" t="b">
        <f t="shared" si="82"/>
        <v>0</v>
      </c>
      <c r="J82" s="17" t="b">
        <f t="shared" si="82"/>
        <v>0</v>
      </c>
      <c r="K82" s="17" t="b">
        <f t="shared" si="82"/>
        <v>0</v>
      </c>
      <c r="L82" s="17"/>
      <c r="M82" s="18" t="b">
        <v>1</v>
      </c>
      <c r="N82" s="18" t="b">
        <v>1</v>
      </c>
      <c r="O82" s="18" t="b">
        <v>1</v>
      </c>
      <c r="P82" s="18" t="b">
        <v>0</v>
      </c>
      <c r="Q82" s="16" t="str">
        <f t="shared" si="3"/>
        <v>Nationaal Museum van de Speelkaart</v>
      </c>
      <c r="R82" s="19">
        <v>5.0</v>
      </c>
      <c r="S82" s="18" t="b">
        <v>0</v>
      </c>
      <c r="T82" s="18" t="b">
        <v>1</v>
      </c>
      <c r="U82" s="29">
        <v>5.0</v>
      </c>
      <c r="Y82" s="23"/>
    </row>
    <row r="83">
      <c r="A83" s="16" t="s">
        <v>201</v>
      </c>
      <c r="B83" s="16" t="s">
        <v>202</v>
      </c>
      <c r="C83" s="34" t="s">
        <v>31</v>
      </c>
      <c r="D83" s="16" t="s">
        <v>4</v>
      </c>
      <c r="E83" s="17" t="b">
        <f t="shared" ref="E83:K83" si="83">If(IFERROR(SEARCH(E$1, $D83),0) &gt;= 1, true,false)</f>
        <v>1</v>
      </c>
      <c r="F83" s="17" t="b">
        <f t="shared" si="83"/>
        <v>0</v>
      </c>
      <c r="G83" s="17" t="b">
        <f t="shared" si="83"/>
        <v>0</v>
      </c>
      <c r="H83" s="17" t="b">
        <f t="shared" si="83"/>
        <v>0</v>
      </c>
      <c r="I83" s="17" t="b">
        <f t="shared" si="83"/>
        <v>0</v>
      </c>
      <c r="J83" s="17" t="b">
        <f t="shared" si="83"/>
        <v>0</v>
      </c>
      <c r="K83" s="17" t="b">
        <f t="shared" si="83"/>
        <v>0</v>
      </c>
      <c r="L83" s="17"/>
      <c r="M83" s="18" t="b">
        <v>1</v>
      </c>
      <c r="N83" s="18" t="b">
        <v>1</v>
      </c>
      <c r="O83" s="18" t="b">
        <v>0</v>
      </c>
      <c r="P83" s="18" t="b">
        <v>0</v>
      </c>
      <c r="Q83" s="16" t="str">
        <f t="shared" si="3"/>
        <v>Red Star Line Museum</v>
      </c>
      <c r="R83" s="19">
        <v>10.0</v>
      </c>
      <c r="S83" s="18" t="b">
        <v>0</v>
      </c>
      <c r="T83" s="18" t="b">
        <v>1</v>
      </c>
      <c r="U83" s="29">
        <v>0.0</v>
      </c>
      <c r="Y83" s="23"/>
    </row>
    <row r="84">
      <c r="A84" s="16" t="s">
        <v>203</v>
      </c>
      <c r="B84" s="16" t="s">
        <v>204</v>
      </c>
      <c r="C84" s="34" t="s">
        <v>31</v>
      </c>
      <c r="D84" s="16" t="s">
        <v>95</v>
      </c>
      <c r="E84" s="17" t="b">
        <f t="shared" ref="E84:K84" si="84">If(IFERROR(SEARCH(E$1, $D84),0) &gt;= 1, true,false)</f>
        <v>1</v>
      </c>
      <c r="F84" s="17" t="b">
        <f t="shared" si="84"/>
        <v>0</v>
      </c>
      <c r="G84" s="17" t="b">
        <f t="shared" si="84"/>
        <v>0</v>
      </c>
      <c r="H84" s="17" t="b">
        <f t="shared" si="84"/>
        <v>0</v>
      </c>
      <c r="I84" s="17" t="b">
        <f t="shared" si="84"/>
        <v>0</v>
      </c>
      <c r="J84" s="17" t="b">
        <f t="shared" si="84"/>
        <v>1</v>
      </c>
      <c r="K84" s="17" t="b">
        <f t="shared" si="84"/>
        <v>0</v>
      </c>
      <c r="L84" s="17"/>
      <c r="M84" s="18" t="b">
        <v>1</v>
      </c>
      <c r="N84" s="18" t="b">
        <v>0</v>
      </c>
      <c r="O84" s="18" t="b">
        <v>0</v>
      </c>
      <c r="P84" s="18" t="b">
        <v>0</v>
      </c>
      <c r="Q84" s="16" t="str">
        <f t="shared" si="3"/>
        <v>Rubenshuis</v>
      </c>
      <c r="R84" s="19">
        <v>12.0</v>
      </c>
      <c r="S84" s="18" t="b">
        <v>0</v>
      </c>
      <c r="T84" s="18" t="b">
        <v>1</v>
      </c>
      <c r="U84" s="30">
        <v>12.0</v>
      </c>
      <c r="Y84" s="23"/>
    </row>
    <row r="85">
      <c r="A85" s="16" t="s">
        <v>205</v>
      </c>
      <c r="B85" s="16" t="s">
        <v>206</v>
      </c>
      <c r="C85" s="34" t="s">
        <v>31</v>
      </c>
      <c r="D85" s="16" t="s">
        <v>207</v>
      </c>
      <c r="E85" s="17" t="b">
        <f t="shared" ref="E85:K85" si="85">If(IFERROR(SEARCH(E$1, $D85),0) &gt;= 1, true,false)</f>
        <v>1</v>
      </c>
      <c r="F85" s="17" t="b">
        <f t="shared" si="85"/>
        <v>0</v>
      </c>
      <c r="G85" s="17" t="b">
        <f t="shared" si="85"/>
        <v>1</v>
      </c>
      <c r="H85" s="17" t="b">
        <f t="shared" si="85"/>
        <v>1</v>
      </c>
      <c r="I85" s="17" t="b">
        <f t="shared" si="85"/>
        <v>1</v>
      </c>
      <c r="J85" s="17" t="b">
        <f t="shared" si="85"/>
        <v>1</v>
      </c>
      <c r="K85" s="17" t="b">
        <f t="shared" si="85"/>
        <v>1</v>
      </c>
      <c r="L85" s="17"/>
      <c r="M85" s="18" t="b">
        <v>1</v>
      </c>
      <c r="N85" s="18" t="b">
        <v>0</v>
      </c>
      <c r="O85" s="18" t="b">
        <v>0</v>
      </c>
      <c r="P85" s="18" t="b">
        <v>0</v>
      </c>
      <c r="Q85" s="16" t="str">
        <f t="shared" si="3"/>
        <v>Sint-Pauluskerk</v>
      </c>
      <c r="R85" s="19">
        <v>5.0</v>
      </c>
      <c r="S85" s="18" t="b">
        <v>0</v>
      </c>
      <c r="T85" s="18" t="b">
        <v>1</v>
      </c>
      <c r="U85" s="29">
        <v>5.0</v>
      </c>
      <c r="Y85" s="23"/>
    </row>
    <row r="86">
      <c r="A86" s="16" t="s">
        <v>208</v>
      </c>
      <c r="B86" s="16" t="s">
        <v>209</v>
      </c>
      <c r="C86" s="34" t="s">
        <v>31</v>
      </c>
      <c r="D86" s="16" t="s">
        <v>107</v>
      </c>
      <c r="E86" s="17" t="b">
        <f t="shared" ref="E86:K86" si="86">If(IFERROR(SEARCH(E$1, $D86),0) &gt;= 1, true,false)</f>
        <v>1</v>
      </c>
      <c r="F86" s="17" t="b">
        <f t="shared" si="86"/>
        <v>1</v>
      </c>
      <c r="G86" s="17" t="b">
        <f t="shared" si="86"/>
        <v>0</v>
      </c>
      <c r="H86" s="17" t="b">
        <f t="shared" si="86"/>
        <v>0</v>
      </c>
      <c r="I86" s="17" t="b">
        <f t="shared" si="86"/>
        <v>0</v>
      </c>
      <c r="J86" s="17" t="b">
        <f t="shared" si="86"/>
        <v>0</v>
      </c>
      <c r="K86" s="17" t="b">
        <f t="shared" si="86"/>
        <v>0</v>
      </c>
      <c r="L86" s="17"/>
      <c r="M86" s="18" t="b">
        <v>1</v>
      </c>
      <c r="N86" s="18" t="b">
        <v>1</v>
      </c>
      <c r="O86" s="18" t="b">
        <v>1</v>
      </c>
      <c r="P86" s="18" t="b">
        <v>0</v>
      </c>
      <c r="Q86" s="16" t="str">
        <f t="shared" si="3"/>
        <v>Speelgoedmuseum</v>
      </c>
      <c r="R86" s="19">
        <v>17.5</v>
      </c>
      <c r="S86" s="18" t="b">
        <v>0</v>
      </c>
      <c r="T86" s="18" t="b">
        <v>0</v>
      </c>
      <c r="U86" s="21"/>
      <c r="Y86" s="23"/>
    </row>
    <row r="87">
      <c r="A87" s="16" t="s">
        <v>210</v>
      </c>
      <c r="B87" s="16" t="s">
        <v>211</v>
      </c>
      <c r="C87" s="34" t="s">
        <v>31</v>
      </c>
      <c r="D87" s="16" t="s">
        <v>212</v>
      </c>
      <c r="E87" s="17" t="b">
        <f t="shared" ref="E87:K87" si="87">If(IFERROR(SEARCH(E$1, $D87),0) &gt;= 1, true,false)</f>
        <v>1</v>
      </c>
      <c r="F87" s="17" t="b">
        <f t="shared" si="87"/>
        <v>1</v>
      </c>
      <c r="G87" s="17" t="b">
        <f t="shared" si="87"/>
        <v>1</v>
      </c>
      <c r="H87" s="17" t="b">
        <f t="shared" si="87"/>
        <v>1</v>
      </c>
      <c r="I87" s="17" t="b">
        <f t="shared" si="87"/>
        <v>1</v>
      </c>
      <c r="J87" s="17" t="b">
        <f t="shared" si="87"/>
        <v>1</v>
      </c>
      <c r="K87" s="17" t="b">
        <f t="shared" si="87"/>
        <v>1</v>
      </c>
      <c r="L87" s="17"/>
      <c r="M87" s="18" t="b">
        <v>1</v>
      </c>
      <c r="N87" s="18" t="b">
        <v>0</v>
      </c>
      <c r="O87" s="18" t="b">
        <v>0</v>
      </c>
      <c r="P87" s="18" t="b">
        <v>0</v>
      </c>
      <c r="Q87" s="16" t="str">
        <f t="shared" si="3"/>
        <v>Stadsmuseum Lier</v>
      </c>
      <c r="R87" s="19">
        <v>4.0</v>
      </c>
      <c r="S87" s="18" t="b">
        <v>0</v>
      </c>
      <c r="T87" s="18" t="b">
        <v>1</v>
      </c>
      <c r="U87" s="30">
        <v>4.0</v>
      </c>
      <c r="Y87" s="23"/>
    </row>
    <row r="88">
      <c r="A88" s="16" t="s">
        <v>213</v>
      </c>
      <c r="B88" s="16" t="s">
        <v>214</v>
      </c>
      <c r="C88" s="34" t="s">
        <v>31</v>
      </c>
      <c r="D88" s="16" t="s">
        <v>95</v>
      </c>
      <c r="E88" s="17" t="b">
        <f t="shared" ref="E88:K88" si="88">If(IFERROR(SEARCH(E$1, $D88),0) &gt;= 1, true,false)</f>
        <v>1</v>
      </c>
      <c r="F88" s="17" t="b">
        <f t="shared" si="88"/>
        <v>0</v>
      </c>
      <c r="G88" s="17" t="b">
        <f t="shared" si="88"/>
        <v>0</v>
      </c>
      <c r="H88" s="17" t="b">
        <f t="shared" si="88"/>
        <v>0</v>
      </c>
      <c r="I88" s="17" t="b">
        <f t="shared" si="88"/>
        <v>0</v>
      </c>
      <c r="J88" s="17" t="b">
        <f t="shared" si="88"/>
        <v>1</v>
      </c>
      <c r="K88" s="17" t="b">
        <f t="shared" si="88"/>
        <v>0</v>
      </c>
      <c r="L88" s="17"/>
      <c r="M88" s="18" t="b">
        <v>1</v>
      </c>
      <c r="N88" s="18" t="b">
        <v>0</v>
      </c>
      <c r="O88" s="18" t="b">
        <v>0</v>
      </c>
      <c r="P88" s="18" t="b">
        <v>0</v>
      </c>
      <c r="Q88" s="16" t="str">
        <f t="shared" si="3"/>
        <v>Stedelijk Museum Hoogstraten</v>
      </c>
      <c r="R88" s="19">
        <v>0.0</v>
      </c>
      <c r="S88" s="18" t="b">
        <v>0</v>
      </c>
      <c r="T88" s="18" t="b">
        <v>1</v>
      </c>
      <c r="U88" s="30">
        <v>0.0</v>
      </c>
      <c r="Y88" s="23"/>
    </row>
    <row r="89">
      <c r="A89" s="16" t="s">
        <v>215</v>
      </c>
      <c r="B89" s="16" t="s">
        <v>216</v>
      </c>
      <c r="C89" s="34" t="s">
        <v>31</v>
      </c>
      <c r="D89" s="16" t="s">
        <v>156</v>
      </c>
      <c r="E89" s="17" t="b">
        <f t="shared" ref="E89:K89" si="89">If(IFERROR(SEARCH(E$1, $D89),0) &gt;= 1, true,false)</f>
        <v>1</v>
      </c>
      <c r="F89" s="17" t="b">
        <f t="shared" si="89"/>
        <v>0</v>
      </c>
      <c r="G89" s="17" t="b">
        <f t="shared" si="89"/>
        <v>0</v>
      </c>
      <c r="H89" s="17" t="b">
        <f t="shared" si="89"/>
        <v>1</v>
      </c>
      <c r="I89" s="17" t="b">
        <f t="shared" si="89"/>
        <v>0</v>
      </c>
      <c r="J89" s="17" t="b">
        <f t="shared" si="89"/>
        <v>0</v>
      </c>
      <c r="K89" s="17" t="b">
        <f t="shared" si="89"/>
        <v>0</v>
      </c>
      <c r="L89" s="17"/>
      <c r="M89" s="18" t="b">
        <v>1</v>
      </c>
      <c r="N89" s="18" t="b">
        <v>1</v>
      </c>
      <c r="O89" s="18" t="b">
        <v>1</v>
      </c>
      <c r="P89" s="18" t="b">
        <v>0</v>
      </c>
      <c r="Q89" s="16" t="str">
        <f t="shared" si="3"/>
        <v>Suske en Wiske Museum</v>
      </c>
      <c r="R89" s="19">
        <v>15.0</v>
      </c>
      <c r="S89" s="18" t="b">
        <v>0</v>
      </c>
      <c r="T89" s="18" t="b">
        <v>0</v>
      </c>
      <c r="U89" s="21"/>
      <c r="Y89" s="23"/>
    </row>
    <row r="90">
      <c r="A90" s="16" t="s">
        <v>217</v>
      </c>
      <c r="B90" s="16"/>
      <c r="C90" s="34" t="s">
        <v>31</v>
      </c>
      <c r="D90" s="16" t="s">
        <v>198</v>
      </c>
      <c r="E90" s="17" t="b">
        <f t="shared" ref="E90:K90" si="90">If(IFERROR(SEARCH(E$1, $D90),0) &gt;= 1, true,false)</f>
        <v>1</v>
      </c>
      <c r="F90" s="17" t="b">
        <f t="shared" si="90"/>
        <v>0</v>
      </c>
      <c r="G90" s="17" t="b">
        <f t="shared" si="90"/>
        <v>0</v>
      </c>
      <c r="H90" s="17" t="b">
        <f t="shared" si="90"/>
        <v>0</v>
      </c>
      <c r="I90" s="17" t="b">
        <f t="shared" si="90"/>
        <v>1</v>
      </c>
      <c r="J90" s="17" t="b">
        <f t="shared" si="90"/>
        <v>1</v>
      </c>
      <c r="K90" s="17" t="b">
        <f t="shared" si="90"/>
        <v>0</v>
      </c>
      <c r="L90" s="17"/>
      <c r="M90" s="18" t="b">
        <v>1</v>
      </c>
      <c r="N90" s="18" t="b">
        <v>1</v>
      </c>
      <c r="O90" s="18" t="b">
        <v>0</v>
      </c>
      <c r="P90" s="18" t="b">
        <v>0</v>
      </c>
      <c r="Q90" s="16" t="str">
        <f t="shared" si="3"/>
        <v>Taxandriamuseum</v>
      </c>
      <c r="R90" s="19">
        <v>5.0</v>
      </c>
      <c r="S90" s="18" t="b">
        <v>0</v>
      </c>
      <c r="T90" s="18" t="b">
        <v>1</v>
      </c>
      <c r="U90" s="29">
        <v>5.0</v>
      </c>
      <c r="Y90" s="23"/>
    </row>
    <row r="91">
      <c r="A91" s="16" t="s">
        <v>218</v>
      </c>
      <c r="B91" s="16"/>
      <c r="C91" s="34" t="s">
        <v>31</v>
      </c>
      <c r="D91" s="16" t="s">
        <v>107</v>
      </c>
      <c r="E91" s="17" t="b">
        <f t="shared" ref="E91:K91" si="91">If(IFERROR(SEARCH(E$1, $D91),0) &gt;= 1, true,false)</f>
        <v>1</v>
      </c>
      <c r="F91" s="17" t="b">
        <f t="shared" si="91"/>
        <v>1</v>
      </c>
      <c r="G91" s="17" t="b">
        <f t="shared" si="91"/>
        <v>0</v>
      </c>
      <c r="H91" s="17" t="b">
        <f t="shared" si="91"/>
        <v>0</v>
      </c>
      <c r="I91" s="17" t="b">
        <f t="shared" si="91"/>
        <v>0</v>
      </c>
      <c r="J91" s="17" t="b">
        <f t="shared" si="91"/>
        <v>0</v>
      </c>
      <c r="K91" s="17" t="b">
        <f t="shared" si="91"/>
        <v>0</v>
      </c>
      <c r="L91" s="17"/>
      <c r="M91" s="18" t="b">
        <v>1</v>
      </c>
      <c r="N91" s="18" t="b">
        <v>1</v>
      </c>
      <c r="O91" s="18" t="b">
        <v>1</v>
      </c>
      <c r="P91" s="18" t="b">
        <v>1</v>
      </c>
      <c r="Q91" s="16" t="str">
        <f t="shared" si="3"/>
        <v>‘t Grom</v>
      </c>
      <c r="R91" s="19">
        <v>7.0</v>
      </c>
      <c r="S91" s="18" t="b">
        <v>0</v>
      </c>
      <c r="T91" s="18" t="b">
        <v>1</v>
      </c>
      <c r="U91" s="30">
        <v>7.0</v>
      </c>
      <c r="Y91" s="23"/>
    </row>
    <row r="92">
      <c r="A92" s="16" t="s">
        <v>219</v>
      </c>
      <c r="B92" s="16"/>
      <c r="C92" s="34" t="s">
        <v>31</v>
      </c>
      <c r="D92" s="16" t="s">
        <v>220</v>
      </c>
      <c r="E92" s="17" t="b">
        <f t="shared" ref="E92:K92" si="92">If(IFERROR(SEARCH(E$1, $D92),0) &gt;= 1, true,false)</f>
        <v>1</v>
      </c>
      <c r="F92" s="17" t="b">
        <f t="shared" si="92"/>
        <v>1</v>
      </c>
      <c r="G92" s="17" t="b">
        <f t="shared" si="92"/>
        <v>1</v>
      </c>
      <c r="H92" s="17" t="b">
        <f t="shared" si="92"/>
        <v>0</v>
      </c>
      <c r="I92" s="17" t="b">
        <f t="shared" si="92"/>
        <v>1</v>
      </c>
      <c r="J92" s="17" t="b">
        <f t="shared" si="92"/>
        <v>0</v>
      </c>
      <c r="K92" s="17" t="b">
        <f t="shared" si="92"/>
        <v>1</v>
      </c>
      <c r="L92" s="17"/>
      <c r="M92" s="18" t="b">
        <v>1</v>
      </c>
      <c r="N92" s="18" t="b">
        <v>0</v>
      </c>
      <c r="O92" s="18" t="b">
        <v>0</v>
      </c>
      <c r="P92" s="18" t="b">
        <v>0</v>
      </c>
      <c r="Q92" s="16" t="str">
        <f t="shared" si="3"/>
        <v>Het steen, The Antwerp Story</v>
      </c>
      <c r="R92" s="19">
        <v>7.0</v>
      </c>
      <c r="S92" s="18" t="b">
        <v>0</v>
      </c>
      <c r="T92" s="18" t="b">
        <v>1</v>
      </c>
      <c r="U92" s="30">
        <v>7.0</v>
      </c>
      <c r="Y92" s="23"/>
    </row>
    <row r="93">
      <c r="A93" s="16" t="s">
        <v>221</v>
      </c>
      <c r="B93" s="16" t="s">
        <v>222</v>
      </c>
      <c r="C93" s="17" t="s">
        <v>34</v>
      </c>
      <c r="D93" s="16" t="s">
        <v>9</v>
      </c>
      <c r="E93" s="17" t="b">
        <f t="shared" ref="E93:K93" si="93">If(IFERROR(SEARCH(E$1, $D93),0) &gt;= 1, true,false)</f>
        <v>0</v>
      </c>
      <c r="F93" s="17" t="b">
        <f t="shared" si="93"/>
        <v>0</v>
      </c>
      <c r="G93" s="17" t="b">
        <f t="shared" si="93"/>
        <v>0</v>
      </c>
      <c r="H93" s="17" t="b">
        <f t="shared" si="93"/>
        <v>0</v>
      </c>
      <c r="I93" s="17" t="b">
        <f t="shared" si="93"/>
        <v>0</v>
      </c>
      <c r="J93" s="17" t="b">
        <f t="shared" si="93"/>
        <v>1</v>
      </c>
      <c r="K93" s="17" t="b">
        <f t="shared" si="93"/>
        <v>0</v>
      </c>
      <c r="L93" s="17"/>
      <c r="M93" s="18" t="b">
        <v>1</v>
      </c>
      <c r="N93" s="18" t="b">
        <v>1</v>
      </c>
      <c r="O93" s="18" t="b">
        <v>1</v>
      </c>
      <c r="P93" s="18" t="b">
        <v>1</v>
      </c>
      <c r="Q93" s="16" t="str">
        <f t="shared" si="3"/>
        <v>Stichting Folon</v>
      </c>
      <c r="R93" s="19">
        <v>12.0</v>
      </c>
      <c r="S93" s="18" t="b">
        <v>0</v>
      </c>
      <c r="T93" s="18" t="b">
        <v>1</v>
      </c>
      <c r="U93" s="30">
        <v>10.0</v>
      </c>
      <c r="Y93" s="23"/>
    </row>
    <row r="94">
      <c r="A94" s="16" t="s">
        <v>223</v>
      </c>
      <c r="B94" s="16" t="s">
        <v>224</v>
      </c>
      <c r="C94" s="17" t="s">
        <v>34</v>
      </c>
      <c r="D94" s="16" t="s">
        <v>9</v>
      </c>
      <c r="E94" s="17" t="b">
        <f t="shared" ref="E94:K94" si="94">If(IFERROR(SEARCH(E$1, $D94),0) &gt;= 1, true,false)</f>
        <v>0</v>
      </c>
      <c r="F94" s="17" t="b">
        <f t="shared" si="94"/>
        <v>0</v>
      </c>
      <c r="G94" s="17" t="b">
        <f t="shared" si="94"/>
        <v>0</v>
      </c>
      <c r="H94" s="17" t="b">
        <f t="shared" si="94"/>
        <v>0</v>
      </c>
      <c r="I94" s="17" t="b">
        <f t="shared" si="94"/>
        <v>0</v>
      </c>
      <c r="J94" s="17" t="b">
        <f t="shared" si="94"/>
        <v>1</v>
      </c>
      <c r="K94" s="17" t="b">
        <f t="shared" si="94"/>
        <v>0</v>
      </c>
      <c r="L94" s="17"/>
      <c r="M94" s="18" t="b">
        <v>1</v>
      </c>
      <c r="N94" s="18" t="b">
        <v>1</v>
      </c>
      <c r="O94" s="18" t="b">
        <v>0</v>
      </c>
      <c r="P94" s="18" t="b">
        <v>1</v>
      </c>
      <c r="Q94" s="16" t="str">
        <f t="shared" si="3"/>
        <v>Hergé Museum</v>
      </c>
      <c r="R94" s="19">
        <v>12.0</v>
      </c>
      <c r="S94" s="18" t="b">
        <v>0</v>
      </c>
      <c r="T94" s="18" t="b">
        <v>1</v>
      </c>
      <c r="U94" s="35">
        <v>12.0</v>
      </c>
      <c r="Y94" s="23"/>
    </row>
    <row r="95">
      <c r="A95" s="16"/>
      <c r="B95" s="16" t="s">
        <v>225</v>
      </c>
      <c r="C95" s="17" t="s">
        <v>34</v>
      </c>
      <c r="D95" s="16" t="s">
        <v>9</v>
      </c>
      <c r="E95" s="17" t="b">
        <f t="shared" ref="E95:K95" si="95">If(IFERROR(SEARCH(E$1, $D95),0) &gt;= 1, true,false)</f>
        <v>0</v>
      </c>
      <c r="F95" s="17" t="b">
        <f t="shared" si="95"/>
        <v>0</v>
      </c>
      <c r="G95" s="17" t="b">
        <f t="shared" si="95"/>
        <v>0</v>
      </c>
      <c r="H95" s="17" t="b">
        <f t="shared" si="95"/>
        <v>0</v>
      </c>
      <c r="I95" s="17" t="b">
        <f t="shared" si="95"/>
        <v>0</v>
      </c>
      <c r="J95" s="17" t="b">
        <f t="shared" si="95"/>
        <v>1</v>
      </c>
      <c r="K95" s="17" t="b">
        <f t="shared" si="95"/>
        <v>0</v>
      </c>
      <c r="L95" s="17"/>
      <c r="M95" s="18" t="b">
        <v>1</v>
      </c>
      <c r="N95" s="18" t="b">
        <v>1</v>
      </c>
      <c r="O95" s="18" t="b">
        <v>1</v>
      </c>
      <c r="P95" s="18" t="b">
        <v>1</v>
      </c>
      <c r="Q95" s="16" t="str">
        <f t="shared" si="3"/>
        <v>Musée L</v>
      </c>
      <c r="R95" s="19">
        <v>8.0</v>
      </c>
      <c r="S95" s="18" t="b">
        <v>0</v>
      </c>
      <c r="T95" s="18" t="b">
        <v>1</v>
      </c>
      <c r="U95" s="35">
        <v>8.0</v>
      </c>
      <c r="Y95" s="23"/>
    </row>
    <row r="96">
      <c r="A96" s="16" t="s">
        <v>226</v>
      </c>
      <c r="B96" s="16" t="s">
        <v>227</v>
      </c>
      <c r="C96" s="17" t="s">
        <v>34</v>
      </c>
      <c r="D96" s="16" t="s">
        <v>9</v>
      </c>
      <c r="E96" s="17" t="b">
        <f t="shared" ref="E96:K96" si="96">If(IFERROR(SEARCH(E$1, $D96),0) &gt;= 1, true,false)</f>
        <v>0</v>
      </c>
      <c r="F96" s="17" t="b">
        <f t="shared" si="96"/>
        <v>0</v>
      </c>
      <c r="G96" s="17" t="b">
        <f t="shared" si="96"/>
        <v>0</v>
      </c>
      <c r="H96" s="17" t="b">
        <f t="shared" si="96"/>
        <v>0</v>
      </c>
      <c r="I96" s="17" t="b">
        <f t="shared" si="96"/>
        <v>0</v>
      </c>
      <c r="J96" s="17" t="b">
        <f t="shared" si="96"/>
        <v>1</v>
      </c>
      <c r="K96" s="17" t="b">
        <f t="shared" si="96"/>
        <v>0</v>
      </c>
      <c r="L96" s="17"/>
      <c r="M96" s="18" t="b">
        <v>1</v>
      </c>
      <c r="N96" s="18" t="b">
        <v>0</v>
      </c>
      <c r="O96" s="18" t="b">
        <v>1</v>
      </c>
      <c r="P96" s="18" t="b">
        <v>0</v>
      </c>
      <c r="Q96" s="16" t="str">
        <f t="shared" si="3"/>
        <v>Marthe Donas museum</v>
      </c>
      <c r="R96" s="19">
        <v>2.0</v>
      </c>
      <c r="S96" s="18" t="b">
        <v>0</v>
      </c>
      <c r="T96" s="18" t="b">
        <v>1</v>
      </c>
      <c r="U96" s="31">
        <v>2.0</v>
      </c>
      <c r="Y96" s="23"/>
    </row>
    <row r="97">
      <c r="A97" s="16" t="s">
        <v>228</v>
      </c>
      <c r="B97" s="16" t="s">
        <v>229</v>
      </c>
      <c r="C97" s="17" t="s">
        <v>34</v>
      </c>
      <c r="D97" s="16" t="s">
        <v>4</v>
      </c>
      <c r="E97" s="17" t="b">
        <f t="shared" ref="E97:K97" si="97">If(IFERROR(SEARCH(E$1, $D97),0) &gt;= 1, true,false)</f>
        <v>1</v>
      </c>
      <c r="F97" s="17" t="b">
        <f t="shared" si="97"/>
        <v>0</v>
      </c>
      <c r="G97" s="17" t="b">
        <f t="shared" si="97"/>
        <v>0</v>
      </c>
      <c r="H97" s="17" t="b">
        <f t="shared" si="97"/>
        <v>0</v>
      </c>
      <c r="I97" s="17" t="b">
        <f t="shared" si="97"/>
        <v>0</v>
      </c>
      <c r="J97" s="17" t="b">
        <f t="shared" si="97"/>
        <v>0</v>
      </c>
      <c r="K97" s="17" t="b">
        <f t="shared" si="97"/>
        <v>0</v>
      </c>
      <c r="L97" s="17"/>
      <c r="M97" s="18" t="b">
        <v>1</v>
      </c>
      <c r="N97" s="18" t="b">
        <v>0</v>
      </c>
      <c r="O97" s="18" t="b">
        <v>0</v>
      </c>
      <c r="P97" s="18" t="b">
        <v>0</v>
      </c>
      <c r="Q97" s="16" t="str">
        <f t="shared" si="3"/>
        <v>Wellington Museum</v>
      </c>
      <c r="R97" s="19">
        <v>10.0</v>
      </c>
      <c r="S97" s="20" t="b">
        <v>0</v>
      </c>
      <c r="T97" s="18" t="b">
        <v>1</v>
      </c>
      <c r="U97" s="29">
        <v>8.0</v>
      </c>
      <c r="Y97" s="23"/>
    </row>
    <row r="98">
      <c r="A98" s="16" t="s">
        <v>230</v>
      </c>
      <c r="B98" s="16"/>
      <c r="C98" s="17" t="s">
        <v>38</v>
      </c>
      <c r="D98" s="16" t="s">
        <v>54</v>
      </c>
      <c r="E98" s="17" t="b">
        <f t="shared" ref="E98:K98" si="98">If(IFERROR(SEARCH(E$1, $D98),0) &gt;= 1, true,false)</f>
        <v>1</v>
      </c>
      <c r="F98" s="17" t="b">
        <f t="shared" si="98"/>
        <v>1</v>
      </c>
      <c r="G98" s="17" t="b">
        <f t="shared" si="98"/>
        <v>0</v>
      </c>
      <c r="H98" s="17" t="b">
        <f t="shared" si="98"/>
        <v>0</v>
      </c>
      <c r="I98" s="17" t="b">
        <f t="shared" si="98"/>
        <v>0</v>
      </c>
      <c r="J98" s="17" t="b">
        <f t="shared" si="98"/>
        <v>1</v>
      </c>
      <c r="K98" s="17" t="b">
        <f t="shared" si="98"/>
        <v>0</v>
      </c>
      <c r="L98" s="17"/>
      <c r="M98" s="18" t="b">
        <v>1</v>
      </c>
      <c r="N98" s="18" t="b">
        <v>1</v>
      </c>
      <c r="O98" s="18" t="b">
        <v>1</v>
      </c>
      <c r="P98" s="18" t="b">
        <v>1</v>
      </c>
      <c r="Q98" s="16" t="str">
        <f t="shared" si="3"/>
        <v>AfricaMuseum</v>
      </c>
      <c r="R98" s="19">
        <v>13.0</v>
      </c>
      <c r="S98" s="18" t="b">
        <v>0</v>
      </c>
      <c r="T98" s="18" t="b">
        <v>1</v>
      </c>
      <c r="U98" s="27">
        <v>13.0</v>
      </c>
      <c r="Y98" s="23"/>
    </row>
    <row r="99">
      <c r="A99" s="16" t="s">
        <v>231</v>
      </c>
      <c r="B99" s="16" t="s">
        <v>232</v>
      </c>
      <c r="C99" s="17" t="s">
        <v>38</v>
      </c>
      <c r="D99" s="16" t="s">
        <v>4</v>
      </c>
      <c r="E99" s="17" t="b">
        <f t="shared" ref="E99:K99" si="99">If(IFERROR(SEARCH(E$1, $D99),0) &gt;= 1, true,false)</f>
        <v>1</v>
      </c>
      <c r="F99" s="17" t="b">
        <f t="shared" si="99"/>
        <v>0</v>
      </c>
      <c r="G99" s="17" t="b">
        <f t="shared" si="99"/>
        <v>0</v>
      </c>
      <c r="H99" s="17" t="b">
        <f t="shared" si="99"/>
        <v>0</v>
      </c>
      <c r="I99" s="17" t="b">
        <f t="shared" si="99"/>
        <v>0</v>
      </c>
      <c r="J99" s="17" t="b">
        <f t="shared" si="99"/>
        <v>0</v>
      </c>
      <c r="K99" s="17" t="b">
        <f t="shared" si="99"/>
        <v>0</v>
      </c>
      <c r="L99" s="17"/>
      <c r="M99" s="18" t="b">
        <v>1</v>
      </c>
      <c r="N99" s="18" t="b">
        <v>0</v>
      </c>
      <c r="O99" s="18" t="b">
        <v>1</v>
      </c>
      <c r="P99" s="18" t="b">
        <v>0</v>
      </c>
      <c r="Q99" s="16" t="str">
        <f t="shared" si="3"/>
        <v>Damiaanmuseum</v>
      </c>
      <c r="R99" s="19">
        <v>7.0</v>
      </c>
      <c r="S99" s="18" t="b">
        <v>0</v>
      </c>
      <c r="T99" s="18" t="b">
        <v>0</v>
      </c>
      <c r="Y99" s="23"/>
    </row>
    <row r="100">
      <c r="A100" s="16" t="s">
        <v>233</v>
      </c>
      <c r="B100" s="16" t="s">
        <v>234</v>
      </c>
      <c r="C100" s="17" t="s">
        <v>38</v>
      </c>
      <c r="D100" s="16" t="s">
        <v>95</v>
      </c>
      <c r="E100" s="17" t="b">
        <f t="shared" ref="E100:K100" si="100">If(IFERROR(SEARCH(E$1, $D100),0) &gt;= 1, true,false)</f>
        <v>1</v>
      </c>
      <c r="F100" s="17" t="b">
        <f t="shared" si="100"/>
        <v>0</v>
      </c>
      <c r="G100" s="17" t="b">
        <f t="shared" si="100"/>
        <v>0</v>
      </c>
      <c r="H100" s="17" t="b">
        <f t="shared" si="100"/>
        <v>0</v>
      </c>
      <c r="I100" s="17" t="b">
        <f t="shared" si="100"/>
        <v>0</v>
      </c>
      <c r="J100" s="17" t="b">
        <f t="shared" si="100"/>
        <v>1</v>
      </c>
      <c r="K100" s="17" t="b">
        <f t="shared" si="100"/>
        <v>0</v>
      </c>
      <c r="L100" s="17"/>
      <c r="M100" s="18" t="b">
        <v>1</v>
      </c>
      <c r="N100" s="18" t="b">
        <v>0</v>
      </c>
      <c r="O100" s="18" t="b">
        <v>0</v>
      </c>
      <c r="P100" s="18" t="b">
        <v>1</v>
      </c>
      <c r="Q100" s="16" t="str">
        <f t="shared" si="3"/>
        <v>Dru!f, huis van de tafeldruif</v>
      </c>
      <c r="R100" s="19">
        <v>0.0</v>
      </c>
      <c r="S100" s="18" t="b">
        <v>0</v>
      </c>
      <c r="T100" s="18" t="b">
        <v>1</v>
      </c>
      <c r="U100" s="27">
        <v>0.0</v>
      </c>
      <c r="Y100" s="23"/>
    </row>
    <row r="101">
      <c r="A101" s="16" t="s">
        <v>235</v>
      </c>
      <c r="B101" s="16"/>
      <c r="C101" s="17" t="s">
        <v>38</v>
      </c>
      <c r="D101" s="16" t="s">
        <v>9</v>
      </c>
      <c r="E101" s="17" t="b">
        <f t="shared" ref="E101:K101" si="101">If(IFERROR(SEARCH(E$1, $D101),0) &gt;= 1, true,false)</f>
        <v>0</v>
      </c>
      <c r="F101" s="17" t="b">
        <f t="shared" si="101"/>
        <v>0</v>
      </c>
      <c r="G101" s="17" t="b">
        <f t="shared" si="101"/>
        <v>0</v>
      </c>
      <c r="H101" s="17" t="b">
        <f t="shared" si="101"/>
        <v>0</v>
      </c>
      <c r="I101" s="17" t="b">
        <f t="shared" si="101"/>
        <v>0</v>
      </c>
      <c r="J101" s="17" t="b">
        <f t="shared" si="101"/>
        <v>1</v>
      </c>
      <c r="K101" s="17" t="b">
        <f t="shared" si="101"/>
        <v>0</v>
      </c>
      <c r="L101" s="17"/>
      <c r="M101" s="18" t="b">
        <v>1</v>
      </c>
      <c r="N101" s="18" t="b">
        <v>1</v>
      </c>
      <c r="O101" s="18" t="b">
        <v>1</v>
      </c>
      <c r="P101" s="18" t="b">
        <v>0</v>
      </c>
      <c r="Q101" s="16" t="str">
        <f t="shared" si="3"/>
        <v>FeliXart Museum</v>
      </c>
      <c r="R101" s="19">
        <v>10.0</v>
      </c>
      <c r="S101" s="18" t="b">
        <v>0</v>
      </c>
      <c r="T101" s="18" t="b">
        <v>1</v>
      </c>
      <c r="U101" s="27">
        <v>10.0</v>
      </c>
      <c r="Y101" s="23"/>
    </row>
    <row r="102">
      <c r="A102" s="16" t="s">
        <v>236</v>
      </c>
      <c r="B102" s="16" t="s">
        <v>237</v>
      </c>
      <c r="C102" s="17" t="s">
        <v>38</v>
      </c>
      <c r="D102" s="36" t="s">
        <v>4</v>
      </c>
      <c r="E102" s="17" t="b">
        <f t="shared" ref="E102:K102" si="102">If(IFERROR(SEARCH(E$1, $D102),0) &gt;= 1, true,false)</f>
        <v>1</v>
      </c>
      <c r="F102" s="17" t="b">
        <f t="shared" si="102"/>
        <v>0</v>
      </c>
      <c r="G102" s="17" t="b">
        <f t="shared" si="102"/>
        <v>0</v>
      </c>
      <c r="H102" s="17" t="b">
        <f t="shared" si="102"/>
        <v>0</v>
      </c>
      <c r="I102" s="17" t="b">
        <f t="shared" si="102"/>
        <v>0</v>
      </c>
      <c r="J102" s="17" t="b">
        <f t="shared" si="102"/>
        <v>0</v>
      </c>
      <c r="K102" s="17" t="b">
        <f t="shared" si="102"/>
        <v>0</v>
      </c>
      <c r="L102" s="17"/>
      <c r="M102" s="18" t="b">
        <v>0</v>
      </c>
      <c r="N102" s="18" t="b">
        <v>0</v>
      </c>
      <c r="O102" s="18" t="b">
        <v>1</v>
      </c>
      <c r="P102" s="18" t="b">
        <v>0</v>
      </c>
      <c r="Q102" s="16" t="str">
        <f t="shared" si="3"/>
        <v>Huis van het Belgisch-Franse Verzet</v>
      </c>
      <c r="R102" s="19">
        <v>12.0</v>
      </c>
      <c r="S102" s="18" t="b">
        <v>0</v>
      </c>
      <c r="T102" s="18" t="b">
        <v>0</v>
      </c>
      <c r="U102" s="21"/>
      <c r="Y102" s="23"/>
    </row>
    <row r="103">
      <c r="A103" s="16" t="s">
        <v>238</v>
      </c>
      <c r="B103" s="16"/>
      <c r="C103" s="17" t="s">
        <v>38</v>
      </c>
      <c r="D103" s="16" t="s">
        <v>95</v>
      </c>
      <c r="E103" s="17" t="b">
        <f t="shared" ref="E103:K103" si="103">If(IFERROR(SEARCH(E$1, $D103),0) &gt;= 1, true,false)</f>
        <v>1</v>
      </c>
      <c r="F103" s="17" t="b">
        <f t="shared" si="103"/>
        <v>0</v>
      </c>
      <c r="G103" s="17" t="b">
        <f t="shared" si="103"/>
        <v>0</v>
      </c>
      <c r="H103" s="17" t="b">
        <f t="shared" si="103"/>
        <v>0</v>
      </c>
      <c r="I103" s="17" t="b">
        <f t="shared" si="103"/>
        <v>0</v>
      </c>
      <c r="J103" s="17" t="b">
        <f t="shared" si="103"/>
        <v>1</v>
      </c>
      <c r="K103" s="17" t="b">
        <f t="shared" si="103"/>
        <v>0</v>
      </c>
      <c r="L103" s="17"/>
      <c r="M103" s="18" t="b">
        <v>0</v>
      </c>
      <c r="N103" s="18" t="b">
        <v>0</v>
      </c>
      <c r="O103" s="18" t="b">
        <v>1</v>
      </c>
      <c r="P103" s="18" t="b">
        <v>0</v>
      </c>
      <c r="Q103" s="16" t="str">
        <f t="shared" si="3"/>
        <v>KADOC-KU Leuven</v>
      </c>
      <c r="R103" s="19">
        <v>0.0</v>
      </c>
      <c r="S103" s="18" t="b">
        <v>0</v>
      </c>
      <c r="T103" s="18" t="b">
        <v>1</v>
      </c>
      <c r="U103" s="29">
        <v>0.0</v>
      </c>
      <c r="Y103" s="23"/>
    </row>
    <row r="104">
      <c r="A104" s="16" t="s">
        <v>239</v>
      </c>
      <c r="B104" s="16" t="s">
        <v>240</v>
      </c>
      <c r="C104" s="17" t="s">
        <v>38</v>
      </c>
      <c r="D104" s="16" t="s">
        <v>198</v>
      </c>
      <c r="E104" s="17" t="b">
        <f t="shared" ref="E104:K104" si="104">If(IFERROR(SEARCH(E$1, $D104),0) &gt;= 1, true,false)</f>
        <v>1</v>
      </c>
      <c r="F104" s="17" t="b">
        <f t="shared" si="104"/>
        <v>0</v>
      </c>
      <c r="G104" s="17" t="b">
        <f t="shared" si="104"/>
        <v>0</v>
      </c>
      <c r="H104" s="17" t="b">
        <f t="shared" si="104"/>
        <v>0</v>
      </c>
      <c r="I104" s="17" t="b">
        <f t="shared" si="104"/>
        <v>1</v>
      </c>
      <c r="J104" s="17" t="b">
        <f t="shared" si="104"/>
        <v>1</v>
      </c>
      <c r="K104" s="17" t="b">
        <f t="shared" si="104"/>
        <v>0</v>
      </c>
      <c r="L104" s="17"/>
      <c r="M104" s="18" t="b">
        <v>1</v>
      </c>
      <c r="N104" s="18" t="b">
        <v>1</v>
      </c>
      <c r="O104" s="18" t="b">
        <v>1</v>
      </c>
      <c r="P104" s="18" t="b">
        <v>0</v>
      </c>
      <c r="Q104" s="16" t="str">
        <f t="shared" si="3"/>
        <v>Kasteel van Gaasbeek</v>
      </c>
      <c r="R104" s="19">
        <v>12.0</v>
      </c>
      <c r="S104" s="18" t="b">
        <v>0</v>
      </c>
      <c r="T104" s="18" t="b">
        <v>1</v>
      </c>
      <c r="U104" s="30">
        <v>12.0</v>
      </c>
      <c r="Y104" s="23"/>
    </row>
    <row r="105">
      <c r="A105" s="16" t="s">
        <v>241</v>
      </c>
      <c r="B105" s="16"/>
      <c r="C105" s="17" t="s">
        <v>38</v>
      </c>
      <c r="D105" s="37" t="s">
        <v>79</v>
      </c>
      <c r="E105" s="17" t="b">
        <f t="shared" ref="E105:K105" si="105">If(IFERROR(SEARCH(E$1, $D105),0) &gt;= 1, true,false)</f>
        <v>1</v>
      </c>
      <c r="F105" s="17" t="b">
        <f t="shared" si="105"/>
        <v>0</v>
      </c>
      <c r="G105" s="17" t="b">
        <f t="shared" si="105"/>
        <v>0</v>
      </c>
      <c r="H105" s="17" t="b">
        <f t="shared" si="105"/>
        <v>0</v>
      </c>
      <c r="I105" s="17" t="b">
        <f t="shared" si="105"/>
        <v>0</v>
      </c>
      <c r="J105" s="17" t="b">
        <f t="shared" si="105"/>
        <v>1</v>
      </c>
      <c r="K105" s="17" t="b">
        <f t="shared" si="105"/>
        <v>1</v>
      </c>
      <c r="L105" s="17"/>
      <c r="M105" s="18" t="b">
        <v>1</v>
      </c>
      <c r="N105" s="18" t="b">
        <v>0</v>
      </c>
      <c r="O105" s="18" t="b">
        <v>0</v>
      </c>
      <c r="P105" s="18" t="b">
        <v>0</v>
      </c>
      <c r="Q105" s="16" t="str">
        <f t="shared" si="3"/>
        <v>M Leuven</v>
      </c>
      <c r="R105" s="19">
        <v>12.0</v>
      </c>
      <c r="S105" s="18" t="b">
        <v>0</v>
      </c>
      <c r="T105" s="18" t="b">
        <v>1</v>
      </c>
      <c r="U105" s="29">
        <v>12.0</v>
      </c>
      <c r="Y105" s="23"/>
    </row>
    <row r="106">
      <c r="A106" s="16" t="s">
        <v>242</v>
      </c>
      <c r="B106" s="16" t="s">
        <v>243</v>
      </c>
      <c r="C106" s="17" t="s">
        <v>38</v>
      </c>
      <c r="D106" s="16" t="s">
        <v>4</v>
      </c>
      <c r="E106" s="17" t="b">
        <f t="shared" ref="E106:K106" si="106">If(IFERROR(SEARCH(E$1, $D106),0) &gt;= 1, true,false)</f>
        <v>1</v>
      </c>
      <c r="F106" s="17" t="b">
        <f t="shared" si="106"/>
        <v>0</v>
      </c>
      <c r="G106" s="17" t="b">
        <f t="shared" si="106"/>
        <v>0</v>
      </c>
      <c r="H106" s="17" t="b">
        <f t="shared" si="106"/>
        <v>0</v>
      </c>
      <c r="I106" s="17" t="b">
        <f t="shared" si="106"/>
        <v>0</v>
      </c>
      <c r="J106" s="17" t="b">
        <f t="shared" si="106"/>
        <v>0</v>
      </c>
      <c r="K106" s="17" t="b">
        <f t="shared" si="106"/>
        <v>0</v>
      </c>
      <c r="L106" s="17"/>
      <c r="M106" s="18" t="b">
        <v>1</v>
      </c>
      <c r="N106" s="18" t="b">
        <v>0</v>
      </c>
      <c r="O106" s="18" t="b">
        <v>1</v>
      </c>
      <c r="P106" s="18" t="b">
        <v>0</v>
      </c>
      <c r="Q106" s="16" t="str">
        <f t="shared" si="3"/>
        <v>Museum 44</v>
      </c>
      <c r="R106" s="19">
        <v>8.5</v>
      </c>
      <c r="S106" s="18" t="b">
        <v>0</v>
      </c>
      <c r="T106" s="18" t="b">
        <v>0</v>
      </c>
      <c r="U106" s="32"/>
      <c r="Y106" s="23"/>
    </row>
    <row r="107">
      <c r="A107" s="16" t="s">
        <v>244</v>
      </c>
      <c r="B107" s="16" t="s">
        <v>245</v>
      </c>
      <c r="C107" s="17" t="s">
        <v>38</v>
      </c>
      <c r="D107" s="16" t="s">
        <v>95</v>
      </c>
      <c r="E107" s="17" t="b">
        <f t="shared" ref="E107:K107" si="107">If(IFERROR(SEARCH(E$1, $D107),0) &gt;= 1, true,false)</f>
        <v>1</v>
      </c>
      <c r="F107" s="17" t="b">
        <f t="shared" si="107"/>
        <v>0</v>
      </c>
      <c r="G107" s="17" t="b">
        <f t="shared" si="107"/>
        <v>0</v>
      </c>
      <c r="H107" s="17" t="b">
        <f t="shared" si="107"/>
        <v>0</v>
      </c>
      <c r="I107" s="17" t="b">
        <f t="shared" si="107"/>
        <v>0</v>
      </c>
      <c r="J107" s="17" t="b">
        <f t="shared" si="107"/>
        <v>1</v>
      </c>
      <c r="K107" s="17" t="b">
        <f t="shared" si="107"/>
        <v>0</v>
      </c>
      <c r="L107" s="17"/>
      <c r="M107" s="18" t="b">
        <v>0</v>
      </c>
      <c r="N107" s="18" t="b">
        <v>0</v>
      </c>
      <c r="O107" s="18" t="b">
        <v>0</v>
      </c>
      <c r="P107" s="18" t="b">
        <v>0</v>
      </c>
      <c r="Q107" s="16" t="str">
        <f t="shared" si="3"/>
        <v>Museum den AST</v>
      </c>
      <c r="R107" s="19">
        <v>5.0</v>
      </c>
      <c r="S107" s="18" t="b">
        <v>0</v>
      </c>
      <c r="T107" s="18" t="b">
        <v>1</v>
      </c>
      <c r="U107" s="31">
        <v>5.0</v>
      </c>
      <c r="Y107" s="23"/>
    </row>
    <row r="108">
      <c r="A108" s="16" t="s">
        <v>246</v>
      </c>
      <c r="B108" s="16" t="s">
        <v>247</v>
      </c>
      <c r="C108" s="17" t="s">
        <v>38</v>
      </c>
      <c r="D108" s="16" t="s">
        <v>248</v>
      </c>
      <c r="E108" s="17" t="b">
        <f t="shared" ref="E108:K108" si="108">If(IFERROR(SEARCH(E$1, $D108),0) &gt;= 1, true,false)</f>
        <v>1</v>
      </c>
      <c r="F108" s="17" t="b">
        <f t="shared" si="108"/>
        <v>0</v>
      </c>
      <c r="G108" s="17" t="b">
        <f t="shared" si="108"/>
        <v>0</v>
      </c>
      <c r="H108" s="17" t="b">
        <f t="shared" si="108"/>
        <v>1</v>
      </c>
      <c r="I108" s="17" t="b">
        <f t="shared" si="108"/>
        <v>1</v>
      </c>
      <c r="J108" s="17" t="b">
        <f t="shared" si="108"/>
        <v>1</v>
      </c>
      <c r="K108" s="17" t="b">
        <f t="shared" si="108"/>
        <v>1</v>
      </c>
      <c r="L108" s="17"/>
      <c r="M108" s="18" t="b">
        <v>1</v>
      </c>
      <c r="N108" s="18" t="b">
        <v>1</v>
      </c>
      <c r="O108" s="18" t="b">
        <v>1</v>
      </c>
      <c r="P108" s="18" t="b">
        <v>1</v>
      </c>
      <c r="Q108" s="16" t="str">
        <f t="shared" si="3"/>
        <v>Museum PARCUM, Abdij van Park Leuven</v>
      </c>
      <c r="R108" s="19">
        <v>12.0</v>
      </c>
      <c r="S108" s="18" t="b">
        <v>0</v>
      </c>
      <c r="T108" s="18" t="b">
        <v>1</v>
      </c>
      <c r="U108" s="31">
        <v>12.0</v>
      </c>
      <c r="Y108" s="23"/>
    </row>
    <row r="109">
      <c r="A109" s="16" t="s">
        <v>249</v>
      </c>
      <c r="B109" s="16" t="s">
        <v>250</v>
      </c>
      <c r="C109" s="17" t="s">
        <v>38</v>
      </c>
      <c r="D109" s="16" t="s">
        <v>5</v>
      </c>
      <c r="E109" s="17" t="b">
        <f t="shared" ref="E109:K109" si="109">If(IFERROR(SEARCH(E$1, $D109),0) &gt;= 1, true,false)</f>
        <v>0</v>
      </c>
      <c r="F109" s="17" t="b">
        <f t="shared" si="109"/>
        <v>1</v>
      </c>
      <c r="G109" s="17" t="b">
        <f t="shared" si="109"/>
        <v>0</v>
      </c>
      <c r="H109" s="17" t="b">
        <f t="shared" si="109"/>
        <v>0</v>
      </c>
      <c r="I109" s="17" t="b">
        <f t="shared" si="109"/>
        <v>0</v>
      </c>
      <c r="J109" s="17" t="b">
        <f t="shared" si="109"/>
        <v>0</v>
      </c>
      <c r="K109" s="17" t="b">
        <f t="shared" si="109"/>
        <v>0</v>
      </c>
      <c r="L109" s="17"/>
      <c r="M109" s="18" t="b">
        <v>1</v>
      </c>
      <c r="N109" s="18" t="b">
        <v>0</v>
      </c>
      <c r="O109" s="18" t="b">
        <v>1</v>
      </c>
      <c r="P109" s="18" t="b">
        <v>1</v>
      </c>
      <c r="Q109" s="16" t="str">
        <f t="shared" si="3"/>
        <v>Plantentuin Meise</v>
      </c>
      <c r="R109" s="19">
        <v>15.0</v>
      </c>
      <c r="S109" s="18" t="b">
        <v>0</v>
      </c>
      <c r="T109" s="18" t="b">
        <v>0</v>
      </c>
      <c r="U109" s="16"/>
      <c r="Y109" s="23"/>
    </row>
    <row r="110">
      <c r="A110" s="16" t="s">
        <v>251</v>
      </c>
      <c r="B110" s="16" t="s">
        <v>252</v>
      </c>
      <c r="C110" s="17" t="s">
        <v>38</v>
      </c>
      <c r="D110" s="36" t="s">
        <v>253</v>
      </c>
      <c r="E110" s="17" t="b">
        <f t="shared" ref="E110:K110" si="110">If(IFERROR(SEARCH(E$1, $D110),0) &gt;= 1, true,false)</f>
        <v>0</v>
      </c>
      <c r="F110" s="17" t="b">
        <f t="shared" si="110"/>
        <v>0</v>
      </c>
      <c r="G110" s="17" t="b">
        <f t="shared" si="110"/>
        <v>0</v>
      </c>
      <c r="H110" s="17" t="b">
        <f t="shared" si="110"/>
        <v>0</v>
      </c>
      <c r="I110" s="17" t="b">
        <f t="shared" si="110"/>
        <v>0</v>
      </c>
      <c r="J110" s="17" t="b">
        <f t="shared" si="110"/>
        <v>0</v>
      </c>
      <c r="K110" s="17" t="b">
        <f t="shared" si="110"/>
        <v>0</v>
      </c>
      <c r="L110" s="17"/>
      <c r="M110" s="18" t="b">
        <v>0</v>
      </c>
      <c r="N110" s="18" t="b">
        <v>0</v>
      </c>
      <c r="O110" s="18" t="b">
        <v>0</v>
      </c>
      <c r="P110" s="18" t="b">
        <v>0</v>
      </c>
      <c r="Q110" s="16" t="str">
        <f t="shared" si="3"/>
        <v>Universiteitsbibliotheek KU Leuven</v>
      </c>
      <c r="R110" s="19">
        <v>0.0</v>
      </c>
      <c r="S110" s="18" t="b">
        <v>0</v>
      </c>
      <c r="T110" s="18" t="b">
        <v>0</v>
      </c>
      <c r="U110" s="16"/>
      <c r="Y110" s="23"/>
    </row>
    <row r="111">
      <c r="A111" s="16" t="s">
        <v>254</v>
      </c>
      <c r="B111" s="16" t="s">
        <v>255</v>
      </c>
      <c r="C111" s="17" t="s">
        <v>40</v>
      </c>
      <c r="D111" s="16" t="s">
        <v>5</v>
      </c>
      <c r="E111" s="17" t="b">
        <f t="shared" ref="E111:K111" si="111">If(IFERROR(SEARCH(E$1, $D111),0) &gt;= 1, true,false)</f>
        <v>0</v>
      </c>
      <c r="F111" s="17" t="b">
        <f t="shared" si="111"/>
        <v>1</v>
      </c>
      <c r="G111" s="17" t="b">
        <f t="shared" si="111"/>
        <v>0</v>
      </c>
      <c r="H111" s="17" t="b">
        <f t="shared" si="111"/>
        <v>0</v>
      </c>
      <c r="I111" s="17" t="b">
        <f t="shared" si="111"/>
        <v>0</v>
      </c>
      <c r="J111" s="17" t="b">
        <f t="shared" si="111"/>
        <v>0</v>
      </c>
      <c r="K111" s="17" t="b">
        <f t="shared" si="111"/>
        <v>0</v>
      </c>
      <c r="L111" s="17"/>
      <c r="M111" s="18" t="b">
        <v>0</v>
      </c>
      <c r="N111" s="18" t="b">
        <v>0</v>
      </c>
      <c r="O111" s="18" t="b">
        <v>0</v>
      </c>
      <c r="P111" s="18" t="b">
        <v>0</v>
      </c>
      <c r="Q111" s="16" t="str">
        <f t="shared" si="3"/>
        <v>Apotheekmuseum</v>
      </c>
      <c r="R111" s="19">
        <v>6.0</v>
      </c>
      <c r="S111" s="20" t="b">
        <v>0</v>
      </c>
      <c r="T111" s="18" t="b">
        <v>0</v>
      </c>
      <c r="U111" s="16"/>
      <c r="Y111" s="23"/>
    </row>
    <row r="112">
      <c r="A112" s="16" t="s">
        <v>256</v>
      </c>
      <c r="B112" s="16"/>
      <c r="C112" s="17" t="s">
        <v>40</v>
      </c>
      <c r="D112" s="16" t="s">
        <v>198</v>
      </c>
      <c r="E112" s="17" t="b">
        <f t="shared" ref="E112:K112" si="112">If(IFERROR(SEARCH(E$1, $D112),0) &gt;= 1, true,false)</f>
        <v>1</v>
      </c>
      <c r="F112" s="17" t="b">
        <f t="shared" si="112"/>
        <v>0</v>
      </c>
      <c r="G112" s="17" t="b">
        <f t="shared" si="112"/>
        <v>0</v>
      </c>
      <c r="H112" s="17" t="b">
        <f t="shared" si="112"/>
        <v>0</v>
      </c>
      <c r="I112" s="17" t="b">
        <f t="shared" si="112"/>
        <v>1</v>
      </c>
      <c r="J112" s="17" t="b">
        <f t="shared" si="112"/>
        <v>1</v>
      </c>
      <c r="K112" s="17" t="b">
        <f t="shared" si="112"/>
        <v>0</v>
      </c>
      <c r="L112" s="17"/>
      <c r="M112" s="18" t="b">
        <v>1</v>
      </c>
      <c r="N112" s="18" t="b">
        <v>1</v>
      </c>
      <c r="O112" s="18" t="b">
        <v>1</v>
      </c>
      <c r="P112" s="18" t="b">
        <v>1</v>
      </c>
      <c r="Q112" s="16" t="str">
        <f t="shared" si="3"/>
        <v>C-mine</v>
      </c>
      <c r="R112" s="19">
        <v>14.0</v>
      </c>
      <c r="S112" s="20" t="b">
        <v>0</v>
      </c>
      <c r="T112" s="18" t="b">
        <v>1</v>
      </c>
      <c r="U112" s="29">
        <v>14.0</v>
      </c>
      <c r="Y112" s="23"/>
    </row>
    <row r="113">
      <c r="A113" s="16" t="s">
        <v>257</v>
      </c>
      <c r="B113" s="16" t="s">
        <v>258</v>
      </c>
      <c r="C113" s="17" t="s">
        <v>40</v>
      </c>
      <c r="D113" s="16" t="s">
        <v>259</v>
      </c>
      <c r="E113" s="17" t="b">
        <f t="shared" ref="E113:K113" si="113">If(IFERROR(SEARCH(E$1, $D113),0) &gt;= 1, true,false)</f>
        <v>1</v>
      </c>
      <c r="F113" s="17" t="b">
        <f t="shared" si="113"/>
        <v>0</v>
      </c>
      <c r="G113" s="17" t="b">
        <f t="shared" si="113"/>
        <v>0</v>
      </c>
      <c r="H113" s="17" t="b">
        <f t="shared" si="113"/>
        <v>1</v>
      </c>
      <c r="I113" s="17" t="b">
        <f t="shared" si="113"/>
        <v>0</v>
      </c>
      <c r="J113" s="17" t="b">
        <f t="shared" si="113"/>
        <v>1</v>
      </c>
      <c r="K113" s="17" t="b">
        <f t="shared" si="113"/>
        <v>1</v>
      </c>
      <c r="L113" s="17"/>
      <c r="M113" s="18" t="b">
        <v>1</v>
      </c>
      <c r="N113" s="18" t="b">
        <v>0</v>
      </c>
      <c r="O113" s="18" t="b">
        <v>0</v>
      </c>
      <c r="P113" s="18" t="b">
        <v>0</v>
      </c>
      <c r="Q113" s="16" t="str">
        <f t="shared" si="3"/>
        <v>DE MINDERE</v>
      </c>
      <c r="R113" s="19">
        <v>0.0</v>
      </c>
      <c r="S113" s="20" t="b">
        <v>0</v>
      </c>
      <c r="T113" s="18" t="b">
        <v>1</v>
      </c>
      <c r="U113" s="29">
        <v>0.0</v>
      </c>
      <c r="Y113" s="23"/>
    </row>
    <row r="114">
      <c r="A114" s="16" t="s">
        <v>260</v>
      </c>
      <c r="B114" s="16"/>
      <c r="C114" s="17" t="s">
        <v>40</v>
      </c>
      <c r="D114" s="16" t="s">
        <v>198</v>
      </c>
      <c r="E114" s="17" t="b">
        <f t="shared" ref="E114:K114" si="114">If(IFERROR(SEARCH(E$1, $D114),0) &gt;= 1, true,false)</f>
        <v>1</v>
      </c>
      <c r="F114" s="17" t="b">
        <f t="shared" si="114"/>
        <v>0</v>
      </c>
      <c r="G114" s="17" t="b">
        <f t="shared" si="114"/>
        <v>0</v>
      </c>
      <c r="H114" s="17" t="b">
        <f t="shared" si="114"/>
        <v>0</v>
      </c>
      <c r="I114" s="17" t="b">
        <f t="shared" si="114"/>
        <v>1</v>
      </c>
      <c r="J114" s="17" t="b">
        <f t="shared" si="114"/>
        <v>1</v>
      </c>
      <c r="K114" s="17" t="b">
        <f t="shared" si="114"/>
        <v>0</v>
      </c>
      <c r="L114" s="17"/>
      <c r="M114" s="18" t="b">
        <v>1</v>
      </c>
      <c r="N114" s="18" t="b">
        <v>1</v>
      </c>
      <c r="O114" s="18" t="b">
        <v>0</v>
      </c>
      <c r="P114" s="18" t="b">
        <v>1</v>
      </c>
      <c r="Q114" s="16" t="str">
        <f t="shared" si="3"/>
        <v>Duitse Orde Museum (DOMUS) Alden Biesen</v>
      </c>
      <c r="R114" s="19">
        <v>8.0</v>
      </c>
      <c r="S114" s="20" t="b">
        <v>0</v>
      </c>
      <c r="T114" s="18" t="b">
        <v>1</v>
      </c>
      <c r="U114" s="29">
        <v>8.0</v>
      </c>
      <c r="Y114" s="23"/>
    </row>
    <row r="115">
      <c r="A115" s="16" t="s">
        <v>261</v>
      </c>
      <c r="B115" s="16" t="s">
        <v>262</v>
      </c>
      <c r="C115" s="17" t="s">
        <v>40</v>
      </c>
      <c r="D115" s="16" t="s">
        <v>4</v>
      </c>
      <c r="E115" s="17" t="b">
        <f t="shared" ref="E115:K115" si="115">If(IFERROR(SEARCH(E$1, $D115),0) &gt;= 1, true,false)</f>
        <v>1</v>
      </c>
      <c r="F115" s="17" t="b">
        <f t="shared" si="115"/>
        <v>0</v>
      </c>
      <c r="G115" s="17" t="b">
        <f t="shared" si="115"/>
        <v>0</v>
      </c>
      <c r="H115" s="17" t="b">
        <f t="shared" si="115"/>
        <v>0</v>
      </c>
      <c r="I115" s="17" t="b">
        <f t="shared" si="115"/>
        <v>0</v>
      </c>
      <c r="J115" s="17" t="b">
        <f t="shared" si="115"/>
        <v>0</v>
      </c>
      <c r="K115" s="17" t="b">
        <f t="shared" si="115"/>
        <v>0</v>
      </c>
      <c r="L115" s="17"/>
      <c r="M115" s="18" t="b">
        <v>1</v>
      </c>
      <c r="N115" s="18" t="b">
        <v>0</v>
      </c>
      <c r="O115" s="18" t="b">
        <v>1</v>
      </c>
      <c r="P115" s="18" t="b">
        <v>1</v>
      </c>
      <c r="Q115" s="16" t="str">
        <f t="shared" si="3"/>
        <v>Gallo-Romeins Museum</v>
      </c>
      <c r="R115" s="19">
        <v>8.0</v>
      </c>
      <c r="S115" s="20" t="b">
        <v>0</v>
      </c>
      <c r="T115" s="18" t="b">
        <v>1</v>
      </c>
      <c r="U115" s="30">
        <v>13.0</v>
      </c>
      <c r="Y115" s="23"/>
    </row>
    <row r="116">
      <c r="A116" s="16" t="s">
        <v>263</v>
      </c>
      <c r="B116" s="16"/>
      <c r="C116" s="17" t="s">
        <v>40</v>
      </c>
      <c r="D116" s="16" t="s">
        <v>68</v>
      </c>
      <c r="E116" s="17" t="b">
        <f t="shared" ref="E116:K116" si="116">If(IFERROR(SEARCH(E$1, $D116),0) &gt;= 1, true,false)</f>
        <v>1</v>
      </c>
      <c r="F116" s="17" t="b">
        <f t="shared" si="116"/>
        <v>0</v>
      </c>
      <c r="G116" s="17" t="b">
        <f t="shared" si="116"/>
        <v>0</v>
      </c>
      <c r="H116" s="17" t="b">
        <f t="shared" si="116"/>
        <v>0</v>
      </c>
      <c r="I116" s="17" t="b">
        <f t="shared" si="116"/>
        <v>1</v>
      </c>
      <c r="J116" s="17" t="b">
        <f t="shared" si="116"/>
        <v>1</v>
      </c>
      <c r="K116" s="17" t="b">
        <f t="shared" si="116"/>
        <v>1</v>
      </c>
      <c r="L116" s="17"/>
      <c r="M116" s="18" t="b">
        <v>1</v>
      </c>
      <c r="N116" s="18" t="b">
        <v>0</v>
      </c>
      <c r="O116" s="18" t="b">
        <v>0</v>
      </c>
      <c r="P116" s="18" t="b">
        <v>0</v>
      </c>
      <c r="Q116" s="16" t="str">
        <f t="shared" si="3"/>
        <v>GlazenHuis</v>
      </c>
      <c r="R116" s="19">
        <v>5.0</v>
      </c>
      <c r="S116" s="20" t="b">
        <v>1</v>
      </c>
      <c r="T116" s="18" t="b">
        <v>0</v>
      </c>
      <c r="U116" s="16"/>
      <c r="Y116" s="23"/>
    </row>
    <row r="117">
      <c r="A117" s="16" t="s">
        <v>264</v>
      </c>
      <c r="B117" s="16" t="s">
        <v>265</v>
      </c>
      <c r="C117" s="17" t="s">
        <v>40</v>
      </c>
      <c r="D117" s="16" t="s">
        <v>95</v>
      </c>
      <c r="E117" s="17" t="b">
        <f t="shared" ref="E117:K117" si="117">If(IFERROR(SEARCH(E$1, $D117),0) &gt;= 1, true,false)</f>
        <v>1</v>
      </c>
      <c r="F117" s="17" t="b">
        <f t="shared" si="117"/>
        <v>0</v>
      </c>
      <c r="G117" s="17" t="b">
        <f t="shared" si="117"/>
        <v>0</v>
      </c>
      <c r="H117" s="17" t="b">
        <f t="shared" si="117"/>
        <v>0</v>
      </c>
      <c r="I117" s="17" t="b">
        <f t="shared" si="117"/>
        <v>0</v>
      </c>
      <c r="J117" s="17" t="b">
        <f t="shared" si="117"/>
        <v>1</v>
      </c>
      <c r="K117" s="17" t="b">
        <f t="shared" si="117"/>
        <v>0</v>
      </c>
      <c r="L117" s="17"/>
      <c r="M117" s="18" t="b">
        <v>1</v>
      </c>
      <c r="N117" s="18" t="b">
        <v>0</v>
      </c>
      <c r="O117" s="18" t="b">
        <v>0</v>
      </c>
      <c r="P117" s="18" t="b">
        <v>0</v>
      </c>
      <c r="Q117" s="16" t="str">
        <f t="shared" si="3"/>
        <v>Het Stadsmus Hasselt</v>
      </c>
      <c r="R117" s="19">
        <v>0.0</v>
      </c>
      <c r="S117" s="20" t="b">
        <v>0</v>
      </c>
      <c r="T117" s="18" t="b">
        <v>0</v>
      </c>
      <c r="U117" s="16"/>
      <c r="Y117" s="23"/>
    </row>
    <row r="118">
      <c r="A118" s="16" t="s">
        <v>266</v>
      </c>
      <c r="B118" s="16" t="s">
        <v>267</v>
      </c>
      <c r="C118" s="17" t="s">
        <v>40</v>
      </c>
      <c r="D118" s="16" t="s">
        <v>107</v>
      </c>
      <c r="E118" s="17" t="b">
        <f t="shared" ref="E118:K118" si="118">If(IFERROR(SEARCH(E$1, $D118),0) &gt;= 1, true,false)</f>
        <v>1</v>
      </c>
      <c r="F118" s="17" t="b">
        <f t="shared" si="118"/>
        <v>1</v>
      </c>
      <c r="G118" s="17" t="b">
        <f t="shared" si="118"/>
        <v>0</v>
      </c>
      <c r="H118" s="17" t="b">
        <f t="shared" si="118"/>
        <v>0</v>
      </c>
      <c r="I118" s="17" t="b">
        <f t="shared" si="118"/>
        <v>0</v>
      </c>
      <c r="J118" s="17" t="b">
        <f t="shared" si="118"/>
        <v>0</v>
      </c>
      <c r="K118" s="17" t="b">
        <f t="shared" si="118"/>
        <v>0</v>
      </c>
      <c r="L118" s="17"/>
      <c r="M118" s="18" t="b">
        <v>1</v>
      </c>
      <c r="N118" s="18" t="b">
        <v>0</v>
      </c>
      <c r="O118" s="18" t="b">
        <v>0</v>
      </c>
      <c r="P118" s="18" t="b">
        <v>1</v>
      </c>
      <c r="Q118" s="16" t="str">
        <f t="shared" si="3"/>
        <v>Jenevermuseum</v>
      </c>
      <c r="R118" s="19">
        <v>7.0</v>
      </c>
      <c r="S118" s="20" t="b">
        <v>0</v>
      </c>
      <c r="T118" s="18" t="b">
        <v>1</v>
      </c>
      <c r="U118" s="29">
        <v>7.0</v>
      </c>
      <c r="Y118" s="23"/>
    </row>
    <row r="119">
      <c r="A119" s="16" t="s">
        <v>268</v>
      </c>
      <c r="B119" s="16"/>
      <c r="C119" s="17" t="s">
        <v>40</v>
      </c>
      <c r="D119" s="16" t="s">
        <v>269</v>
      </c>
      <c r="E119" s="17" t="b">
        <f t="shared" ref="E119:K119" si="119">If(IFERROR(SEARCH(E$1, $D119),0) &gt;= 1, true,false)</f>
        <v>0</v>
      </c>
      <c r="F119" s="17" t="b">
        <f t="shared" si="119"/>
        <v>1</v>
      </c>
      <c r="G119" s="17" t="b">
        <f t="shared" si="119"/>
        <v>0</v>
      </c>
      <c r="H119" s="17" t="b">
        <f t="shared" si="119"/>
        <v>0</v>
      </c>
      <c r="I119" s="17" t="b">
        <f t="shared" si="119"/>
        <v>1</v>
      </c>
      <c r="J119" s="17" t="b">
        <f t="shared" si="119"/>
        <v>1</v>
      </c>
      <c r="K119" s="17" t="b">
        <f t="shared" si="119"/>
        <v>0</v>
      </c>
      <c r="L119" s="17"/>
      <c r="M119" s="18" t="b">
        <v>1</v>
      </c>
      <c r="N119" s="18" t="b">
        <v>1</v>
      </c>
      <c r="O119" s="18" t="b">
        <v>0</v>
      </c>
      <c r="P119" s="18" t="b">
        <v>0</v>
      </c>
      <c r="Q119" s="16" t="str">
        <f t="shared" si="3"/>
        <v>LABIOMISTA</v>
      </c>
      <c r="R119" s="19">
        <v>14.0</v>
      </c>
      <c r="S119" s="20" t="b">
        <v>1</v>
      </c>
      <c r="T119" s="18" t="b">
        <v>0</v>
      </c>
      <c r="U119" s="16"/>
      <c r="Y119" s="23"/>
    </row>
    <row r="120">
      <c r="A120" s="16" t="s">
        <v>270</v>
      </c>
      <c r="B120" s="16"/>
      <c r="C120" s="17" t="s">
        <v>40</v>
      </c>
      <c r="D120" s="16" t="s">
        <v>4</v>
      </c>
      <c r="E120" s="17" t="b">
        <f t="shared" ref="E120:K120" si="120">If(IFERROR(SEARCH(E$1, $D120),0) &gt;= 1, true,false)</f>
        <v>1</v>
      </c>
      <c r="F120" s="17" t="b">
        <f t="shared" si="120"/>
        <v>0</v>
      </c>
      <c r="G120" s="17" t="b">
        <f t="shared" si="120"/>
        <v>0</v>
      </c>
      <c r="H120" s="17" t="b">
        <f t="shared" si="120"/>
        <v>0</v>
      </c>
      <c r="I120" s="17" t="b">
        <f t="shared" si="120"/>
        <v>0</v>
      </c>
      <c r="J120" s="17" t="b">
        <f t="shared" si="120"/>
        <v>0</v>
      </c>
      <c r="K120" s="17" t="b">
        <f t="shared" si="120"/>
        <v>0</v>
      </c>
      <c r="L120" s="17"/>
      <c r="M120" s="18" t="b">
        <v>1</v>
      </c>
      <c r="N120" s="18" t="b">
        <v>1</v>
      </c>
      <c r="O120" s="18" t="b">
        <v>0</v>
      </c>
      <c r="P120" s="18" t="b">
        <v>1</v>
      </c>
      <c r="Q120" s="16" t="str">
        <f t="shared" si="3"/>
        <v>Liberation Garden Leopoldsburg</v>
      </c>
      <c r="R120" s="19">
        <v>15.0</v>
      </c>
      <c r="S120" s="20" t="b">
        <v>0</v>
      </c>
      <c r="T120" s="18" t="b">
        <v>0</v>
      </c>
      <c r="U120" s="16"/>
      <c r="Y120" s="23"/>
    </row>
    <row r="121">
      <c r="A121" s="16" t="s">
        <v>271</v>
      </c>
      <c r="B121" s="16" t="s">
        <v>272</v>
      </c>
      <c r="C121" s="17" t="s">
        <v>40</v>
      </c>
      <c r="D121" s="16" t="s">
        <v>6</v>
      </c>
      <c r="E121" s="17" t="b">
        <f t="shared" ref="E121:K121" si="121">If(IFERROR(SEARCH(E$1, $D121),0) &gt;= 1, true,false)</f>
        <v>0</v>
      </c>
      <c r="F121" s="17" t="b">
        <f t="shared" si="121"/>
        <v>0</v>
      </c>
      <c r="G121" s="17" t="b">
        <f t="shared" si="121"/>
        <v>1</v>
      </c>
      <c r="H121" s="17" t="b">
        <f t="shared" si="121"/>
        <v>0</v>
      </c>
      <c r="I121" s="17" t="b">
        <f t="shared" si="121"/>
        <v>0</v>
      </c>
      <c r="J121" s="17" t="b">
        <f t="shared" si="121"/>
        <v>0</v>
      </c>
      <c r="K121" s="17" t="b">
        <f t="shared" si="121"/>
        <v>0</v>
      </c>
      <c r="L121" s="17"/>
      <c r="M121" s="18" t="b">
        <v>1</v>
      </c>
      <c r="N121" s="18" t="b">
        <v>0</v>
      </c>
      <c r="O121" s="18" t="b">
        <v>0</v>
      </c>
      <c r="P121" s="18" t="b">
        <v>0</v>
      </c>
      <c r="Q121" s="16" t="str">
        <f t="shared" si="3"/>
        <v>Modemuseum Hasselt</v>
      </c>
      <c r="R121" s="19">
        <v>8.0</v>
      </c>
      <c r="S121" s="20" t="b">
        <v>0</v>
      </c>
      <c r="T121" s="18" t="b">
        <v>1</v>
      </c>
      <c r="U121" s="30">
        <v>8.0</v>
      </c>
      <c r="Y121" s="23"/>
    </row>
    <row r="122">
      <c r="A122" s="16" t="s">
        <v>273</v>
      </c>
      <c r="B122" s="16" t="s">
        <v>274</v>
      </c>
      <c r="C122" s="17" t="s">
        <v>40</v>
      </c>
      <c r="D122" s="16" t="s">
        <v>4</v>
      </c>
      <c r="E122" s="17" t="b">
        <f t="shared" ref="E122:K122" si="122">If(IFERROR(SEARCH(E$1, $D122),0) &gt;= 1, true,false)</f>
        <v>1</v>
      </c>
      <c r="F122" s="17" t="b">
        <f t="shared" si="122"/>
        <v>0</v>
      </c>
      <c r="G122" s="17" t="b">
        <f t="shared" si="122"/>
        <v>0</v>
      </c>
      <c r="H122" s="17" t="b">
        <f t="shared" si="122"/>
        <v>0</v>
      </c>
      <c r="I122" s="17" t="b">
        <f t="shared" si="122"/>
        <v>0</v>
      </c>
      <c r="J122" s="17" t="b">
        <f t="shared" si="122"/>
        <v>0</v>
      </c>
      <c r="K122" s="17" t="b">
        <f t="shared" si="122"/>
        <v>0</v>
      </c>
      <c r="L122" s="17"/>
      <c r="M122" s="18" t="b">
        <v>1</v>
      </c>
      <c r="N122" s="18" t="b">
        <v>1</v>
      </c>
      <c r="O122" s="18" t="b">
        <v>1</v>
      </c>
      <c r="P122" s="18" t="b">
        <v>1</v>
      </c>
      <c r="Q122" s="16" t="str">
        <f t="shared" si="3"/>
        <v>Openluchtmuseum Bokrijk</v>
      </c>
      <c r="R122" s="19">
        <v>16.0</v>
      </c>
      <c r="S122" s="20" t="b">
        <v>1</v>
      </c>
      <c r="T122" s="18" t="b">
        <v>0</v>
      </c>
      <c r="U122" s="16"/>
      <c r="Y122" s="23"/>
    </row>
    <row r="123">
      <c r="A123" s="16" t="s">
        <v>275</v>
      </c>
      <c r="B123" s="16" t="s">
        <v>276</v>
      </c>
      <c r="C123" s="17" t="s">
        <v>40</v>
      </c>
      <c r="D123" s="16" t="s">
        <v>4</v>
      </c>
      <c r="E123" s="17" t="b">
        <f t="shared" ref="E123:K123" si="123">If(IFERROR(SEARCH(E$1, $D123),0) &gt;= 1, true,false)</f>
        <v>1</v>
      </c>
      <c r="F123" s="17" t="b">
        <f t="shared" si="123"/>
        <v>0</v>
      </c>
      <c r="G123" s="17" t="b">
        <f t="shared" si="123"/>
        <v>0</v>
      </c>
      <c r="H123" s="17" t="b">
        <f t="shared" si="123"/>
        <v>0</v>
      </c>
      <c r="I123" s="17" t="b">
        <f t="shared" si="123"/>
        <v>0</v>
      </c>
      <c r="J123" s="17" t="b">
        <f t="shared" si="123"/>
        <v>0</v>
      </c>
      <c r="K123" s="17" t="b">
        <f t="shared" si="123"/>
        <v>0</v>
      </c>
      <c r="L123" s="17"/>
      <c r="M123" s="18" t="b">
        <v>1</v>
      </c>
      <c r="N123" s="18" t="b">
        <v>0</v>
      </c>
      <c r="O123" s="18" t="b">
        <v>0</v>
      </c>
      <c r="P123" s="18" t="b">
        <v>0</v>
      </c>
      <c r="Q123" s="16" t="str">
        <f t="shared" si="3"/>
        <v>RAM | Regionaal Archeologisch Museum</v>
      </c>
      <c r="R123" s="26">
        <v>6.0</v>
      </c>
      <c r="S123" s="18" t="b">
        <v>0</v>
      </c>
      <c r="T123" s="18" t="b">
        <v>0</v>
      </c>
      <c r="Y123" s="23"/>
    </row>
    <row r="124">
      <c r="A124" s="16" t="s">
        <v>277</v>
      </c>
      <c r="B124" s="16" t="s">
        <v>278</v>
      </c>
      <c r="C124" s="17" t="s">
        <v>40</v>
      </c>
      <c r="D124" s="16" t="s">
        <v>9</v>
      </c>
      <c r="E124" s="17" t="b">
        <f t="shared" ref="E124:K124" si="124">If(IFERROR(SEARCH(E$1, $D124),0) &gt;= 1, true,false)</f>
        <v>0</v>
      </c>
      <c r="F124" s="17" t="b">
        <f t="shared" si="124"/>
        <v>0</v>
      </c>
      <c r="G124" s="17" t="b">
        <f t="shared" si="124"/>
        <v>0</v>
      </c>
      <c r="H124" s="17" t="b">
        <f t="shared" si="124"/>
        <v>0</v>
      </c>
      <c r="I124" s="17" t="b">
        <f t="shared" si="124"/>
        <v>0</v>
      </c>
      <c r="J124" s="17" t="b">
        <f t="shared" si="124"/>
        <v>1</v>
      </c>
      <c r="K124" s="17" t="b">
        <f t="shared" si="124"/>
        <v>0</v>
      </c>
      <c r="L124" s="17"/>
      <c r="M124" s="18" t="b">
        <v>0</v>
      </c>
      <c r="N124" s="18" t="b">
        <v>0</v>
      </c>
      <c r="O124" s="18" t="b">
        <v>0</v>
      </c>
      <c r="P124" s="18" t="b">
        <v>0</v>
      </c>
      <c r="Q124" s="16" t="str">
        <f t="shared" si="3"/>
        <v>Schatkamer van Sint-Catharina</v>
      </c>
      <c r="R124" s="19">
        <v>6.0</v>
      </c>
      <c r="S124" s="18" t="b">
        <v>0</v>
      </c>
      <c r="T124" s="18" t="b">
        <v>0</v>
      </c>
      <c r="Y124" s="23"/>
    </row>
    <row r="125">
      <c r="A125" s="16" t="s">
        <v>279</v>
      </c>
      <c r="B125" s="16" t="s">
        <v>280</v>
      </c>
      <c r="C125" s="17" t="s">
        <v>40</v>
      </c>
      <c r="D125" s="16" t="s">
        <v>281</v>
      </c>
      <c r="E125" s="17" t="b">
        <f t="shared" ref="E125:K125" si="125">If(IFERROR(SEARCH(E$1, $D125),0) &gt;= 1, true,false)</f>
        <v>0</v>
      </c>
      <c r="F125" s="17" t="b">
        <f t="shared" si="125"/>
        <v>0</v>
      </c>
      <c r="G125" s="17" t="b">
        <f t="shared" si="125"/>
        <v>0</v>
      </c>
      <c r="H125" s="17" t="b">
        <f t="shared" si="125"/>
        <v>0</v>
      </c>
      <c r="I125" s="17" t="b">
        <f t="shared" si="125"/>
        <v>1</v>
      </c>
      <c r="J125" s="17" t="b">
        <f t="shared" si="125"/>
        <v>1</v>
      </c>
      <c r="K125" s="17" t="b">
        <f t="shared" si="125"/>
        <v>1</v>
      </c>
      <c r="L125" s="17"/>
      <c r="M125" s="18" t="b">
        <v>1</v>
      </c>
      <c r="N125" s="18" t="b">
        <v>0</v>
      </c>
      <c r="O125" s="18" t="b">
        <v>1</v>
      </c>
      <c r="P125" s="18" t="b">
        <v>1</v>
      </c>
      <c r="Q125" s="16" t="str">
        <f t="shared" si="3"/>
        <v>Z33 | Huis voor Actuele Kunst, Design &amp; Architectuur</v>
      </c>
      <c r="R125" s="19">
        <v>12.0</v>
      </c>
      <c r="S125" s="18" t="b">
        <v>0</v>
      </c>
      <c r="T125" s="18" t="b">
        <v>1</v>
      </c>
      <c r="U125" s="27">
        <v>12.0</v>
      </c>
      <c r="Y125" s="23"/>
    </row>
    <row r="126">
      <c r="A126" s="16" t="s">
        <v>282</v>
      </c>
      <c r="B126" s="16" t="s">
        <v>283</v>
      </c>
      <c r="C126" s="17" t="s">
        <v>43</v>
      </c>
      <c r="D126" s="16" t="s">
        <v>4</v>
      </c>
      <c r="E126" s="17" t="b">
        <f t="shared" ref="E126:K126" si="126">If(IFERROR(SEARCH(E$1, $D126),0) &gt;= 1, true,false)</f>
        <v>1</v>
      </c>
      <c r="F126" s="17" t="b">
        <f t="shared" si="126"/>
        <v>0</v>
      </c>
      <c r="G126" s="17" t="b">
        <f t="shared" si="126"/>
        <v>0</v>
      </c>
      <c r="H126" s="17" t="b">
        <f t="shared" si="126"/>
        <v>0</v>
      </c>
      <c r="I126" s="17" t="b">
        <f t="shared" si="126"/>
        <v>0</v>
      </c>
      <c r="J126" s="17" t="b">
        <f t="shared" si="126"/>
        <v>0</v>
      </c>
      <c r="K126" s="17" t="b">
        <f t="shared" si="126"/>
        <v>0</v>
      </c>
      <c r="L126" s="17"/>
      <c r="M126" s="18" t="b">
        <v>1</v>
      </c>
      <c r="N126" s="18" t="b">
        <v>1</v>
      </c>
      <c r="O126" s="18" t="b">
        <v>1</v>
      </c>
      <c r="P126" s="18" t="b">
        <v>1</v>
      </c>
      <c r="Q126" s="16" t="str">
        <f t="shared" si="3"/>
        <v>Abdij van Stavelot</v>
      </c>
      <c r="R126" s="19">
        <v>11.0</v>
      </c>
      <c r="S126" s="18" t="b">
        <v>0</v>
      </c>
      <c r="T126" s="18" t="b">
        <v>1</v>
      </c>
      <c r="U126" s="30">
        <v>19.0</v>
      </c>
      <c r="Y126" s="23"/>
    </row>
    <row r="127">
      <c r="A127" s="16" t="s">
        <v>284</v>
      </c>
      <c r="B127" s="16" t="s">
        <v>285</v>
      </c>
      <c r="C127" s="17" t="s">
        <v>43</v>
      </c>
      <c r="D127" s="16" t="s">
        <v>5</v>
      </c>
      <c r="E127" s="17" t="b">
        <f t="shared" ref="E127:K127" si="127">If(IFERROR(SEARCH(E$1, $D127),0) &gt;= 1, true,false)</f>
        <v>0</v>
      </c>
      <c r="F127" s="17" t="b">
        <f t="shared" si="127"/>
        <v>1</v>
      </c>
      <c r="G127" s="17" t="b">
        <f t="shared" si="127"/>
        <v>0</v>
      </c>
      <c r="H127" s="17" t="b">
        <f t="shared" si="127"/>
        <v>0</v>
      </c>
      <c r="I127" s="17" t="b">
        <f t="shared" si="127"/>
        <v>0</v>
      </c>
      <c r="J127" s="17" t="b">
        <f t="shared" si="127"/>
        <v>0</v>
      </c>
      <c r="K127" s="17" t="b">
        <f t="shared" si="127"/>
        <v>0</v>
      </c>
      <c r="L127" s="17"/>
      <c r="M127" s="18" t="b">
        <v>1</v>
      </c>
      <c r="N127" s="18" t="b">
        <v>1</v>
      </c>
      <c r="O127" s="18" t="b">
        <v>1</v>
      </c>
      <c r="P127" s="18" t="b">
        <v>0</v>
      </c>
      <c r="Q127" s="16" t="str">
        <f t="shared" si="3"/>
        <v>Aquarium-Museum van Luik</v>
      </c>
      <c r="R127" s="19">
        <v>7.5</v>
      </c>
      <c r="S127" s="18" t="b">
        <v>1</v>
      </c>
      <c r="T127" s="18" t="b">
        <v>0</v>
      </c>
      <c r="U127" s="21"/>
      <c r="Y127" s="23"/>
    </row>
    <row r="128">
      <c r="A128" s="16" t="s">
        <v>286</v>
      </c>
      <c r="B128" s="16" t="s">
        <v>287</v>
      </c>
      <c r="C128" s="17" t="s">
        <v>43</v>
      </c>
      <c r="D128" s="16" t="s">
        <v>4</v>
      </c>
      <c r="E128" s="17" t="b">
        <f t="shared" ref="E128:K128" si="128">If(IFERROR(SEARCH(E$1, $D128),0) &gt;= 1, true,false)</f>
        <v>1</v>
      </c>
      <c r="F128" s="17" t="b">
        <f t="shared" si="128"/>
        <v>0</v>
      </c>
      <c r="G128" s="17" t="b">
        <f t="shared" si="128"/>
        <v>0</v>
      </c>
      <c r="H128" s="17" t="b">
        <f t="shared" si="128"/>
        <v>0</v>
      </c>
      <c r="I128" s="17" t="b">
        <f t="shared" si="128"/>
        <v>0</v>
      </c>
      <c r="J128" s="17" t="b">
        <f t="shared" si="128"/>
        <v>0</v>
      </c>
      <c r="K128" s="17" t="b">
        <f t="shared" si="128"/>
        <v>0</v>
      </c>
      <c r="L128" s="17"/>
      <c r="M128" s="18" t="b">
        <v>1</v>
      </c>
      <c r="N128" s="18" t="b">
        <v>0</v>
      </c>
      <c r="O128" s="18" t="b">
        <v>0</v>
      </c>
      <c r="P128" s="18" t="b">
        <v>0</v>
      </c>
      <c r="Q128" s="16" t="str">
        <f t="shared" si="3"/>
        <v>Archeoforum van Luik</v>
      </c>
      <c r="R128" s="19">
        <v>6.0</v>
      </c>
      <c r="S128" s="18" t="b">
        <v>0</v>
      </c>
      <c r="T128" s="18" t="b">
        <v>0</v>
      </c>
      <c r="U128" s="21"/>
      <c r="Y128" s="23"/>
    </row>
    <row r="129">
      <c r="A129" s="16"/>
      <c r="B129" s="16" t="s">
        <v>288</v>
      </c>
      <c r="C129" s="17" t="s">
        <v>43</v>
      </c>
      <c r="D129" s="16" t="s">
        <v>95</v>
      </c>
      <c r="E129" s="17" t="b">
        <f t="shared" ref="E129:K129" si="129">If(IFERROR(SEARCH(E$1, $D129),0) &gt;= 1, true,false)</f>
        <v>1</v>
      </c>
      <c r="F129" s="17" t="b">
        <f t="shared" si="129"/>
        <v>0</v>
      </c>
      <c r="G129" s="17" t="b">
        <f t="shared" si="129"/>
        <v>0</v>
      </c>
      <c r="H129" s="17" t="b">
        <f t="shared" si="129"/>
        <v>0</v>
      </c>
      <c r="I129" s="17" t="b">
        <f t="shared" si="129"/>
        <v>0</v>
      </c>
      <c r="J129" s="17" t="b">
        <f t="shared" si="129"/>
        <v>1</v>
      </c>
      <c r="K129" s="17" t="b">
        <f t="shared" si="129"/>
        <v>0</v>
      </c>
      <c r="L129" s="17"/>
      <c r="M129" s="18" t="b">
        <v>0</v>
      </c>
      <c r="N129" s="18" t="b">
        <v>1</v>
      </c>
      <c r="O129" s="18" t="b">
        <v>0</v>
      </c>
      <c r="P129" s="18" t="b">
        <v>1</v>
      </c>
      <c r="Q129" s="16" t="str">
        <f t="shared" si="3"/>
        <v>ArtHouse</v>
      </c>
      <c r="R129" s="19">
        <v>4.0</v>
      </c>
      <c r="S129" s="18" t="b">
        <v>0</v>
      </c>
      <c r="T129" s="18" t="b">
        <v>0</v>
      </c>
      <c r="U129" s="21"/>
      <c r="Y129" s="23"/>
    </row>
    <row r="130">
      <c r="A130" s="16" t="s">
        <v>289</v>
      </c>
      <c r="B130" s="16" t="s">
        <v>290</v>
      </c>
      <c r="C130" s="17" t="s">
        <v>43</v>
      </c>
      <c r="D130" s="16" t="s">
        <v>9</v>
      </c>
      <c r="E130" s="17" t="b">
        <f t="shared" ref="E130:K130" si="130">If(IFERROR(SEARCH(E$1, $D130),0) &gt;= 1, true,false)</f>
        <v>0</v>
      </c>
      <c r="F130" s="17" t="b">
        <f t="shared" si="130"/>
        <v>0</v>
      </c>
      <c r="G130" s="17" t="b">
        <f t="shared" si="130"/>
        <v>0</v>
      </c>
      <c r="H130" s="17" t="b">
        <f t="shared" si="130"/>
        <v>0</v>
      </c>
      <c r="I130" s="17" t="b">
        <f t="shared" si="130"/>
        <v>0</v>
      </c>
      <c r="J130" s="17" t="b">
        <f t="shared" si="130"/>
        <v>1</v>
      </c>
      <c r="K130" s="17" t="b">
        <f t="shared" si="130"/>
        <v>0</v>
      </c>
      <c r="L130" s="17"/>
      <c r="M130" s="18" t="b">
        <v>1</v>
      </c>
      <c r="N130" s="18" t="b">
        <v>1</v>
      </c>
      <c r="O130" s="18" t="b">
        <v>0</v>
      </c>
      <c r="P130" s="18" t="b">
        <v>1</v>
      </c>
      <c r="Q130" s="16" t="str">
        <f t="shared" si="3"/>
        <v>Museum voor Hedendaagse Kunst</v>
      </c>
      <c r="R130" s="19">
        <v>6.0</v>
      </c>
      <c r="S130" s="18" t="b">
        <v>0</v>
      </c>
      <c r="T130" s="18" t="b">
        <v>1</v>
      </c>
      <c r="U130" s="30">
        <v>6.0</v>
      </c>
      <c r="Y130" s="23"/>
    </row>
    <row r="131">
      <c r="A131" s="16"/>
      <c r="B131" s="16" t="s">
        <v>291</v>
      </c>
      <c r="C131" s="17" t="s">
        <v>43</v>
      </c>
      <c r="D131" s="16" t="s">
        <v>95</v>
      </c>
      <c r="E131" s="17" t="b">
        <f t="shared" ref="E131:K131" si="131">If(IFERROR(SEARCH(E$1, $D131),0) &gt;= 1, true,false)</f>
        <v>1</v>
      </c>
      <c r="F131" s="17" t="b">
        <f t="shared" si="131"/>
        <v>0</v>
      </c>
      <c r="G131" s="17" t="b">
        <f t="shared" si="131"/>
        <v>0</v>
      </c>
      <c r="H131" s="17" t="b">
        <f t="shared" si="131"/>
        <v>0</v>
      </c>
      <c r="I131" s="17" t="b">
        <f t="shared" si="131"/>
        <v>0</v>
      </c>
      <c r="J131" s="17" t="b">
        <f t="shared" si="131"/>
        <v>1</v>
      </c>
      <c r="K131" s="17" t="b">
        <f t="shared" si="131"/>
        <v>0</v>
      </c>
      <c r="L131" s="17"/>
      <c r="M131" s="18" t="b">
        <v>1</v>
      </c>
      <c r="N131" s="18" t="b">
        <v>0</v>
      </c>
      <c r="O131" s="18" t="b">
        <v>0</v>
      </c>
      <c r="P131" s="18" t="b">
        <v>1</v>
      </c>
      <c r="Q131" s="16" t="str">
        <f t="shared" si="3"/>
        <v>La Boverie</v>
      </c>
      <c r="R131" s="19">
        <v>5.0</v>
      </c>
      <c r="S131" s="18" t="b">
        <v>0</v>
      </c>
      <c r="T131" s="18" t="b">
        <v>0</v>
      </c>
      <c r="U131" s="16"/>
      <c r="Y131" s="23"/>
    </row>
    <row r="132">
      <c r="A132" s="16"/>
      <c r="B132" s="16" t="s">
        <v>292</v>
      </c>
      <c r="C132" s="17" t="s">
        <v>43</v>
      </c>
      <c r="D132" s="16" t="s">
        <v>95</v>
      </c>
      <c r="E132" s="17" t="b">
        <f t="shared" ref="E132:K132" si="132">If(IFERROR(SEARCH(E$1, $D132),0) &gt;= 1, true,false)</f>
        <v>1</v>
      </c>
      <c r="F132" s="17" t="b">
        <f t="shared" si="132"/>
        <v>0</v>
      </c>
      <c r="G132" s="17" t="b">
        <f t="shared" si="132"/>
        <v>0</v>
      </c>
      <c r="H132" s="17" t="b">
        <f t="shared" si="132"/>
        <v>0</v>
      </c>
      <c r="I132" s="17" t="b">
        <f t="shared" si="132"/>
        <v>0</v>
      </c>
      <c r="J132" s="17" t="b">
        <f t="shared" si="132"/>
        <v>1</v>
      </c>
      <c r="K132" s="17" t="b">
        <f t="shared" si="132"/>
        <v>0</v>
      </c>
      <c r="L132" s="17"/>
      <c r="M132" s="18" t="b">
        <v>1</v>
      </c>
      <c r="N132" s="18" t="b">
        <v>0</v>
      </c>
      <c r="O132" s="18" t="b">
        <v>0</v>
      </c>
      <c r="P132" s="18" t="b">
        <v>1</v>
      </c>
      <c r="Q132" s="16" t="str">
        <f t="shared" si="3"/>
        <v>Le Grand Curtius</v>
      </c>
      <c r="R132" s="19">
        <v>9.0</v>
      </c>
      <c r="S132" s="18" t="b">
        <v>0</v>
      </c>
      <c r="T132" s="18" t="b">
        <v>0</v>
      </c>
      <c r="U132" s="21"/>
      <c r="Y132" s="23"/>
    </row>
    <row r="133">
      <c r="A133" s="16" t="s">
        <v>293</v>
      </c>
      <c r="B133" s="16" t="s">
        <v>294</v>
      </c>
      <c r="C133" s="17" t="s">
        <v>43</v>
      </c>
      <c r="D133" s="16" t="s">
        <v>5</v>
      </c>
      <c r="E133" s="17" t="b">
        <f t="shared" ref="E133:K133" si="133">If(IFERROR(SEARCH(E$1, $D133),0) &gt;= 1, true,false)</f>
        <v>0</v>
      </c>
      <c r="F133" s="17" t="b">
        <f t="shared" si="133"/>
        <v>1</v>
      </c>
      <c r="G133" s="17" t="b">
        <f t="shared" si="133"/>
        <v>0</v>
      </c>
      <c r="H133" s="17" t="b">
        <f t="shared" si="133"/>
        <v>0</v>
      </c>
      <c r="I133" s="17" t="b">
        <f t="shared" si="133"/>
        <v>0</v>
      </c>
      <c r="J133" s="17" t="b">
        <f t="shared" si="133"/>
        <v>0</v>
      </c>
      <c r="K133" s="17" t="b">
        <f t="shared" si="133"/>
        <v>0</v>
      </c>
      <c r="L133" s="17"/>
      <c r="M133" s="18" t="b">
        <v>1</v>
      </c>
      <c r="N133" s="18" t="b">
        <v>1</v>
      </c>
      <c r="O133" s="18" t="b">
        <v>0</v>
      </c>
      <c r="P133" s="18" t="b">
        <v>0</v>
      </c>
      <c r="Q133" s="16" t="str">
        <f t="shared" si="3"/>
        <v>Bos en Watermuseum “P. Noé”</v>
      </c>
      <c r="R133" s="19">
        <v>7.0</v>
      </c>
      <c r="S133" s="18" t="b">
        <v>0</v>
      </c>
      <c r="T133" s="18" t="b">
        <v>0</v>
      </c>
      <c r="U133" s="33"/>
      <c r="Y133" s="23"/>
    </row>
    <row r="134">
      <c r="A134" s="16" t="s">
        <v>295</v>
      </c>
      <c r="B134" s="16" t="s">
        <v>296</v>
      </c>
      <c r="C134" s="17" t="s">
        <v>43</v>
      </c>
      <c r="D134" s="16" t="s">
        <v>107</v>
      </c>
      <c r="E134" s="17" t="b">
        <f t="shared" ref="E134:K134" si="134">If(IFERROR(SEARCH(E$1, $D134),0) &gt;= 1, true,false)</f>
        <v>1</v>
      </c>
      <c r="F134" s="17" t="b">
        <f t="shared" si="134"/>
        <v>1</v>
      </c>
      <c r="G134" s="17" t="b">
        <f t="shared" si="134"/>
        <v>0</v>
      </c>
      <c r="H134" s="17" t="b">
        <f t="shared" si="134"/>
        <v>0</v>
      </c>
      <c r="I134" s="17" t="b">
        <f t="shared" si="134"/>
        <v>0</v>
      </c>
      <c r="J134" s="17" t="b">
        <f t="shared" si="134"/>
        <v>0</v>
      </c>
      <c r="K134" s="17" t="b">
        <f t="shared" si="134"/>
        <v>0</v>
      </c>
      <c r="L134" s="17"/>
      <c r="M134" s="18" t="b">
        <v>1</v>
      </c>
      <c r="N134" s="18" t="b">
        <v>1</v>
      </c>
      <c r="O134" s="18" t="b">
        <v>0</v>
      </c>
      <c r="P134" s="18" t="b">
        <v>0</v>
      </c>
      <c r="Q134" s="16" t="str">
        <f t="shared" si="3"/>
        <v>Museum van de wastechniek</v>
      </c>
      <c r="R134" s="19">
        <v>4.0</v>
      </c>
      <c r="S134" s="18" t="b">
        <v>0</v>
      </c>
      <c r="T134" s="18" t="b">
        <v>0</v>
      </c>
      <c r="U134" s="33"/>
      <c r="Y134" s="23"/>
    </row>
    <row r="135">
      <c r="A135" s="16" t="s">
        <v>297</v>
      </c>
      <c r="B135" s="16" t="s">
        <v>298</v>
      </c>
      <c r="C135" s="17" t="s">
        <v>43</v>
      </c>
      <c r="D135" s="16" t="s">
        <v>107</v>
      </c>
      <c r="E135" s="17" t="b">
        <f t="shared" ref="E135:K135" si="135">If(IFERROR(SEARCH(E$1, $D135),0) &gt;= 1, true,false)</f>
        <v>1</v>
      </c>
      <c r="F135" s="17" t="b">
        <f t="shared" si="135"/>
        <v>1</v>
      </c>
      <c r="G135" s="17" t="b">
        <f t="shared" si="135"/>
        <v>0</v>
      </c>
      <c r="H135" s="17" t="b">
        <f t="shared" si="135"/>
        <v>0</v>
      </c>
      <c r="I135" s="17" t="b">
        <f t="shared" si="135"/>
        <v>0</v>
      </c>
      <c r="J135" s="17" t="b">
        <f t="shared" si="135"/>
        <v>0</v>
      </c>
      <c r="K135" s="17" t="b">
        <f t="shared" si="135"/>
        <v>0</v>
      </c>
      <c r="L135" s="17"/>
      <c r="M135" s="18" t="b">
        <v>1</v>
      </c>
      <c r="N135" s="18" t="b">
        <v>0</v>
      </c>
      <c r="O135" s="18" t="b">
        <v>0</v>
      </c>
      <c r="P135" s="18" t="b">
        <v>1</v>
      </c>
      <c r="Q135" s="16" t="str">
        <f t="shared" si="3"/>
        <v>Huis van de Metallurgie en Industrie van Luik</v>
      </c>
      <c r="R135" s="19">
        <v>5.0</v>
      </c>
      <c r="S135" s="18" t="b">
        <v>0</v>
      </c>
      <c r="T135" s="18" t="b">
        <v>0</v>
      </c>
      <c r="U135" s="32"/>
      <c r="Y135" s="23"/>
    </row>
    <row r="136">
      <c r="A136" s="16" t="s">
        <v>299</v>
      </c>
      <c r="B136" s="16" t="s">
        <v>300</v>
      </c>
      <c r="C136" s="17" t="s">
        <v>43</v>
      </c>
      <c r="D136" s="16" t="s">
        <v>95</v>
      </c>
      <c r="E136" s="17" t="b">
        <f t="shared" ref="E136:K136" si="136">If(IFERROR(SEARCH(E$1, $D136),0) &gt;= 1, true,false)</f>
        <v>1</v>
      </c>
      <c r="F136" s="17" t="b">
        <f t="shared" si="136"/>
        <v>0</v>
      </c>
      <c r="G136" s="17" t="b">
        <f t="shared" si="136"/>
        <v>0</v>
      </c>
      <c r="H136" s="17" t="b">
        <f t="shared" si="136"/>
        <v>0</v>
      </c>
      <c r="I136" s="17" t="b">
        <f t="shared" si="136"/>
        <v>0</v>
      </c>
      <c r="J136" s="17" t="b">
        <f t="shared" si="136"/>
        <v>1</v>
      </c>
      <c r="K136" s="17" t="b">
        <f t="shared" si="136"/>
        <v>0</v>
      </c>
      <c r="L136" s="17"/>
      <c r="M136" s="18" t="b">
        <v>1</v>
      </c>
      <c r="N136" s="18" t="b">
        <v>1</v>
      </c>
      <c r="O136" s="18" t="b">
        <v>0</v>
      </c>
      <c r="P136" s="18" t="b">
        <v>0</v>
      </c>
      <c r="Q136" s="16" t="str">
        <f t="shared" si="3"/>
        <v>Pottenbakkerijmuseum Raeren</v>
      </c>
      <c r="R136" s="19">
        <v>5.0</v>
      </c>
      <c r="S136" s="18" t="b">
        <v>0</v>
      </c>
      <c r="T136" s="18" t="b">
        <v>0</v>
      </c>
      <c r="U136" s="32"/>
      <c r="Y136" s="23"/>
    </row>
    <row r="137">
      <c r="A137" s="16" t="s">
        <v>301</v>
      </c>
      <c r="B137" s="16" t="s">
        <v>302</v>
      </c>
      <c r="C137" s="17" t="s">
        <v>43</v>
      </c>
      <c r="D137" s="16" t="s">
        <v>4</v>
      </c>
      <c r="E137" s="17" t="b">
        <f t="shared" ref="E137:K137" si="137">If(IFERROR(SEARCH(E$1, $D137),0) &gt;= 1, true,false)</f>
        <v>1</v>
      </c>
      <c r="F137" s="17" t="b">
        <f t="shared" si="137"/>
        <v>0</v>
      </c>
      <c r="G137" s="17" t="b">
        <f t="shared" si="137"/>
        <v>0</v>
      </c>
      <c r="H137" s="17" t="b">
        <f t="shared" si="137"/>
        <v>0</v>
      </c>
      <c r="I137" s="17" t="b">
        <f t="shared" si="137"/>
        <v>0</v>
      </c>
      <c r="J137" s="17" t="b">
        <f t="shared" si="137"/>
        <v>0</v>
      </c>
      <c r="K137" s="17" t="b">
        <f t="shared" si="137"/>
        <v>0</v>
      </c>
      <c r="L137" s="17"/>
      <c r="M137" s="18" t="b">
        <v>1</v>
      </c>
      <c r="N137" s="18" t="b">
        <v>0</v>
      </c>
      <c r="O137" s="18" t="b">
        <v>1</v>
      </c>
      <c r="P137" s="18" t="b">
        <v>1</v>
      </c>
      <c r="Q137" s="16" t="str">
        <f t="shared" si="3"/>
        <v>Museum van het Waalse Leven</v>
      </c>
      <c r="R137" s="19">
        <v>0.0</v>
      </c>
      <c r="S137" s="18" t="b">
        <v>0</v>
      </c>
      <c r="T137" s="18" t="b">
        <v>0</v>
      </c>
      <c r="U137" s="32"/>
      <c r="Y137" s="23"/>
    </row>
    <row r="138">
      <c r="A138" s="16" t="s">
        <v>303</v>
      </c>
      <c r="B138" s="16" t="s">
        <v>304</v>
      </c>
      <c r="C138" s="17" t="s">
        <v>43</v>
      </c>
      <c r="D138" s="16" t="s">
        <v>4</v>
      </c>
      <c r="E138" s="17" t="b">
        <f t="shared" ref="E138:K138" si="138">If(IFERROR(SEARCH(E$1, $D138),0) &gt;= 1, true,false)</f>
        <v>1</v>
      </c>
      <c r="F138" s="17" t="b">
        <f t="shared" si="138"/>
        <v>0</v>
      </c>
      <c r="G138" s="17" t="b">
        <f t="shared" si="138"/>
        <v>0</v>
      </c>
      <c r="H138" s="17" t="b">
        <f t="shared" si="138"/>
        <v>0</v>
      </c>
      <c r="I138" s="17" t="b">
        <f t="shared" si="138"/>
        <v>0</v>
      </c>
      <c r="J138" s="17" t="b">
        <f t="shared" si="138"/>
        <v>0</v>
      </c>
      <c r="K138" s="17" t="b">
        <f t="shared" si="138"/>
        <v>0</v>
      </c>
      <c r="L138" s="17"/>
      <c r="M138" s="18" t="b">
        <v>1</v>
      </c>
      <c r="N138" s="18" t="b">
        <v>0</v>
      </c>
      <c r="O138" s="18" t="b">
        <v>0</v>
      </c>
      <c r="P138" s="18" t="b">
        <v>0</v>
      </c>
      <c r="Q138" s="16" t="str">
        <f t="shared" si="3"/>
        <v>Musea van de Kuurstad</v>
      </c>
      <c r="R138" s="19">
        <v>5.0</v>
      </c>
      <c r="S138" s="18" t="b">
        <v>0</v>
      </c>
      <c r="T138" s="18" t="b">
        <v>0</v>
      </c>
      <c r="U138" s="32"/>
      <c r="Y138" s="23"/>
    </row>
    <row r="139">
      <c r="A139" s="16" t="s">
        <v>305</v>
      </c>
      <c r="B139" s="16" t="s">
        <v>306</v>
      </c>
      <c r="C139" s="17" t="s">
        <v>43</v>
      </c>
      <c r="D139" s="16" t="s">
        <v>163</v>
      </c>
      <c r="E139" s="17" t="b">
        <f t="shared" ref="E139:K139" si="139">If(IFERROR(SEARCH(E$1, $D139),0) &gt;= 1, true,false)</f>
        <v>1</v>
      </c>
      <c r="F139" s="17" t="b">
        <f t="shared" si="139"/>
        <v>1</v>
      </c>
      <c r="G139" s="17" t="b">
        <f t="shared" si="139"/>
        <v>0</v>
      </c>
      <c r="H139" s="17" t="b">
        <f t="shared" si="139"/>
        <v>0</v>
      </c>
      <c r="I139" s="17" t="b">
        <f t="shared" si="139"/>
        <v>1</v>
      </c>
      <c r="J139" s="17" t="b">
        <f t="shared" si="139"/>
        <v>1</v>
      </c>
      <c r="K139" s="17" t="b">
        <f t="shared" si="139"/>
        <v>0</v>
      </c>
      <c r="L139" s="17"/>
      <c r="M139" s="18" t="b">
        <v>1</v>
      </c>
      <c r="N139" s="18" t="b">
        <v>0</v>
      </c>
      <c r="O139" s="18" t="b">
        <v>0</v>
      </c>
      <c r="P139" s="18" t="b">
        <v>0</v>
      </c>
      <c r="Q139" s="16" t="str">
        <f t="shared" si="3"/>
        <v>Stadsmuseum Eupen</v>
      </c>
      <c r="R139" s="19">
        <v>5.0</v>
      </c>
      <c r="S139" s="18" t="b">
        <v>0</v>
      </c>
      <c r="T139" s="18" t="b">
        <v>0</v>
      </c>
      <c r="U139" s="32"/>
      <c r="Y139" s="23"/>
    </row>
    <row r="140">
      <c r="A140" s="16" t="s">
        <v>307</v>
      </c>
      <c r="B140" s="16" t="s">
        <v>308</v>
      </c>
      <c r="C140" s="17" t="s">
        <v>43</v>
      </c>
      <c r="D140" s="16" t="s">
        <v>95</v>
      </c>
      <c r="E140" s="17" t="b">
        <f t="shared" ref="E140:K140" si="140">If(IFERROR(SEARCH(E$1, $D140),0) &gt;= 1, true,false)</f>
        <v>1</v>
      </c>
      <c r="F140" s="17" t="b">
        <f t="shared" si="140"/>
        <v>0</v>
      </c>
      <c r="G140" s="17" t="b">
        <f t="shared" si="140"/>
        <v>0</v>
      </c>
      <c r="H140" s="17" t="b">
        <f t="shared" si="140"/>
        <v>0</v>
      </c>
      <c r="I140" s="17" t="b">
        <f t="shared" si="140"/>
        <v>0</v>
      </c>
      <c r="J140" s="17" t="b">
        <f t="shared" si="140"/>
        <v>1</v>
      </c>
      <c r="K140" s="17" t="b">
        <f t="shared" si="140"/>
        <v>0</v>
      </c>
      <c r="L140" s="17"/>
      <c r="M140" s="18" t="b">
        <v>1</v>
      </c>
      <c r="N140" s="18" t="b">
        <v>0</v>
      </c>
      <c r="O140" s="18" t="b">
        <v>0</v>
      </c>
      <c r="P140" s="18" t="b">
        <v>0</v>
      </c>
      <c r="Q140" s="16" t="str">
        <f t="shared" si="3"/>
        <v>Musea van Verviers</v>
      </c>
      <c r="R140" s="19">
        <v>4.0</v>
      </c>
      <c r="S140" s="18" t="b">
        <v>0</v>
      </c>
      <c r="T140" s="18" t="b">
        <v>0</v>
      </c>
      <c r="U140" s="32"/>
      <c r="Y140" s="23"/>
    </row>
    <row r="141">
      <c r="A141" s="16" t="s">
        <v>309</v>
      </c>
      <c r="B141" s="16" t="s">
        <v>310</v>
      </c>
      <c r="C141" s="17" t="s">
        <v>43</v>
      </c>
      <c r="D141" s="16" t="s">
        <v>107</v>
      </c>
      <c r="E141" s="17" t="b">
        <f t="shared" ref="E141:K141" si="141">If(IFERROR(SEARCH(E$1, $D141),0) &gt;= 1, true,false)</f>
        <v>1</v>
      </c>
      <c r="F141" s="17" t="b">
        <f t="shared" si="141"/>
        <v>1</v>
      </c>
      <c r="G141" s="17" t="b">
        <f t="shared" si="141"/>
        <v>0</v>
      </c>
      <c r="H141" s="17" t="b">
        <f t="shared" si="141"/>
        <v>0</v>
      </c>
      <c r="I141" s="17" t="b">
        <f t="shared" si="141"/>
        <v>0</v>
      </c>
      <c r="J141" s="17" t="b">
        <f t="shared" si="141"/>
        <v>0</v>
      </c>
      <c r="K141" s="17" t="b">
        <f t="shared" si="141"/>
        <v>0</v>
      </c>
      <c r="L141" s="17"/>
      <c r="M141" s="18" t="b">
        <v>1</v>
      </c>
      <c r="N141" s="18" t="b">
        <v>1</v>
      </c>
      <c r="O141" s="18" t="b">
        <v>0</v>
      </c>
      <c r="P141" s="18" t="b">
        <v>0</v>
      </c>
      <c r="Q141" s="16" t="str">
        <f t="shared" si="3"/>
        <v>Museum Vieille Montagne</v>
      </c>
      <c r="R141" s="19">
        <v>7.5</v>
      </c>
      <c r="S141" s="18" t="b">
        <v>0</v>
      </c>
      <c r="T141" s="18" t="b">
        <v>0</v>
      </c>
      <c r="U141" s="33"/>
      <c r="Y141" s="23"/>
    </row>
    <row r="142">
      <c r="A142" s="16"/>
      <c r="B142" s="16" t="s">
        <v>311</v>
      </c>
      <c r="C142" s="17" t="s">
        <v>43</v>
      </c>
      <c r="D142" s="16" t="s">
        <v>4</v>
      </c>
      <c r="E142" s="17" t="b">
        <f t="shared" ref="E142:K142" si="142">If(IFERROR(SEARCH(E$1, $D142),0) &gt;= 1, true,false)</f>
        <v>1</v>
      </c>
      <c r="F142" s="17" t="b">
        <f t="shared" si="142"/>
        <v>0</v>
      </c>
      <c r="G142" s="17" t="b">
        <f t="shared" si="142"/>
        <v>0</v>
      </c>
      <c r="H142" s="17" t="b">
        <f t="shared" si="142"/>
        <v>0</v>
      </c>
      <c r="I142" s="17" t="b">
        <f t="shared" si="142"/>
        <v>0</v>
      </c>
      <c r="J142" s="17" t="b">
        <f t="shared" si="142"/>
        <v>0</v>
      </c>
      <c r="K142" s="17" t="b">
        <f t="shared" si="142"/>
        <v>0</v>
      </c>
      <c r="L142" s="17"/>
      <c r="M142" s="18" t="b">
        <v>1</v>
      </c>
      <c r="N142" s="18" t="b">
        <v>1</v>
      </c>
      <c r="O142" s="18" t="b">
        <v>1</v>
      </c>
      <c r="P142" s="18" t="b">
        <v>0</v>
      </c>
      <c r="Q142" s="16" t="str">
        <f t="shared" si="3"/>
        <v>Préhistomuseum</v>
      </c>
      <c r="R142" s="19">
        <v>16.0</v>
      </c>
      <c r="S142" s="20" t="b">
        <v>0</v>
      </c>
      <c r="T142" s="18" t="b">
        <v>0</v>
      </c>
      <c r="U142" s="16"/>
      <c r="Y142" s="23"/>
    </row>
    <row r="143">
      <c r="A143" s="16"/>
      <c r="B143" s="16" t="s">
        <v>312</v>
      </c>
      <c r="C143" s="17" t="s">
        <v>43</v>
      </c>
      <c r="D143" s="16" t="s">
        <v>9</v>
      </c>
      <c r="E143" s="17" t="b">
        <f t="shared" ref="E143:K143" si="143">If(IFERROR(SEARCH(E$1, $D143),0) &gt;= 1, true,false)</f>
        <v>0</v>
      </c>
      <c r="F143" s="17" t="b">
        <f t="shared" si="143"/>
        <v>0</v>
      </c>
      <c r="G143" s="17" t="b">
        <f t="shared" si="143"/>
        <v>0</v>
      </c>
      <c r="H143" s="17" t="b">
        <f t="shared" si="143"/>
        <v>0</v>
      </c>
      <c r="I143" s="17" t="b">
        <f t="shared" si="143"/>
        <v>0</v>
      </c>
      <c r="J143" s="17" t="b">
        <f t="shared" si="143"/>
        <v>1</v>
      </c>
      <c r="K143" s="17" t="b">
        <f t="shared" si="143"/>
        <v>0</v>
      </c>
      <c r="L143" s="17"/>
      <c r="M143" s="18" t="b">
        <v>1</v>
      </c>
      <c r="N143" s="18" t="b">
        <v>1</v>
      </c>
      <c r="O143" s="18" t="b">
        <v>1</v>
      </c>
      <c r="P143" s="18" t="b">
        <v>1</v>
      </c>
      <c r="Q143" s="16" t="str">
        <f t="shared" si="3"/>
        <v>Trinkhall museum</v>
      </c>
      <c r="R143" s="19">
        <v>9.0</v>
      </c>
      <c r="S143" s="18" t="b">
        <v>0</v>
      </c>
      <c r="T143" s="38" t="b">
        <v>1</v>
      </c>
      <c r="U143" s="27">
        <v>9.0</v>
      </c>
      <c r="Y143" s="23"/>
    </row>
    <row r="144">
      <c r="A144" s="16"/>
      <c r="B144" s="16" t="s">
        <v>313</v>
      </c>
      <c r="C144" s="17" t="s">
        <v>43</v>
      </c>
      <c r="D144" s="16" t="s">
        <v>5</v>
      </c>
      <c r="E144" s="17" t="b">
        <f t="shared" ref="E144:K144" si="144">If(IFERROR(SEARCH(E$1, $D144),0) &gt;= 1, true,false)</f>
        <v>0</v>
      </c>
      <c r="F144" s="17" t="b">
        <f t="shared" si="144"/>
        <v>1</v>
      </c>
      <c r="G144" s="17" t="b">
        <f t="shared" si="144"/>
        <v>0</v>
      </c>
      <c r="H144" s="17" t="b">
        <f t="shared" si="144"/>
        <v>0</v>
      </c>
      <c r="I144" s="17" t="b">
        <f t="shared" si="144"/>
        <v>0</v>
      </c>
      <c r="J144" s="17" t="b">
        <f t="shared" si="144"/>
        <v>0</v>
      </c>
      <c r="K144" s="17" t="b">
        <f t="shared" si="144"/>
        <v>0</v>
      </c>
      <c r="L144" s="17"/>
      <c r="M144" s="18" t="b">
        <v>0</v>
      </c>
      <c r="N144" s="18" t="b">
        <v>1</v>
      </c>
      <c r="O144" s="18" t="b">
        <v>0</v>
      </c>
      <c r="P144" s="18" t="b">
        <v>1</v>
      </c>
      <c r="Q144" s="16" t="str">
        <f t="shared" si="3"/>
        <v>WaterHouse</v>
      </c>
      <c r="R144" s="19">
        <v>10.0</v>
      </c>
      <c r="S144" s="20" t="b">
        <v>1</v>
      </c>
      <c r="T144" s="18" t="b">
        <v>0</v>
      </c>
      <c r="U144" s="16"/>
      <c r="Y144" s="23"/>
    </row>
    <row r="145">
      <c r="A145" s="36" t="s">
        <v>314</v>
      </c>
      <c r="B145" s="16" t="s">
        <v>315</v>
      </c>
      <c r="C145" s="39" t="s">
        <v>45</v>
      </c>
      <c r="D145" s="16" t="s">
        <v>316</v>
      </c>
      <c r="E145" s="17" t="b">
        <f t="shared" ref="E145:K145" si="145">If(IFERROR(SEARCH(E$1, $D145),0) &gt;= 1, true,false)</f>
        <v>1</v>
      </c>
      <c r="F145" s="17" t="b">
        <f t="shared" si="145"/>
        <v>1</v>
      </c>
      <c r="G145" s="17" t="b">
        <f t="shared" si="145"/>
        <v>0</v>
      </c>
      <c r="H145" s="17" t="b">
        <f t="shared" si="145"/>
        <v>0</v>
      </c>
      <c r="I145" s="17" t="b">
        <f t="shared" si="145"/>
        <v>1</v>
      </c>
      <c r="J145" s="17" t="b">
        <f t="shared" si="145"/>
        <v>1</v>
      </c>
      <c r="K145" s="17" t="b">
        <f t="shared" si="145"/>
        <v>0</v>
      </c>
      <c r="L145" s="17"/>
      <c r="M145" s="18" t="b">
        <v>1</v>
      </c>
      <c r="N145" s="18" t="b">
        <v>0</v>
      </c>
      <c r="O145" s="18" t="b">
        <v>0</v>
      </c>
      <c r="P145" s="18" t="b">
        <v>0</v>
      </c>
      <c r="Q145" s="16" t="str">
        <f t="shared" si="3"/>
        <v>Artotheek </v>
      </c>
      <c r="R145" s="19">
        <v>6.0</v>
      </c>
      <c r="S145" s="20" t="b">
        <v>0</v>
      </c>
      <c r="T145" s="18" t="b">
        <v>0</v>
      </c>
      <c r="U145" s="16"/>
      <c r="Y145" s="23"/>
    </row>
    <row r="146">
      <c r="A146" s="16" t="s">
        <v>317</v>
      </c>
      <c r="B146" s="16" t="s">
        <v>318</v>
      </c>
      <c r="C146" s="39" t="s">
        <v>45</v>
      </c>
      <c r="D146" s="16" t="s">
        <v>319</v>
      </c>
      <c r="E146" s="17" t="b">
        <f t="shared" ref="E146:K146" si="146">If(IFERROR(SEARCH(E$1, $D146),0) &gt;= 1, true,false)</f>
        <v>1</v>
      </c>
      <c r="F146" s="17" t="b">
        <f t="shared" si="146"/>
        <v>0</v>
      </c>
      <c r="G146" s="17" t="b">
        <f t="shared" si="146"/>
        <v>0</v>
      </c>
      <c r="H146" s="17" t="b">
        <f t="shared" si="146"/>
        <v>0</v>
      </c>
      <c r="I146" s="17" t="b">
        <f t="shared" si="146"/>
        <v>1</v>
      </c>
      <c r="J146" s="17" t="b">
        <f t="shared" si="146"/>
        <v>0</v>
      </c>
      <c r="K146" s="17" t="b">
        <f t="shared" si="146"/>
        <v>0</v>
      </c>
      <c r="L146" s="17"/>
      <c r="M146" s="18" t="b">
        <v>1</v>
      </c>
      <c r="N146" s="18" t="b">
        <v>0</v>
      </c>
      <c r="O146" s="18" t="b">
        <v>0</v>
      </c>
      <c r="P146" s="18" t="b">
        <v>0</v>
      </c>
      <c r="Q146" s="16" t="str">
        <f t="shared" si="3"/>
        <v>Belfort van Bergen</v>
      </c>
      <c r="R146" s="19">
        <v>9.0</v>
      </c>
      <c r="S146" s="18" t="b">
        <v>0</v>
      </c>
      <c r="T146" s="18" t="b">
        <v>1</v>
      </c>
      <c r="U146" s="29">
        <v>9.0</v>
      </c>
      <c r="Y146" s="23"/>
    </row>
    <row r="147">
      <c r="A147" s="16" t="s">
        <v>320</v>
      </c>
      <c r="B147" s="16" t="s">
        <v>321</v>
      </c>
      <c r="C147" s="39" t="s">
        <v>45</v>
      </c>
      <c r="D147" s="16" t="s">
        <v>322</v>
      </c>
      <c r="E147" s="17" t="b">
        <f t="shared" ref="E147:K147" si="147">If(IFERROR(SEARCH(E$1, $D147),0) &gt;= 1, true,false)</f>
        <v>1</v>
      </c>
      <c r="F147" s="17" t="b">
        <f t="shared" si="147"/>
        <v>1</v>
      </c>
      <c r="G147" s="17" t="b">
        <f t="shared" si="147"/>
        <v>0</v>
      </c>
      <c r="H147" s="17" t="b">
        <f t="shared" si="147"/>
        <v>0</v>
      </c>
      <c r="I147" s="17" t="b">
        <f t="shared" si="147"/>
        <v>1</v>
      </c>
      <c r="J147" s="17" t="b">
        <f t="shared" si="147"/>
        <v>0</v>
      </c>
      <c r="K147" s="17" t="b">
        <f t="shared" si="147"/>
        <v>0</v>
      </c>
      <c r="L147" s="17"/>
      <c r="M147" s="18" t="b">
        <v>1</v>
      </c>
      <c r="N147" s="18" t="b">
        <v>1</v>
      </c>
      <c r="O147" s="18" t="b">
        <v>0</v>
      </c>
      <c r="P147" s="18" t="b">
        <v>1</v>
      </c>
      <c r="Q147" s="16" t="str">
        <f t="shared" si="3"/>
        <v>Museum van Mijnbouw en Duurzame Ontwikkeling</v>
      </c>
      <c r="R147" s="19">
        <v>9.0</v>
      </c>
      <c r="S147" s="18" t="b">
        <v>0</v>
      </c>
      <c r="T147" s="18" t="b">
        <v>1</v>
      </c>
      <c r="U147" s="30">
        <v>9.0</v>
      </c>
      <c r="Y147" s="23"/>
    </row>
    <row r="148">
      <c r="A148" s="16" t="s">
        <v>323</v>
      </c>
      <c r="B148" s="16" t="s">
        <v>324</v>
      </c>
      <c r="C148" s="39" t="s">
        <v>45</v>
      </c>
      <c r="D148" s="16" t="s">
        <v>9</v>
      </c>
      <c r="E148" s="17" t="b">
        <f t="shared" ref="E148:K148" si="148">If(IFERROR(SEARCH(E$1, $D148),0) &gt;= 1, true,false)</f>
        <v>0</v>
      </c>
      <c r="F148" s="17" t="b">
        <f t="shared" si="148"/>
        <v>0</v>
      </c>
      <c r="G148" s="17" t="b">
        <f t="shared" si="148"/>
        <v>0</v>
      </c>
      <c r="H148" s="17" t="b">
        <f t="shared" si="148"/>
        <v>0</v>
      </c>
      <c r="I148" s="17" t="b">
        <f t="shared" si="148"/>
        <v>0</v>
      </c>
      <c r="J148" s="17" t="b">
        <f t="shared" si="148"/>
        <v>1</v>
      </c>
      <c r="K148" s="17" t="b">
        <f t="shared" si="148"/>
        <v>0</v>
      </c>
      <c r="L148" s="17"/>
      <c r="M148" s="18" t="b">
        <v>1</v>
      </c>
      <c r="N148" s="18" t="b">
        <v>0</v>
      </c>
      <c r="O148" s="18" t="b">
        <v>0</v>
      </c>
      <c r="P148" s="18" t="b">
        <v>0</v>
      </c>
      <c r="Q148" s="16" t="str">
        <f t="shared" si="3"/>
        <v>Museum voor kunst van de Provincie Henegouwen</v>
      </c>
      <c r="R148" s="19">
        <v>6.0</v>
      </c>
      <c r="S148" s="18" t="b">
        <v>0</v>
      </c>
      <c r="T148" s="18" t="b">
        <v>1</v>
      </c>
      <c r="U148" s="30">
        <v>6.0</v>
      </c>
      <c r="Y148" s="23"/>
    </row>
    <row r="149">
      <c r="A149" s="16" t="s">
        <v>325</v>
      </c>
      <c r="B149" s="16" t="s">
        <v>326</v>
      </c>
      <c r="C149" s="39" t="s">
        <v>45</v>
      </c>
      <c r="D149" s="16" t="s">
        <v>327</v>
      </c>
      <c r="E149" s="17" t="b">
        <f t="shared" ref="E149:K149" si="149">If(IFERROR(SEARCH(E$1, $D149),0) &gt;= 1, true,false)</f>
        <v>0</v>
      </c>
      <c r="F149" s="17" t="b">
        <f t="shared" si="149"/>
        <v>0</v>
      </c>
      <c r="G149" s="17" t="b">
        <f t="shared" si="149"/>
        <v>0</v>
      </c>
      <c r="H149" s="17" t="b">
        <f t="shared" si="149"/>
        <v>0</v>
      </c>
      <c r="I149" s="17" t="b">
        <f t="shared" si="149"/>
        <v>0</v>
      </c>
      <c r="J149" s="17" t="b">
        <f t="shared" si="149"/>
        <v>1</v>
      </c>
      <c r="K149" s="17" t="b">
        <f t="shared" si="149"/>
        <v>1</v>
      </c>
      <c r="L149" s="17"/>
      <c r="M149" s="18" t="b">
        <v>1</v>
      </c>
      <c r="N149" s="18" t="b">
        <v>0</v>
      </c>
      <c r="O149" s="18" t="b">
        <v>0</v>
      </c>
      <c r="P149" s="18" t="b">
        <v>0</v>
      </c>
      <c r="Q149" s="16" t="str">
        <f t="shared" si="3"/>
        <v>CAP/museum voor Schone Kunsten van Bergen</v>
      </c>
      <c r="R149" s="19">
        <v>16.0</v>
      </c>
      <c r="S149" s="18" t="b">
        <v>0</v>
      </c>
      <c r="T149" s="18" t="b">
        <v>1</v>
      </c>
      <c r="U149" s="30">
        <v>16.0</v>
      </c>
      <c r="Y149" s="23"/>
    </row>
    <row r="150">
      <c r="A150" s="16" t="s">
        <v>328</v>
      </c>
      <c r="B150" s="16" t="s">
        <v>329</v>
      </c>
      <c r="C150" s="39" t="s">
        <v>45</v>
      </c>
      <c r="D150" s="16" t="s">
        <v>319</v>
      </c>
      <c r="E150" s="17" t="b">
        <f t="shared" ref="E150:K150" si="150">If(IFERROR(SEARCH(E$1, $D150),0) &gt;= 1, true,false)</f>
        <v>1</v>
      </c>
      <c r="F150" s="17" t="b">
        <f t="shared" si="150"/>
        <v>0</v>
      </c>
      <c r="G150" s="17" t="b">
        <f t="shared" si="150"/>
        <v>0</v>
      </c>
      <c r="H150" s="17" t="b">
        <f t="shared" si="150"/>
        <v>0</v>
      </c>
      <c r="I150" s="17" t="b">
        <f t="shared" si="150"/>
        <v>1</v>
      </c>
      <c r="J150" s="17" t="b">
        <f t="shared" si="150"/>
        <v>0</v>
      </c>
      <c r="K150" s="17" t="b">
        <f t="shared" si="150"/>
        <v>0</v>
      </c>
      <c r="L150" s="17"/>
      <c r="M150" s="18" t="b">
        <v>1</v>
      </c>
      <c r="N150" s="18" t="b">
        <v>0</v>
      </c>
      <c r="O150" s="18" t="b">
        <v>0</v>
      </c>
      <c r="P150" s="18" t="b">
        <v>0</v>
      </c>
      <c r="Q150" s="16" t="str">
        <f t="shared" si="3"/>
        <v>CAP/het Collectiehuis</v>
      </c>
      <c r="R150" s="19">
        <v>4.0</v>
      </c>
      <c r="S150" s="18" t="b">
        <v>0</v>
      </c>
      <c r="T150" s="18" t="b">
        <v>0</v>
      </c>
      <c r="U150" s="21"/>
      <c r="Y150" s="23"/>
    </row>
    <row r="151">
      <c r="A151" s="16"/>
      <c r="B151" s="16" t="s">
        <v>330</v>
      </c>
      <c r="C151" s="39" t="s">
        <v>45</v>
      </c>
      <c r="D151" s="16" t="s">
        <v>331</v>
      </c>
      <c r="E151" s="17" t="b">
        <f t="shared" ref="E151:K151" si="151">If(IFERROR(SEARCH(E$1, $D151),0) &gt;= 1, true,false)</f>
        <v>0</v>
      </c>
      <c r="F151" s="17" t="b">
        <f t="shared" si="151"/>
        <v>0</v>
      </c>
      <c r="G151" s="17" t="b">
        <f t="shared" si="151"/>
        <v>0</v>
      </c>
      <c r="H151" s="17" t="b">
        <f t="shared" si="151"/>
        <v>1</v>
      </c>
      <c r="I151" s="17" t="b">
        <f t="shared" si="151"/>
        <v>0</v>
      </c>
      <c r="J151" s="17" t="b">
        <f t="shared" si="151"/>
        <v>1</v>
      </c>
      <c r="K151" s="17" t="b">
        <f t="shared" si="151"/>
        <v>0</v>
      </c>
      <c r="L151" s="17"/>
      <c r="M151" s="18" t="b">
        <v>1</v>
      </c>
      <c r="N151" s="18" t="b">
        <v>0</v>
      </c>
      <c r="O151" s="18" t="b">
        <v>0</v>
      </c>
      <c r="P151" s="18" t="b">
        <v>1</v>
      </c>
      <c r="Q151" s="16" t="str">
        <f t="shared" si="3"/>
        <v>Centre Daily-Bul &amp; C° </v>
      </c>
      <c r="R151" s="19">
        <v>0.0</v>
      </c>
      <c r="S151" s="18" t="b">
        <v>0</v>
      </c>
      <c r="T151" s="18" t="b">
        <v>1</v>
      </c>
      <c r="U151" s="30">
        <v>0.0</v>
      </c>
      <c r="Y151" s="23"/>
    </row>
    <row r="152">
      <c r="A152" s="16" t="s">
        <v>332</v>
      </c>
      <c r="B152" s="16" t="s">
        <v>333</v>
      </c>
      <c r="C152" s="39" t="s">
        <v>45</v>
      </c>
      <c r="D152" s="16" t="s">
        <v>5</v>
      </c>
      <c r="E152" s="17" t="b">
        <f t="shared" ref="E152:K152" si="152">If(IFERROR(SEARCH(E$1, $D152),0) &gt;= 1, true,false)</f>
        <v>0</v>
      </c>
      <c r="F152" s="17" t="b">
        <f t="shared" si="152"/>
        <v>1</v>
      </c>
      <c r="G152" s="17" t="b">
        <f t="shared" si="152"/>
        <v>0</v>
      </c>
      <c r="H152" s="17" t="b">
        <f t="shared" si="152"/>
        <v>0</v>
      </c>
      <c r="I152" s="17" t="b">
        <f t="shared" si="152"/>
        <v>0</v>
      </c>
      <c r="J152" s="17" t="b">
        <f t="shared" si="152"/>
        <v>0</v>
      </c>
      <c r="K152" s="17" t="b">
        <f t="shared" si="152"/>
        <v>0</v>
      </c>
      <c r="L152" s="17"/>
      <c r="M152" s="18" t="b">
        <v>1</v>
      </c>
      <c r="N152" s="18" t="b">
        <v>1</v>
      </c>
      <c r="O152" s="18" t="b">
        <v>0</v>
      </c>
      <c r="P152" s="18" t="b">
        <v>1</v>
      </c>
      <c r="Q152" s="16" t="str">
        <f t="shared" si="3"/>
        <v>Wetenschappelijk Cultuurcentrum - ULB</v>
      </c>
      <c r="R152" s="19">
        <v>6.0</v>
      </c>
      <c r="S152" s="18" t="b">
        <v>0</v>
      </c>
      <c r="T152" s="18" t="b">
        <v>1</v>
      </c>
      <c r="U152" s="30">
        <v>6.0</v>
      </c>
      <c r="Y152" s="23"/>
    </row>
    <row r="153">
      <c r="A153" s="16"/>
      <c r="B153" s="16" t="s">
        <v>334</v>
      </c>
      <c r="C153" s="39" t="s">
        <v>45</v>
      </c>
      <c r="D153" s="16" t="s">
        <v>335</v>
      </c>
      <c r="E153" s="17" t="b">
        <f t="shared" ref="E153:K153" si="153">If(IFERROR(SEARCH(E$1, $D153),0) &gt;= 1, true,false)</f>
        <v>0</v>
      </c>
      <c r="F153" s="17" t="b">
        <f t="shared" si="153"/>
        <v>0</v>
      </c>
      <c r="G153" s="17" t="b">
        <f t="shared" si="153"/>
        <v>0</v>
      </c>
      <c r="H153" s="17" t="b">
        <f t="shared" si="153"/>
        <v>0</v>
      </c>
      <c r="I153" s="17" t="b">
        <f t="shared" si="153"/>
        <v>0</v>
      </c>
      <c r="J153" s="17" t="b">
        <f t="shared" si="153"/>
        <v>1</v>
      </c>
      <c r="K153" s="17" t="b">
        <f t="shared" si="153"/>
        <v>0</v>
      </c>
      <c r="L153" s="17"/>
      <c r="M153" s="18" t="b">
        <v>1</v>
      </c>
      <c r="N153" s="18" t="b">
        <v>0</v>
      </c>
      <c r="O153" s="18" t="b">
        <v>0</v>
      </c>
      <c r="P153" s="18" t="b">
        <v>0</v>
      </c>
      <c r="Q153" s="16" t="str">
        <f t="shared" si="3"/>
        <v>Centre de la Gravure et de l’Image imprimée </v>
      </c>
      <c r="R153" s="19">
        <v>8.0</v>
      </c>
      <c r="S153" s="18" t="b">
        <v>0</v>
      </c>
      <c r="T153" s="18" t="b">
        <v>1</v>
      </c>
      <c r="U153" s="29">
        <v>8.0</v>
      </c>
      <c r="Y153" s="23"/>
    </row>
    <row r="154">
      <c r="A154" s="16" t="s">
        <v>336</v>
      </c>
      <c r="B154" s="16" t="s">
        <v>337</v>
      </c>
      <c r="C154" s="39" t="s">
        <v>45</v>
      </c>
      <c r="D154" s="16" t="s">
        <v>338</v>
      </c>
      <c r="E154" s="17" t="b">
        <f t="shared" ref="E154:K154" si="154">If(IFERROR(SEARCH(E$1, $D154),0) &gt;= 1, true,false)</f>
        <v>0</v>
      </c>
      <c r="F154" s="17" t="b">
        <f t="shared" si="154"/>
        <v>0</v>
      </c>
      <c r="G154" s="17" t="b">
        <f t="shared" si="154"/>
        <v>0</v>
      </c>
      <c r="H154" s="17" t="b">
        <f t="shared" si="154"/>
        <v>0</v>
      </c>
      <c r="I154" s="17" t="b">
        <f t="shared" si="154"/>
        <v>1</v>
      </c>
      <c r="J154" s="17" t="b">
        <f t="shared" si="154"/>
        <v>1</v>
      </c>
      <c r="K154" s="17" t="b">
        <f t="shared" si="154"/>
        <v>1</v>
      </c>
      <c r="L154" s="17"/>
      <c r="M154" s="18" t="b">
        <v>1</v>
      </c>
      <c r="N154" s="18" t="b">
        <v>1</v>
      </c>
      <c r="O154" s="18" t="b">
        <v>1</v>
      </c>
      <c r="P154" s="18" t="b">
        <v>1</v>
      </c>
      <c r="Q154" s="16" t="str">
        <f t="shared" si="3"/>
        <v>Centrum voor Innovatie en Design van Grand-Hornu</v>
      </c>
      <c r="R154" s="19">
        <v>10.0</v>
      </c>
      <c r="S154" s="18" t="b">
        <v>0</v>
      </c>
      <c r="T154" s="18" t="b">
        <v>1</v>
      </c>
      <c r="U154" s="30">
        <v>10.0</v>
      </c>
      <c r="Y154" s="23"/>
    </row>
    <row r="155">
      <c r="A155" s="16" t="s">
        <v>339</v>
      </c>
      <c r="B155" s="16" t="s">
        <v>340</v>
      </c>
      <c r="C155" s="39" t="s">
        <v>45</v>
      </c>
      <c r="D155" s="16" t="s">
        <v>341</v>
      </c>
      <c r="E155" s="17" t="b">
        <f t="shared" ref="E155:K155" si="155">If(IFERROR(SEARCH(E$1, $D155),0) &gt;= 1, true,false)</f>
        <v>0</v>
      </c>
      <c r="F155" s="17" t="b">
        <f t="shared" si="155"/>
        <v>0</v>
      </c>
      <c r="G155" s="17" t="b">
        <f t="shared" si="155"/>
        <v>0</v>
      </c>
      <c r="H155" s="17" t="b">
        <f t="shared" si="155"/>
        <v>0</v>
      </c>
      <c r="I155" s="17" t="b">
        <f t="shared" si="155"/>
        <v>1</v>
      </c>
      <c r="J155" s="17" t="b">
        <f t="shared" si="155"/>
        <v>0</v>
      </c>
      <c r="K155" s="17" t="b">
        <f t="shared" si="155"/>
        <v>0</v>
      </c>
      <c r="L155" s="17"/>
      <c r="M155" s="18" t="b">
        <v>1</v>
      </c>
      <c r="N155" s="18" t="b">
        <v>1</v>
      </c>
      <c r="O155" s="18" t="b">
        <v>0</v>
      </c>
      <c r="P155" s="18" t="b">
        <v>1</v>
      </c>
      <c r="Q155" s="16" t="str">
        <f t="shared" si="3"/>
        <v>Domein van het Kasteel van Seneffe</v>
      </c>
      <c r="R155" s="19">
        <v>6.0</v>
      </c>
      <c r="S155" s="18" t="b">
        <v>0</v>
      </c>
      <c r="T155" s="18" t="b">
        <v>1</v>
      </c>
      <c r="U155" s="30">
        <v>6.0</v>
      </c>
      <c r="Y155" s="23"/>
    </row>
    <row r="156">
      <c r="A156" s="16" t="s">
        <v>342</v>
      </c>
      <c r="B156" s="16" t="s">
        <v>343</v>
      </c>
      <c r="C156" s="39" t="s">
        <v>45</v>
      </c>
      <c r="D156" s="16" t="s">
        <v>344</v>
      </c>
      <c r="E156" s="17" t="b">
        <f t="shared" ref="E156:K156" si="156">If(IFERROR(SEARCH(E$1, $D156),0) &gt;= 1, true,false)</f>
        <v>1</v>
      </c>
      <c r="F156" s="17" t="b">
        <f t="shared" si="156"/>
        <v>0</v>
      </c>
      <c r="G156" s="17" t="b">
        <f t="shared" si="156"/>
        <v>0</v>
      </c>
      <c r="H156" s="17" t="b">
        <f t="shared" si="156"/>
        <v>0</v>
      </c>
      <c r="I156" s="17" t="b">
        <f t="shared" si="156"/>
        <v>0</v>
      </c>
      <c r="J156" s="17" t="b">
        <f t="shared" si="156"/>
        <v>0</v>
      </c>
      <c r="K156" s="17" t="b">
        <f t="shared" si="156"/>
        <v>0</v>
      </c>
      <c r="L156" s="17"/>
      <c r="M156" s="18" t="b">
        <v>1</v>
      </c>
      <c r="N156" s="18" t="b">
        <v>0</v>
      </c>
      <c r="O156" s="18" t="b">
        <v>0</v>
      </c>
      <c r="P156" s="18" t="b">
        <v>0</v>
      </c>
      <c r="Q156" s="16" t="str">
        <f t="shared" si="3"/>
        <v>Gallo-Romeins Museum van Aat</v>
      </c>
      <c r="R156" s="19">
        <v>6.0</v>
      </c>
      <c r="S156" s="18" t="b">
        <v>0</v>
      </c>
      <c r="T156" s="18" t="b">
        <v>1</v>
      </c>
      <c r="U156" s="31">
        <v>6.0</v>
      </c>
      <c r="Y156" s="23"/>
    </row>
    <row r="157">
      <c r="A157" s="16" t="s">
        <v>345</v>
      </c>
      <c r="B157" s="16" t="s">
        <v>346</v>
      </c>
      <c r="C157" s="39" t="s">
        <v>45</v>
      </c>
      <c r="D157" s="16" t="s">
        <v>344</v>
      </c>
      <c r="E157" s="17" t="b">
        <f t="shared" ref="E157:K157" si="157">If(IFERROR(SEARCH(E$1, $D157),0) &gt;= 1, true,false)</f>
        <v>1</v>
      </c>
      <c r="F157" s="17" t="b">
        <f t="shared" si="157"/>
        <v>0</v>
      </c>
      <c r="G157" s="17" t="b">
        <f t="shared" si="157"/>
        <v>0</v>
      </c>
      <c r="H157" s="17" t="b">
        <f t="shared" si="157"/>
        <v>0</v>
      </c>
      <c r="I157" s="17" t="b">
        <f t="shared" si="157"/>
        <v>0</v>
      </c>
      <c r="J157" s="17" t="b">
        <f t="shared" si="157"/>
        <v>0</v>
      </c>
      <c r="K157" s="17" t="b">
        <f t="shared" si="157"/>
        <v>0</v>
      </c>
      <c r="L157" s="17"/>
      <c r="M157" s="18" t="b">
        <v>1</v>
      </c>
      <c r="N157" s="18" t="b">
        <v>0</v>
      </c>
      <c r="O157" s="18" t="b">
        <v>1</v>
      </c>
      <c r="P157" s="18" t="b">
        <v>1</v>
      </c>
      <c r="Q157" s="16" t="str">
        <f t="shared" si="3"/>
        <v>Hospitaal Onze-Lieve-Vrouw met de Roos</v>
      </c>
      <c r="R157" s="19">
        <v>13.0</v>
      </c>
      <c r="S157" s="18" t="b">
        <v>0</v>
      </c>
      <c r="T157" s="18" t="b">
        <v>1</v>
      </c>
      <c r="U157" s="31">
        <v>13.0</v>
      </c>
      <c r="Y157" s="23"/>
    </row>
    <row r="158">
      <c r="A158" s="16" t="s">
        <v>347</v>
      </c>
      <c r="B158" s="16" t="s">
        <v>348</v>
      </c>
      <c r="C158" s="39" t="s">
        <v>45</v>
      </c>
      <c r="D158" s="16" t="s">
        <v>349</v>
      </c>
      <c r="E158" s="17" t="b">
        <f t="shared" ref="E158:K158" si="158">If(IFERROR(SEARCH(E$1, $D158),0) &gt;= 1, true,false)</f>
        <v>1</v>
      </c>
      <c r="F158" s="17" t="b">
        <f t="shared" si="158"/>
        <v>0</v>
      </c>
      <c r="G158" s="17" t="b">
        <f t="shared" si="158"/>
        <v>0</v>
      </c>
      <c r="H158" s="17" t="b">
        <f t="shared" si="158"/>
        <v>0</v>
      </c>
      <c r="I158" s="17" t="b">
        <f t="shared" si="158"/>
        <v>0</v>
      </c>
      <c r="J158" s="17" t="b">
        <f t="shared" si="158"/>
        <v>1</v>
      </c>
      <c r="K158" s="17" t="b">
        <f t="shared" si="158"/>
        <v>0</v>
      </c>
      <c r="L158" s="17"/>
      <c r="M158" s="18" t="b">
        <v>1</v>
      </c>
      <c r="N158" s="18" t="b">
        <v>0</v>
      </c>
      <c r="O158" s="18" t="b">
        <v>0</v>
      </c>
      <c r="P158" s="18" t="b">
        <v>1</v>
      </c>
      <c r="Q158" s="16" t="str">
        <f t="shared" si="3"/>
        <v>Keramis - Centrum van de Keramiek</v>
      </c>
      <c r="R158" s="19">
        <v>8.0</v>
      </c>
      <c r="S158" s="18" t="b">
        <v>0</v>
      </c>
      <c r="T158" s="18" t="b">
        <v>1</v>
      </c>
      <c r="U158" s="35">
        <v>8.0</v>
      </c>
      <c r="Y158" s="23"/>
    </row>
    <row r="159">
      <c r="A159" s="16" t="s">
        <v>350</v>
      </c>
      <c r="B159" s="16" t="s">
        <v>351</v>
      </c>
      <c r="C159" s="39" t="s">
        <v>45</v>
      </c>
      <c r="D159" s="16" t="s">
        <v>349</v>
      </c>
      <c r="E159" s="17" t="b">
        <f t="shared" ref="E159:K159" si="159">If(IFERROR(SEARCH(E$1, $D159),0) &gt;= 1, true,false)</f>
        <v>1</v>
      </c>
      <c r="F159" s="17" t="b">
        <f t="shared" si="159"/>
        <v>0</v>
      </c>
      <c r="G159" s="17" t="b">
        <f t="shared" si="159"/>
        <v>0</v>
      </c>
      <c r="H159" s="17" t="b">
        <f t="shared" si="159"/>
        <v>0</v>
      </c>
      <c r="I159" s="17" t="b">
        <f t="shared" si="159"/>
        <v>0</v>
      </c>
      <c r="J159" s="17" t="b">
        <f t="shared" si="159"/>
        <v>1</v>
      </c>
      <c r="K159" s="17" t="b">
        <f t="shared" si="159"/>
        <v>0</v>
      </c>
      <c r="L159" s="17"/>
      <c r="M159" s="18" t="b">
        <v>1</v>
      </c>
      <c r="N159" s="18" t="b">
        <v>0</v>
      </c>
      <c r="O159" s="18" t="b">
        <v>0</v>
      </c>
      <c r="P159" s="18" t="b">
        <v>0</v>
      </c>
      <c r="Q159" s="16" t="str">
        <f t="shared" si="3"/>
        <v>Het Reuzenhuis</v>
      </c>
      <c r="R159" s="19">
        <v>8.0</v>
      </c>
      <c r="S159" s="18" t="b">
        <v>0</v>
      </c>
      <c r="T159" s="18" t="b">
        <v>0</v>
      </c>
      <c r="U159" s="33"/>
      <c r="Y159" s="23"/>
    </row>
    <row r="160">
      <c r="A160" s="16" t="s">
        <v>352</v>
      </c>
      <c r="B160" s="16" t="s">
        <v>353</v>
      </c>
      <c r="C160" s="39" t="s">
        <v>45</v>
      </c>
      <c r="D160" s="16" t="s">
        <v>344</v>
      </c>
      <c r="E160" s="17" t="b">
        <f t="shared" ref="E160:K160" si="160">If(IFERROR(SEARCH(E$1, $D160),0) &gt;= 1, true,false)</f>
        <v>1</v>
      </c>
      <c r="F160" s="17" t="b">
        <f t="shared" si="160"/>
        <v>0</v>
      </c>
      <c r="G160" s="17" t="b">
        <f t="shared" si="160"/>
        <v>0</v>
      </c>
      <c r="H160" s="17" t="b">
        <f t="shared" si="160"/>
        <v>0</v>
      </c>
      <c r="I160" s="17" t="b">
        <f t="shared" si="160"/>
        <v>0</v>
      </c>
      <c r="J160" s="17" t="b">
        <f t="shared" si="160"/>
        <v>0</v>
      </c>
      <c r="K160" s="17" t="b">
        <f t="shared" si="160"/>
        <v>0</v>
      </c>
      <c r="L160" s="17"/>
      <c r="M160" s="18" t="b">
        <v>1</v>
      </c>
      <c r="N160" s="18" t="b">
        <v>0</v>
      </c>
      <c r="O160" s="18" t="b">
        <v>0</v>
      </c>
      <c r="P160" s="18" t="b">
        <v>0</v>
      </c>
      <c r="Q160" s="16" t="str">
        <f t="shared" si="3"/>
        <v>Het Huis Van Gogh</v>
      </c>
      <c r="R160" s="19">
        <v>4.0</v>
      </c>
      <c r="S160" s="20" t="b">
        <v>0</v>
      </c>
      <c r="T160" s="18" t="b">
        <v>1</v>
      </c>
      <c r="U160" s="30">
        <v>4.0</v>
      </c>
      <c r="Y160" s="23"/>
    </row>
    <row r="161">
      <c r="A161" s="16"/>
      <c r="B161" s="16" t="s">
        <v>354</v>
      </c>
      <c r="C161" s="39" t="s">
        <v>45</v>
      </c>
      <c r="D161" s="16" t="s">
        <v>355</v>
      </c>
      <c r="E161" s="17" t="b">
        <f t="shared" ref="E161:K161" si="161">If(IFERROR(SEARCH(E$1, $D161),0) &gt;= 1, true,false)</f>
        <v>1</v>
      </c>
      <c r="F161" s="17" t="b">
        <f t="shared" si="161"/>
        <v>1</v>
      </c>
      <c r="G161" s="17" t="b">
        <f t="shared" si="161"/>
        <v>0</v>
      </c>
      <c r="H161" s="17" t="b">
        <f t="shared" si="161"/>
        <v>0</v>
      </c>
      <c r="I161" s="17" t="b">
        <f t="shared" si="161"/>
        <v>0</v>
      </c>
      <c r="J161" s="17" t="b">
        <f t="shared" si="161"/>
        <v>0</v>
      </c>
      <c r="K161" s="17" t="b">
        <f t="shared" si="161"/>
        <v>0</v>
      </c>
      <c r="L161" s="17"/>
      <c r="M161" s="18" t="b">
        <v>1</v>
      </c>
      <c r="N161" s="18" t="b">
        <v>1</v>
      </c>
      <c r="O161" s="18" t="b">
        <v>1</v>
      </c>
      <c r="P161" s="18" t="b">
        <v>1</v>
      </c>
      <c r="Q161" s="16" t="str">
        <f t="shared" si="3"/>
        <v>Le Bois du Cazier </v>
      </c>
      <c r="R161" s="19">
        <v>9.0</v>
      </c>
      <c r="S161" s="20" t="b">
        <v>0</v>
      </c>
      <c r="T161" s="18" t="b">
        <v>1</v>
      </c>
      <c r="U161" s="29">
        <v>9.0</v>
      </c>
      <c r="Y161" s="23"/>
    </row>
    <row r="162">
      <c r="A162" s="16" t="s">
        <v>356</v>
      </c>
      <c r="B162" s="16" t="s">
        <v>357</v>
      </c>
      <c r="C162" s="39" t="s">
        <v>45</v>
      </c>
      <c r="D162" s="16" t="s">
        <v>358</v>
      </c>
      <c r="E162" s="17" t="b">
        <f t="shared" ref="E162:K162" si="162">If(IFERROR(SEARCH(E$1, $D162),0) &gt;= 1, true,false)</f>
        <v>0</v>
      </c>
      <c r="F162" s="17" t="b">
        <f t="shared" si="162"/>
        <v>0</v>
      </c>
      <c r="G162" s="17" t="b">
        <f t="shared" si="162"/>
        <v>0</v>
      </c>
      <c r="H162" s="17" t="b">
        <f t="shared" si="162"/>
        <v>0</v>
      </c>
      <c r="I162" s="17" t="b">
        <f t="shared" si="162"/>
        <v>1</v>
      </c>
      <c r="J162" s="17" t="b">
        <f t="shared" si="162"/>
        <v>0</v>
      </c>
      <c r="K162" s="17" t="b">
        <f t="shared" si="162"/>
        <v>1</v>
      </c>
      <c r="L162" s="17"/>
      <c r="M162" s="18" t="b">
        <v>1</v>
      </c>
      <c r="N162" s="18" t="b">
        <v>1</v>
      </c>
      <c r="O162" s="18" t="b">
        <v>0</v>
      </c>
      <c r="P162" s="18" t="b">
        <v>1</v>
      </c>
      <c r="Q162" s="16" t="str">
        <f t="shared" si="3"/>
        <v>MACS | Museum voor Hedendaagse Kunsten Grand-Hornu</v>
      </c>
      <c r="R162" s="19">
        <v>10.0</v>
      </c>
      <c r="S162" s="20" t="b">
        <v>0</v>
      </c>
      <c r="T162" s="18" t="b">
        <v>1</v>
      </c>
      <c r="U162" s="29">
        <v>10.0</v>
      </c>
      <c r="Y162" s="23"/>
    </row>
    <row r="163">
      <c r="A163" s="16"/>
      <c r="B163" s="16" t="s">
        <v>359</v>
      </c>
      <c r="C163" s="39" t="s">
        <v>45</v>
      </c>
      <c r="D163" s="16" t="s">
        <v>360</v>
      </c>
      <c r="E163" s="17" t="b">
        <f t="shared" ref="E163:K163" si="163">If(IFERROR(SEARCH(E$1, $D163),0) &gt;= 1, true,false)</f>
        <v>0</v>
      </c>
      <c r="F163" s="17" t="b">
        <f t="shared" si="163"/>
        <v>1</v>
      </c>
      <c r="G163" s="17" t="b">
        <f t="shared" si="163"/>
        <v>0</v>
      </c>
      <c r="H163" s="17" t="b">
        <f t="shared" si="163"/>
        <v>0</v>
      </c>
      <c r="I163" s="17" t="b">
        <f t="shared" si="163"/>
        <v>0</v>
      </c>
      <c r="J163" s="17" t="b">
        <f t="shared" si="163"/>
        <v>0</v>
      </c>
      <c r="K163" s="17" t="b">
        <f t="shared" si="163"/>
        <v>0</v>
      </c>
      <c r="L163" s="17"/>
      <c r="M163" s="18" t="b">
        <v>1</v>
      </c>
      <c r="N163" s="18" t="b">
        <v>1</v>
      </c>
      <c r="O163" s="18" t="b">
        <v>0</v>
      </c>
      <c r="P163" s="18" t="b">
        <v>1</v>
      </c>
      <c r="Q163" s="16" t="str">
        <f t="shared" si="3"/>
        <v>Maison de l’Imprimerie </v>
      </c>
      <c r="R163" s="19">
        <v>5.0</v>
      </c>
      <c r="S163" s="20" t="b">
        <v>0</v>
      </c>
      <c r="T163" s="18" t="b">
        <v>1</v>
      </c>
      <c r="U163" s="30">
        <v>5.0</v>
      </c>
      <c r="Y163" s="23"/>
    </row>
    <row r="164">
      <c r="A164" s="16"/>
      <c r="B164" s="16" t="s">
        <v>361</v>
      </c>
      <c r="C164" s="39" t="s">
        <v>45</v>
      </c>
      <c r="D164" s="16" t="s">
        <v>362</v>
      </c>
      <c r="E164" s="17" t="b">
        <f t="shared" ref="E164:K164" si="164">If(IFERROR(SEARCH(E$1, $D164),0) &gt;= 1, true,false)</f>
        <v>1</v>
      </c>
      <c r="F164" s="17" t="b">
        <f t="shared" si="164"/>
        <v>0</v>
      </c>
      <c r="G164" s="17" t="b">
        <f t="shared" si="164"/>
        <v>0</v>
      </c>
      <c r="H164" s="17" t="b">
        <f t="shared" si="164"/>
        <v>1</v>
      </c>
      <c r="I164" s="17" t="b">
        <f t="shared" si="164"/>
        <v>1</v>
      </c>
      <c r="J164" s="17" t="b">
        <f t="shared" si="164"/>
        <v>1</v>
      </c>
      <c r="K164" s="17" t="b">
        <f t="shared" si="164"/>
        <v>0</v>
      </c>
      <c r="L164" s="17"/>
      <c r="M164" s="18" t="b">
        <v>1</v>
      </c>
      <c r="N164" s="18" t="b">
        <v>0</v>
      </c>
      <c r="O164" s="18" t="b">
        <v>0</v>
      </c>
      <c r="P164" s="18" t="b">
        <v>0</v>
      </c>
      <c r="Q164" s="16" t="str">
        <f t="shared" si="3"/>
        <v>Maison Losseau </v>
      </c>
      <c r="R164" s="19">
        <v>5.0</v>
      </c>
      <c r="S164" s="20" t="b">
        <v>0</v>
      </c>
      <c r="T164" s="18" t="b">
        <v>1</v>
      </c>
      <c r="U164" s="30">
        <v>5.0</v>
      </c>
      <c r="Y164" s="23"/>
    </row>
    <row r="165">
      <c r="A165" s="16"/>
      <c r="B165" s="16" t="s">
        <v>363</v>
      </c>
      <c r="C165" s="39" t="s">
        <v>45</v>
      </c>
      <c r="D165" s="16" t="s">
        <v>319</v>
      </c>
      <c r="E165" s="17" t="b">
        <f t="shared" ref="E165:K165" si="165">If(IFERROR(SEARCH(E$1, $D165),0) &gt;= 1, true,false)</f>
        <v>1</v>
      </c>
      <c r="F165" s="17" t="b">
        <f t="shared" si="165"/>
        <v>0</v>
      </c>
      <c r="G165" s="17" t="b">
        <f t="shared" si="165"/>
        <v>0</v>
      </c>
      <c r="H165" s="17" t="b">
        <f t="shared" si="165"/>
        <v>0</v>
      </c>
      <c r="I165" s="17" t="b">
        <f t="shared" si="165"/>
        <v>1</v>
      </c>
      <c r="J165" s="17" t="b">
        <f t="shared" si="165"/>
        <v>0</v>
      </c>
      <c r="K165" s="17" t="b">
        <f t="shared" si="165"/>
        <v>0</v>
      </c>
      <c r="L165" s="17"/>
      <c r="M165" s="18" t="b">
        <v>1</v>
      </c>
      <c r="N165" s="18" t="b">
        <v>0</v>
      </c>
      <c r="O165" s="18" t="b">
        <v>0</v>
      </c>
      <c r="P165" s="18" t="b">
        <v>0</v>
      </c>
      <c r="Q165" s="16" t="str">
        <f t="shared" si="3"/>
        <v>Mons Memorial Museum </v>
      </c>
      <c r="R165" s="19">
        <v>9.0</v>
      </c>
      <c r="S165" s="20" t="b">
        <v>0</v>
      </c>
      <c r="T165" s="18" t="b">
        <v>1</v>
      </c>
      <c r="U165" s="29">
        <v>9.0</v>
      </c>
      <c r="Y165" s="23"/>
    </row>
    <row r="166">
      <c r="A166" s="16"/>
      <c r="B166" s="16" t="s">
        <v>364</v>
      </c>
      <c r="C166" s="39" t="s">
        <v>45</v>
      </c>
      <c r="D166" s="16" t="s">
        <v>360</v>
      </c>
      <c r="E166" s="17" t="b">
        <f t="shared" ref="E166:K166" si="166">If(IFERROR(SEARCH(E$1, $D166),0) &gt;= 1, true,false)</f>
        <v>0</v>
      </c>
      <c r="F166" s="17" t="b">
        <f t="shared" si="166"/>
        <v>1</v>
      </c>
      <c r="G166" s="17" t="b">
        <f t="shared" si="166"/>
        <v>0</v>
      </c>
      <c r="H166" s="17" t="b">
        <f t="shared" si="166"/>
        <v>0</v>
      </c>
      <c r="I166" s="17" t="b">
        <f t="shared" si="166"/>
        <v>0</v>
      </c>
      <c r="J166" s="17" t="b">
        <f t="shared" si="166"/>
        <v>0</v>
      </c>
      <c r="K166" s="17" t="b">
        <f t="shared" si="166"/>
        <v>0</v>
      </c>
      <c r="L166" s="17"/>
      <c r="M166" s="18" t="b">
        <v>1</v>
      </c>
      <c r="N166" s="18" t="b">
        <v>1</v>
      </c>
      <c r="O166" s="18" t="b">
        <v>0</v>
      </c>
      <c r="P166" s="18" t="b">
        <v>1</v>
      </c>
      <c r="Q166" s="16" t="str">
        <f t="shared" si="3"/>
        <v>MUMONS </v>
      </c>
      <c r="R166" s="19">
        <v>5.0</v>
      </c>
      <c r="S166" s="20" t="b">
        <v>0</v>
      </c>
      <c r="T166" s="18" t="b">
        <v>1</v>
      </c>
      <c r="U166" s="30">
        <v>5.0</v>
      </c>
      <c r="Y166" s="23"/>
    </row>
    <row r="167">
      <c r="A167" s="16"/>
      <c r="B167" s="16" t="s">
        <v>365</v>
      </c>
      <c r="C167" s="39" t="s">
        <v>45</v>
      </c>
      <c r="D167" s="16" t="s">
        <v>316</v>
      </c>
      <c r="E167" s="17" t="b">
        <f t="shared" ref="E167:K167" si="167">If(IFERROR(SEARCH(E$1, $D167),0) &gt;= 1, true,false)</f>
        <v>1</v>
      </c>
      <c r="F167" s="17" t="b">
        <f t="shared" si="167"/>
        <v>1</v>
      </c>
      <c r="G167" s="17" t="b">
        <f t="shared" si="167"/>
        <v>0</v>
      </c>
      <c r="H167" s="17" t="b">
        <f t="shared" si="167"/>
        <v>0</v>
      </c>
      <c r="I167" s="17" t="b">
        <f t="shared" si="167"/>
        <v>1</v>
      </c>
      <c r="J167" s="17" t="b">
        <f t="shared" si="167"/>
        <v>1</v>
      </c>
      <c r="K167" s="17" t="b">
        <f t="shared" si="167"/>
        <v>0</v>
      </c>
      <c r="L167" s="17"/>
      <c r="M167" s="18" t="b">
        <v>1</v>
      </c>
      <c r="N167" s="18" t="b">
        <v>0</v>
      </c>
      <c r="O167" s="18" t="b">
        <v>0</v>
      </c>
      <c r="P167" s="18" t="b">
        <v>0</v>
      </c>
      <c r="Q167" s="16" t="str">
        <f t="shared" si="3"/>
        <v>Mundaneum </v>
      </c>
      <c r="R167" s="19">
        <v>9.0</v>
      </c>
      <c r="S167" s="20" t="b">
        <v>0</v>
      </c>
      <c r="T167" s="18" t="b">
        <v>1</v>
      </c>
      <c r="U167" s="29">
        <v>9.0</v>
      </c>
      <c r="Y167" s="23"/>
    </row>
    <row r="168">
      <c r="A168" s="16" t="s">
        <v>366</v>
      </c>
      <c r="B168" s="16" t="s">
        <v>367</v>
      </c>
      <c r="C168" s="39" t="s">
        <v>45</v>
      </c>
      <c r="D168" s="16" t="s">
        <v>344</v>
      </c>
      <c r="E168" s="17" t="b">
        <f t="shared" ref="E168:K168" si="168">If(IFERROR(SEARCH(E$1, $D168),0) &gt;= 1, true,false)</f>
        <v>1</v>
      </c>
      <c r="F168" s="17" t="b">
        <f t="shared" si="168"/>
        <v>0</v>
      </c>
      <c r="G168" s="17" t="b">
        <f t="shared" si="168"/>
        <v>0</v>
      </c>
      <c r="H168" s="17" t="b">
        <f t="shared" si="168"/>
        <v>0</v>
      </c>
      <c r="I168" s="17" t="b">
        <f t="shared" si="168"/>
        <v>0</v>
      </c>
      <c r="J168" s="17" t="b">
        <f t="shared" si="168"/>
        <v>0</v>
      </c>
      <c r="K168" s="17" t="b">
        <f t="shared" si="168"/>
        <v>0</v>
      </c>
      <c r="L168" s="17"/>
      <c r="M168" s="18" t="b">
        <v>1</v>
      </c>
      <c r="N168" s="18" t="b">
        <v>0</v>
      </c>
      <c r="O168" s="18" t="b">
        <v>0</v>
      </c>
      <c r="P168" s="18" t="b">
        <v>0</v>
      </c>
      <c r="Q168" s="16" t="str">
        <f t="shared" si="3"/>
        <v>Archeologiemuseum</v>
      </c>
      <c r="R168" s="19">
        <v>0.0</v>
      </c>
      <c r="S168" s="20" t="b">
        <v>1</v>
      </c>
      <c r="T168" s="18" t="b">
        <v>1</v>
      </c>
      <c r="U168" s="21"/>
      <c r="Y168" s="23"/>
    </row>
    <row r="169">
      <c r="A169" s="16" t="s">
        <v>368</v>
      </c>
      <c r="B169" s="16" t="s">
        <v>369</v>
      </c>
      <c r="C169" s="39" t="s">
        <v>45</v>
      </c>
      <c r="D169" s="16" t="s">
        <v>4</v>
      </c>
      <c r="E169" s="17" t="b">
        <f t="shared" ref="E169:K169" si="169">If(IFERROR(SEARCH(E$1, $D169),0) &gt;= 1, true,false)</f>
        <v>1</v>
      </c>
      <c r="F169" s="17" t="b">
        <f t="shared" si="169"/>
        <v>0</v>
      </c>
      <c r="G169" s="17" t="b">
        <f t="shared" si="169"/>
        <v>0</v>
      </c>
      <c r="H169" s="17" t="b">
        <f t="shared" si="169"/>
        <v>0</v>
      </c>
      <c r="I169" s="17" t="b">
        <f t="shared" si="169"/>
        <v>0</v>
      </c>
      <c r="J169" s="17" t="b">
        <f t="shared" si="169"/>
        <v>0</v>
      </c>
      <c r="K169" s="17" t="b">
        <f t="shared" si="169"/>
        <v>0</v>
      </c>
      <c r="L169" s="17"/>
      <c r="M169" s="18" t="b">
        <v>1</v>
      </c>
      <c r="N169" s="18" t="b">
        <v>0</v>
      </c>
      <c r="O169" s="18" t="b">
        <v>0</v>
      </c>
      <c r="P169" s="18" t="b">
        <v>0</v>
      </c>
      <c r="Q169" s="16" t="str">
        <f t="shared" si="3"/>
        <v>Folkloremuseum</v>
      </c>
      <c r="R169" s="19">
        <v>4.0</v>
      </c>
      <c r="S169" s="20" t="b">
        <v>0</v>
      </c>
      <c r="T169" s="18" t="b">
        <v>1</v>
      </c>
      <c r="U169" s="30">
        <v>4.0</v>
      </c>
      <c r="Y169" s="23"/>
    </row>
    <row r="170">
      <c r="A170" s="16" t="s">
        <v>370</v>
      </c>
      <c r="B170" s="16" t="s">
        <v>371</v>
      </c>
      <c r="C170" s="39" t="s">
        <v>45</v>
      </c>
      <c r="D170" s="16" t="s">
        <v>335</v>
      </c>
      <c r="E170" s="17" t="b">
        <f t="shared" ref="E170:K170" si="170">If(IFERROR(SEARCH(E$1, $D170),0) &gt;= 1, true,false)</f>
        <v>0</v>
      </c>
      <c r="F170" s="17" t="b">
        <f t="shared" si="170"/>
        <v>0</v>
      </c>
      <c r="G170" s="17" t="b">
        <f t="shared" si="170"/>
        <v>0</v>
      </c>
      <c r="H170" s="17" t="b">
        <f t="shared" si="170"/>
        <v>0</v>
      </c>
      <c r="I170" s="17" t="b">
        <f t="shared" si="170"/>
        <v>0</v>
      </c>
      <c r="J170" s="17" t="b">
        <f t="shared" si="170"/>
        <v>1</v>
      </c>
      <c r="K170" s="17" t="b">
        <f t="shared" si="170"/>
        <v>0</v>
      </c>
      <c r="L170" s="17"/>
      <c r="M170" s="18" t="b">
        <v>1</v>
      </c>
      <c r="N170" s="18" t="b">
        <v>1</v>
      </c>
      <c r="O170" s="18" t="b">
        <v>0</v>
      </c>
      <c r="P170" s="18" t="b">
        <v>0</v>
      </c>
      <c r="Q170" s="16" t="str">
        <f t="shared" si="3"/>
        <v>Fotografiemuseum</v>
      </c>
      <c r="R170" s="19">
        <v>4.0</v>
      </c>
      <c r="S170" s="18" t="b">
        <v>0</v>
      </c>
      <c r="T170" s="18" t="b">
        <v>1</v>
      </c>
      <c r="U170" s="27">
        <v>8.0</v>
      </c>
      <c r="Y170" s="23"/>
    </row>
    <row r="171">
      <c r="A171" s="16" t="s">
        <v>372</v>
      </c>
      <c r="B171" s="16" t="s">
        <v>373</v>
      </c>
      <c r="C171" s="39" t="s">
        <v>45</v>
      </c>
      <c r="D171" s="16" t="s">
        <v>374</v>
      </c>
      <c r="E171" s="17" t="b">
        <f t="shared" ref="E171:K171" si="171">If(IFERROR(SEARCH(E$1, $D171),0) &gt;= 1, true,false)</f>
        <v>1</v>
      </c>
      <c r="F171" s="17" t="b">
        <f t="shared" si="171"/>
        <v>1</v>
      </c>
      <c r="G171" s="17" t="b">
        <f t="shared" si="171"/>
        <v>0</v>
      </c>
      <c r="H171" s="17" t="b">
        <f t="shared" si="171"/>
        <v>0</v>
      </c>
      <c r="I171" s="17" t="b">
        <f t="shared" si="171"/>
        <v>0</v>
      </c>
      <c r="J171" s="17" t="b">
        <f t="shared" si="171"/>
        <v>0</v>
      </c>
      <c r="K171" s="17" t="b">
        <f t="shared" si="171"/>
        <v>1</v>
      </c>
      <c r="L171" s="17"/>
      <c r="M171" s="18" t="b">
        <v>1</v>
      </c>
      <c r="N171" s="18" t="b">
        <v>1</v>
      </c>
      <c r="O171" s="18" t="b">
        <v>0</v>
      </c>
      <c r="P171" s="18" t="b">
        <v>0</v>
      </c>
      <c r="Q171" s="16" t="str">
        <f t="shared" si="3"/>
        <v>Lintweverijmuseum van Komen</v>
      </c>
      <c r="R171" s="19">
        <v>7.0</v>
      </c>
      <c r="S171" s="18" t="b">
        <v>0</v>
      </c>
      <c r="T171" s="18" t="b">
        <v>1</v>
      </c>
      <c r="U171" s="27">
        <v>7.0</v>
      </c>
      <c r="Y171" s="23"/>
    </row>
    <row r="172">
      <c r="A172" s="16"/>
      <c r="B172" s="16" t="s">
        <v>375</v>
      </c>
      <c r="C172" s="39" t="s">
        <v>45</v>
      </c>
      <c r="D172" s="36" t="s">
        <v>349</v>
      </c>
      <c r="E172" s="17" t="b">
        <f t="shared" ref="E172:K172" si="172">If(IFERROR(SEARCH(E$1, $D172),0) &gt;= 1, true,false)</f>
        <v>1</v>
      </c>
      <c r="F172" s="17" t="b">
        <f t="shared" si="172"/>
        <v>0</v>
      </c>
      <c r="G172" s="17" t="b">
        <f t="shared" si="172"/>
        <v>0</v>
      </c>
      <c r="H172" s="17" t="b">
        <f t="shared" si="172"/>
        <v>0</v>
      </c>
      <c r="I172" s="17" t="b">
        <f t="shared" si="172"/>
        <v>0</v>
      </c>
      <c r="J172" s="17" t="b">
        <f t="shared" si="172"/>
        <v>1</v>
      </c>
      <c r="K172" s="17" t="b">
        <f t="shared" si="172"/>
        <v>0</v>
      </c>
      <c r="L172" s="17"/>
      <c r="M172" s="18" t="b">
        <v>1</v>
      </c>
      <c r="N172" s="18" t="b">
        <v>0</v>
      </c>
      <c r="O172" s="18" t="b">
        <v>0</v>
      </c>
      <c r="P172" s="18" t="b">
        <v>0</v>
      </c>
      <c r="Q172" s="16" t="str">
        <f t="shared" si="3"/>
        <v>Musée des arts de la Marionnette </v>
      </c>
      <c r="R172" s="19">
        <v>0.0</v>
      </c>
      <c r="S172" s="18" t="b">
        <v>0</v>
      </c>
      <c r="T172" s="18" t="b">
        <v>0</v>
      </c>
      <c r="Y172" s="23"/>
    </row>
    <row r="173">
      <c r="A173" s="16" t="s">
        <v>376</v>
      </c>
      <c r="B173" s="16" t="s">
        <v>377</v>
      </c>
      <c r="C173" s="39" t="s">
        <v>45</v>
      </c>
      <c r="D173" s="16" t="s">
        <v>335</v>
      </c>
      <c r="E173" s="17" t="b">
        <f t="shared" ref="E173:K173" si="173">If(IFERROR(SEARCH(E$1, $D173),0) &gt;= 1, true,false)</f>
        <v>0</v>
      </c>
      <c r="F173" s="17" t="b">
        <f t="shared" si="173"/>
        <v>0</v>
      </c>
      <c r="G173" s="17" t="b">
        <f t="shared" si="173"/>
        <v>0</v>
      </c>
      <c r="H173" s="17" t="b">
        <f t="shared" si="173"/>
        <v>0</v>
      </c>
      <c r="I173" s="17" t="b">
        <f t="shared" si="173"/>
        <v>0</v>
      </c>
      <c r="J173" s="17" t="b">
        <f t="shared" si="173"/>
        <v>1</v>
      </c>
      <c r="K173" s="17" t="b">
        <f t="shared" si="173"/>
        <v>0</v>
      </c>
      <c r="L173" s="17"/>
      <c r="M173" s="18" t="b">
        <v>1</v>
      </c>
      <c r="N173" s="18" t="b">
        <v>1</v>
      </c>
      <c r="O173" s="18" t="b">
        <v>0</v>
      </c>
      <c r="P173" s="18" t="b">
        <v>0</v>
      </c>
      <c r="Q173" s="16" t="str">
        <f t="shared" si="3"/>
        <v>Museum voor Schone Kunsten van Doornik</v>
      </c>
      <c r="R173" s="19">
        <v>4.0</v>
      </c>
      <c r="S173" s="18" t="b">
        <v>0</v>
      </c>
      <c r="T173" s="18" t="b">
        <v>1</v>
      </c>
      <c r="U173" s="27">
        <v>4.0</v>
      </c>
      <c r="Y173" s="23"/>
    </row>
    <row r="174">
      <c r="A174" s="16" t="s">
        <v>378</v>
      </c>
      <c r="B174" s="16" t="s">
        <v>379</v>
      </c>
      <c r="C174" s="39" t="s">
        <v>45</v>
      </c>
      <c r="D174" s="16" t="s">
        <v>4</v>
      </c>
      <c r="E174" s="17" t="b">
        <f t="shared" ref="E174:K174" si="174">If(IFERROR(SEARCH(E$1, $D174),0) &gt;= 1, true,false)</f>
        <v>1</v>
      </c>
      <c r="F174" s="17" t="b">
        <f t="shared" si="174"/>
        <v>0</v>
      </c>
      <c r="G174" s="17" t="b">
        <f t="shared" si="174"/>
        <v>0</v>
      </c>
      <c r="H174" s="17" t="b">
        <f t="shared" si="174"/>
        <v>0</v>
      </c>
      <c r="I174" s="17" t="b">
        <f t="shared" si="174"/>
        <v>0</v>
      </c>
      <c r="J174" s="17" t="b">
        <f t="shared" si="174"/>
        <v>0</v>
      </c>
      <c r="K174" s="17" t="b">
        <f t="shared" si="174"/>
        <v>0</v>
      </c>
      <c r="L174" s="17"/>
      <c r="M174" s="18" t="b">
        <v>1</v>
      </c>
      <c r="N174" s="18" t="b">
        <v>0</v>
      </c>
      <c r="O174" s="18" t="b">
        <v>0</v>
      </c>
      <c r="P174" s="18" t="b">
        <v>0</v>
      </c>
      <c r="Q174" s="16" t="str">
        <f t="shared" si="3"/>
        <v>Museum voor militaire geschiedenis</v>
      </c>
      <c r="R174" s="19">
        <v>4.0</v>
      </c>
      <c r="S174" s="18" t="b">
        <v>0</v>
      </c>
      <c r="T174" s="18" t="b">
        <v>1</v>
      </c>
      <c r="U174" s="27">
        <v>4.0</v>
      </c>
      <c r="Y174" s="23"/>
    </row>
    <row r="175">
      <c r="A175" s="16" t="s">
        <v>380</v>
      </c>
      <c r="B175" s="16" t="s">
        <v>381</v>
      </c>
      <c r="C175" s="39" t="s">
        <v>45</v>
      </c>
      <c r="D175" s="16" t="s">
        <v>360</v>
      </c>
      <c r="E175" s="17" t="b">
        <f t="shared" ref="E175:K175" si="175">If(IFERROR(SEARCH(E$1, $D175),0) &gt;= 1, true,false)</f>
        <v>0</v>
      </c>
      <c r="F175" s="17" t="b">
        <f t="shared" si="175"/>
        <v>1</v>
      </c>
      <c r="G175" s="17" t="b">
        <f t="shared" si="175"/>
        <v>0</v>
      </c>
      <c r="H175" s="17" t="b">
        <f t="shared" si="175"/>
        <v>0</v>
      </c>
      <c r="I175" s="17" t="b">
        <f t="shared" si="175"/>
        <v>0</v>
      </c>
      <c r="J175" s="17" t="b">
        <f t="shared" si="175"/>
        <v>0</v>
      </c>
      <c r="K175" s="17" t="b">
        <f t="shared" si="175"/>
        <v>0</v>
      </c>
      <c r="L175" s="17"/>
      <c r="M175" s="18" t="b">
        <v>1</v>
      </c>
      <c r="N175" s="18" t="b">
        <v>1</v>
      </c>
      <c r="O175" s="18" t="b">
        <v>0</v>
      </c>
      <c r="P175" s="18" t="b">
        <v>0</v>
      </c>
      <c r="Q175" s="16" t="str">
        <f t="shared" si="3"/>
        <v>Natuurhistorisch Museum en Vivarium</v>
      </c>
      <c r="R175" s="19">
        <v>4.0</v>
      </c>
      <c r="S175" s="18" t="b">
        <v>1</v>
      </c>
      <c r="T175" s="18" t="b">
        <v>1</v>
      </c>
      <c r="U175" s="27">
        <v>4.0</v>
      </c>
      <c r="Y175" s="23"/>
    </row>
    <row r="176">
      <c r="A176" s="16" t="s">
        <v>382</v>
      </c>
      <c r="B176" s="16" t="s">
        <v>383</v>
      </c>
      <c r="C176" s="39" t="s">
        <v>45</v>
      </c>
      <c r="D176" s="16" t="s">
        <v>4</v>
      </c>
      <c r="E176" s="17" t="b">
        <f t="shared" ref="E176:K176" si="176">If(IFERROR(SEARCH(E$1, $D176),0) &gt;= 1, true,false)</f>
        <v>1</v>
      </c>
      <c r="F176" s="17" t="b">
        <f t="shared" si="176"/>
        <v>0</v>
      </c>
      <c r="G176" s="17" t="b">
        <f t="shared" si="176"/>
        <v>0</v>
      </c>
      <c r="H176" s="17" t="b">
        <f t="shared" si="176"/>
        <v>0</v>
      </c>
      <c r="I176" s="17" t="b">
        <f t="shared" si="176"/>
        <v>0</v>
      </c>
      <c r="J176" s="17" t="b">
        <f t="shared" si="176"/>
        <v>0</v>
      </c>
      <c r="K176" s="17" t="b">
        <f t="shared" si="176"/>
        <v>0</v>
      </c>
      <c r="L176" s="17"/>
      <c r="M176" s="18" t="b">
        <v>1</v>
      </c>
      <c r="N176" s="18" t="b">
        <v>0</v>
      </c>
      <c r="O176" s="18" t="b">
        <v>0</v>
      </c>
      <c r="P176" s="18" t="b">
        <v>0</v>
      </c>
      <c r="Q176" s="16" t="str">
        <f t="shared" si="3"/>
        <v>Doudoumuseum</v>
      </c>
      <c r="R176" s="19">
        <v>9.0</v>
      </c>
      <c r="S176" s="18" t="b">
        <v>0</v>
      </c>
      <c r="T176" s="18" t="b">
        <v>0</v>
      </c>
      <c r="U176" s="16"/>
      <c r="Y176" s="23"/>
    </row>
    <row r="177">
      <c r="A177" s="16" t="s">
        <v>384</v>
      </c>
      <c r="B177" s="16" t="s">
        <v>385</v>
      </c>
      <c r="C177" s="39" t="s">
        <v>45</v>
      </c>
      <c r="D177" s="16" t="s">
        <v>344</v>
      </c>
      <c r="E177" s="17" t="b">
        <f t="shared" ref="E177:K177" si="177">If(IFERROR(SEARCH(E$1, $D177),0) &gt;= 1, true,false)</f>
        <v>1</v>
      </c>
      <c r="F177" s="17" t="b">
        <f t="shared" si="177"/>
        <v>0</v>
      </c>
      <c r="G177" s="17" t="b">
        <f t="shared" si="177"/>
        <v>0</v>
      </c>
      <c r="H177" s="17" t="b">
        <f t="shared" si="177"/>
        <v>0</v>
      </c>
      <c r="I177" s="17" t="b">
        <f t="shared" si="177"/>
        <v>0</v>
      </c>
      <c r="J177" s="17" t="b">
        <f t="shared" si="177"/>
        <v>0</v>
      </c>
      <c r="K177" s="17" t="b">
        <f t="shared" si="177"/>
        <v>0</v>
      </c>
      <c r="L177" s="17"/>
      <c r="M177" s="18" t="b">
        <v>1</v>
      </c>
      <c r="N177" s="18" t="b">
        <v>1</v>
      </c>
      <c r="O177" s="18" t="b">
        <v>1</v>
      </c>
      <c r="P177" s="18" t="b">
        <v>1</v>
      </c>
      <c r="Q177" s="16" t="str">
        <f t="shared" si="3"/>
        <v>Internationaal Museum van het Carnaval en het Masker</v>
      </c>
      <c r="R177" s="19">
        <v>8.0</v>
      </c>
      <c r="S177" s="18" t="b">
        <v>0</v>
      </c>
      <c r="T177" s="18" t="b">
        <v>1</v>
      </c>
      <c r="U177" s="30">
        <v>8.0</v>
      </c>
      <c r="Y177" s="23"/>
    </row>
    <row r="178">
      <c r="A178" s="16" t="s">
        <v>386</v>
      </c>
      <c r="B178" s="16" t="s">
        <v>387</v>
      </c>
      <c r="C178" s="39" t="s">
        <v>45</v>
      </c>
      <c r="D178" s="16" t="s">
        <v>349</v>
      </c>
      <c r="E178" s="17" t="b">
        <f t="shared" ref="E178:K178" si="178">If(IFERROR(SEARCH(E$1, $D178),0) &gt;= 1, true,false)</f>
        <v>1</v>
      </c>
      <c r="F178" s="17" t="b">
        <f t="shared" si="178"/>
        <v>0</v>
      </c>
      <c r="G178" s="17" t="b">
        <f t="shared" si="178"/>
        <v>0</v>
      </c>
      <c r="H178" s="17" t="b">
        <f t="shared" si="178"/>
        <v>0</v>
      </c>
      <c r="I178" s="17" t="b">
        <f t="shared" si="178"/>
        <v>0</v>
      </c>
      <c r="J178" s="17" t="b">
        <f t="shared" si="178"/>
        <v>1</v>
      </c>
      <c r="K178" s="17" t="b">
        <f t="shared" si="178"/>
        <v>0</v>
      </c>
      <c r="L178" s="17"/>
      <c r="M178" s="18" t="b">
        <v>1</v>
      </c>
      <c r="N178" s="18" t="b">
        <v>1</v>
      </c>
      <c r="O178" s="18" t="b">
        <v>0</v>
      </c>
      <c r="P178" s="18" t="b">
        <v>1</v>
      </c>
      <c r="Q178" s="16" t="str">
        <f t="shared" si="3"/>
        <v>Koninklijk Museum van Mariemont</v>
      </c>
      <c r="R178" s="19">
        <v>9.0</v>
      </c>
      <c r="S178" s="18" t="b">
        <v>1</v>
      </c>
      <c r="T178" s="18" t="b">
        <v>1</v>
      </c>
      <c r="U178" s="30">
        <v>9.0</v>
      </c>
      <c r="Y178" s="23"/>
    </row>
    <row r="179">
      <c r="A179" s="16"/>
      <c r="B179" s="16" t="s">
        <v>388</v>
      </c>
      <c r="C179" s="39" t="s">
        <v>45</v>
      </c>
      <c r="D179" s="16" t="s">
        <v>344</v>
      </c>
      <c r="E179" s="17" t="b">
        <f t="shared" ref="E179:K179" si="179">If(IFERROR(SEARCH(E$1, $D179),0) &gt;= 1, true,false)</f>
        <v>1</v>
      </c>
      <c r="F179" s="17" t="b">
        <f t="shared" si="179"/>
        <v>0</v>
      </c>
      <c r="G179" s="17" t="b">
        <f t="shared" si="179"/>
        <v>0</v>
      </c>
      <c r="H179" s="17" t="b">
        <f t="shared" si="179"/>
        <v>0</v>
      </c>
      <c r="I179" s="17" t="b">
        <f t="shared" si="179"/>
        <v>0</v>
      </c>
      <c r="J179" s="17" t="b">
        <f t="shared" si="179"/>
        <v>0</v>
      </c>
      <c r="K179" s="17" t="b">
        <f t="shared" si="179"/>
        <v>0</v>
      </c>
      <c r="L179" s="17"/>
      <c r="M179" s="18" t="b">
        <v>1</v>
      </c>
      <c r="N179" s="18" t="b">
        <v>1</v>
      </c>
      <c r="O179" s="18" t="b">
        <v>0</v>
      </c>
      <c r="P179" s="18" t="b">
        <v>1</v>
      </c>
      <c r="Q179" s="16" t="str">
        <f t="shared" si="3"/>
        <v>Plugstreet 14-18 experience </v>
      </c>
      <c r="R179" s="19">
        <v>5.0</v>
      </c>
      <c r="S179" s="18" t="b">
        <v>0</v>
      </c>
      <c r="T179" s="18" t="b">
        <v>0</v>
      </c>
      <c r="U179" s="35">
        <v>5.0</v>
      </c>
      <c r="Y179" s="23"/>
    </row>
    <row r="180">
      <c r="A180" s="16"/>
      <c r="B180" s="16" t="s">
        <v>389</v>
      </c>
      <c r="C180" s="39" t="s">
        <v>45</v>
      </c>
      <c r="D180" s="16" t="s">
        <v>344</v>
      </c>
      <c r="E180" s="17" t="b">
        <f t="shared" ref="E180:K180" si="180">If(IFERROR(SEARCH(E$1, $D180),0) &gt;= 1, true,false)</f>
        <v>1</v>
      </c>
      <c r="F180" s="17" t="b">
        <f t="shared" si="180"/>
        <v>0</v>
      </c>
      <c r="G180" s="17" t="b">
        <f t="shared" si="180"/>
        <v>0</v>
      </c>
      <c r="H180" s="17" t="b">
        <f t="shared" si="180"/>
        <v>0</v>
      </c>
      <c r="I180" s="17" t="b">
        <f t="shared" si="180"/>
        <v>0</v>
      </c>
      <c r="J180" s="17" t="b">
        <f t="shared" si="180"/>
        <v>0</v>
      </c>
      <c r="K180" s="17" t="b">
        <f t="shared" si="180"/>
        <v>0</v>
      </c>
      <c r="L180" s="17"/>
      <c r="M180" s="18" t="b">
        <v>1</v>
      </c>
      <c r="N180" s="18" t="b">
        <v>0</v>
      </c>
      <c r="O180" s="18" t="b">
        <v>0</v>
      </c>
      <c r="P180" s="18" t="b">
        <v>0</v>
      </c>
      <c r="Q180" s="16" t="str">
        <f t="shared" si="3"/>
        <v>Silex’s </v>
      </c>
      <c r="R180" s="19">
        <v>6.0</v>
      </c>
      <c r="S180" s="18" t="b">
        <v>0</v>
      </c>
      <c r="T180" s="18" t="b">
        <v>0</v>
      </c>
      <c r="U180" s="33"/>
      <c r="Y180" s="23"/>
    </row>
    <row r="181">
      <c r="A181" s="16" t="s">
        <v>390</v>
      </c>
      <c r="B181" s="16" t="s">
        <v>391</v>
      </c>
      <c r="C181" s="39" t="s">
        <v>45</v>
      </c>
      <c r="D181" s="16" t="s">
        <v>392</v>
      </c>
      <c r="E181" s="17" t="b">
        <f t="shared" ref="E181:K181" si="181">If(IFERROR(SEARCH(E$1, $D181),0) &gt;= 1, true,false)</f>
        <v>0</v>
      </c>
      <c r="F181" s="17" t="b">
        <f t="shared" si="181"/>
        <v>0</v>
      </c>
      <c r="G181" s="17" t="b">
        <f t="shared" si="181"/>
        <v>1</v>
      </c>
      <c r="H181" s="17" t="b">
        <f t="shared" si="181"/>
        <v>0</v>
      </c>
      <c r="I181" s="17" t="b">
        <f t="shared" si="181"/>
        <v>0</v>
      </c>
      <c r="J181" s="17" t="b">
        <f t="shared" si="181"/>
        <v>1</v>
      </c>
      <c r="K181" s="17" t="b">
        <f t="shared" si="181"/>
        <v>1</v>
      </c>
      <c r="L181" s="17"/>
      <c r="M181" s="18" t="b">
        <v>1</v>
      </c>
      <c r="N181" s="18" t="b">
        <v>0</v>
      </c>
      <c r="O181" s="18" t="b">
        <v>0</v>
      </c>
      <c r="P181" s="18" t="b">
        <v>0</v>
      </c>
      <c r="Q181" s="16" t="str">
        <f t="shared" si="3"/>
        <v>TAMAT | Museum voor Wandtapijten en Textielkunsten van de Federatie Wallonië-Brussel</v>
      </c>
      <c r="R181" s="19">
        <v>7.0</v>
      </c>
      <c r="S181" s="18" t="b">
        <v>0</v>
      </c>
      <c r="T181" s="18" t="b">
        <v>0</v>
      </c>
      <c r="U181" s="32"/>
      <c r="Y181" s="23"/>
    </row>
    <row r="182">
      <c r="A182" s="16"/>
      <c r="B182" s="16" t="s">
        <v>393</v>
      </c>
      <c r="C182" s="39" t="s">
        <v>48</v>
      </c>
      <c r="D182" s="16" t="s">
        <v>4</v>
      </c>
      <c r="E182" s="17" t="b">
        <f t="shared" ref="E182:K182" si="182">If(IFERROR(SEARCH(E$1, $D182),0) &gt;= 1, true,false)</f>
        <v>1</v>
      </c>
      <c r="F182" s="17" t="b">
        <f t="shared" si="182"/>
        <v>0</v>
      </c>
      <c r="G182" s="17" t="b">
        <f t="shared" si="182"/>
        <v>0</v>
      </c>
      <c r="H182" s="17" t="b">
        <f t="shared" si="182"/>
        <v>0</v>
      </c>
      <c r="I182" s="17" t="b">
        <f t="shared" si="182"/>
        <v>0</v>
      </c>
      <c r="J182" s="17" t="b">
        <f t="shared" si="182"/>
        <v>0</v>
      </c>
      <c r="K182" s="17" t="b">
        <f t="shared" si="182"/>
        <v>0</v>
      </c>
      <c r="L182" s="17"/>
      <c r="M182" s="18" t="b">
        <v>0</v>
      </c>
      <c r="N182" s="18" t="b">
        <v>1</v>
      </c>
      <c r="O182" s="18" t="b">
        <v>0</v>
      </c>
      <c r="P182" s="18" t="b">
        <v>0</v>
      </c>
      <c r="Q182" s="16" t="str">
        <f t="shared" si="3"/>
        <v>Bastogne Barracks</v>
      </c>
      <c r="R182" s="19">
        <v>12.0</v>
      </c>
      <c r="S182" s="18" t="b">
        <v>0</v>
      </c>
      <c r="T182" s="18" t="b">
        <v>0</v>
      </c>
      <c r="U182" s="33"/>
      <c r="Y182" s="23"/>
    </row>
    <row r="183">
      <c r="A183" s="16"/>
      <c r="B183" s="16" t="s">
        <v>394</v>
      </c>
      <c r="C183" s="39" t="s">
        <v>48</v>
      </c>
      <c r="D183" s="16" t="s">
        <v>198</v>
      </c>
      <c r="E183" s="17" t="b">
        <f t="shared" ref="E183:K183" si="183">If(IFERROR(SEARCH(E$1, $D183),0) &gt;= 1, true,false)</f>
        <v>1</v>
      </c>
      <c r="F183" s="17" t="b">
        <f t="shared" si="183"/>
        <v>0</v>
      </c>
      <c r="G183" s="17" t="b">
        <f t="shared" si="183"/>
        <v>0</v>
      </c>
      <c r="H183" s="17" t="b">
        <f t="shared" si="183"/>
        <v>0</v>
      </c>
      <c r="I183" s="17" t="b">
        <f t="shared" si="183"/>
        <v>1</v>
      </c>
      <c r="J183" s="17" t="b">
        <f t="shared" si="183"/>
        <v>1</v>
      </c>
      <c r="K183" s="17" t="b">
        <f t="shared" si="183"/>
        <v>0</v>
      </c>
      <c r="L183" s="17"/>
      <c r="M183" s="18" t="b">
        <v>1</v>
      </c>
      <c r="N183" s="18" t="b">
        <v>0</v>
      </c>
      <c r="O183" s="18" t="b">
        <v>0</v>
      </c>
      <c r="P183" s="18" t="b">
        <v>0</v>
      </c>
      <c r="Q183" s="16" t="str">
        <f t="shared" si="3"/>
        <v>DHAM | Durbuy History &amp; Art Museum</v>
      </c>
      <c r="R183" s="19">
        <v>6.0</v>
      </c>
      <c r="S183" s="18" t="b">
        <v>0</v>
      </c>
      <c r="T183" s="18" t="b">
        <v>1</v>
      </c>
      <c r="U183" s="35">
        <v>6.0</v>
      </c>
      <c r="Y183" s="23"/>
    </row>
    <row r="184">
      <c r="A184" s="16"/>
      <c r="B184" s="16" t="s">
        <v>395</v>
      </c>
      <c r="C184" s="39" t="s">
        <v>48</v>
      </c>
      <c r="D184" s="16" t="s">
        <v>396</v>
      </c>
      <c r="E184" s="17" t="b">
        <f t="shared" ref="E184:K184" si="184">If(IFERROR(SEARCH(E$1, $D184),0) &gt;= 1, true,false)</f>
        <v>1</v>
      </c>
      <c r="F184" s="17" t="b">
        <f t="shared" si="184"/>
        <v>0</v>
      </c>
      <c r="G184" s="17" t="b">
        <f t="shared" si="184"/>
        <v>1</v>
      </c>
      <c r="H184" s="17" t="b">
        <f t="shared" si="184"/>
        <v>0</v>
      </c>
      <c r="I184" s="17" t="b">
        <f t="shared" si="184"/>
        <v>1</v>
      </c>
      <c r="J184" s="17" t="b">
        <f t="shared" si="184"/>
        <v>1</v>
      </c>
      <c r="K184" s="17" t="b">
        <f t="shared" si="184"/>
        <v>1</v>
      </c>
      <c r="L184" s="17"/>
      <c r="M184" s="18" t="b">
        <v>1</v>
      </c>
      <c r="N184" s="18" t="b">
        <v>0</v>
      </c>
      <c r="O184" s="18" t="b">
        <v>0</v>
      </c>
      <c r="P184" s="18" t="b">
        <v>0</v>
      </c>
      <c r="Q184" s="16" t="str">
        <f t="shared" si="3"/>
        <v>FAM | Famenne &amp; Art Museum</v>
      </c>
      <c r="R184" s="19">
        <v>5.0</v>
      </c>
      <c r="S184" s="18" t="b">
        <v>0</v>
      </c>
      <c r="T184" s="18" t="b">
        <v>1</v>
      </c>
      <c r="U184" s="31">
        <v>5.0</v>
      </c>
      <c r="Y184" s="23"/>
    </row>
    <row r="185">
      <c r="A185" s="16" t="s">
        <v>397</v>
      </c>
      <c r="B185" s="16" t="s">
        <v>398</v>
      </c>
      <c r="C185" s="39" t="s">
        <v>48</v>
      </c>
      <c r="D185" s="16" t="s">
        <v>344</v>
      </c>
      <c r="E185" s="17" t="b">
        <f t="shared" ref="E185:K185" si="185">If(IFERROR(SEARCH(E$1, $D185),0) &gt;= 1, true,false)</f>
        <v>1</v>
      </c>
      <c r="F185" s="17" t="b">
        <f t="shared" si="185"/>
        <v>0</v>
      </c>
      <c r="G185" s="17" t="b">
        <f t="shared" si="185"/>
        <v>0</v>
      </c>
      <c r="H185" s="17" t="b">
        <f t="shared" si="185"/>
        <v>0</v>
      </c>
      <c r="I185" s="17" t="b">
        <f t="shared" si="185"/>
        <v>0</v>
      </c>
      <c r="J185" s="17" t="b">
        <f t="shared" si="185"/>
        <v>0</v>
      </c>
      <c r="K185" s="17" t="b">
        <f t="shared" si="185"/>
        <v>0</v>
      </c>
      <c r="L185" s="17"/>
      <c r="M185" s="18" t="b">
        <v>1</v>
      </c>
      <c r="N185" s="18" t="b">
        <v>0</v>
      </c>
      <c r="O185" s="18" t="b">
        <v>1</v>
      </c>
      <c r="P185" s="18" t="b">
        <v>1</v>
      </c>
      <c r="Q185" s="16" t="str">
        <f t="shared" si="3"/>
        <v>Megalietenhuis</v>
      </c>
      <c r="R185" s="19">
        <v>4.0</v>
      </c>
      <c r="S185" s="18" t="b">
        <v>0</v>
      </c>
      <c r="T185" s="18" t="b">
        <v>1</v>
      </c>
      <c r="U185" s="35">
        <v>4.0</v>
      </c>
      <c r="Y185" s="23"/>
    </row>
    <row r="186">
      <c r="A186" s="16"/>
      <c r="B186" s="16" t="s">
        <v>399</v>
      </c>
      <c r="C186" s="39" t="s">
        <v>48</v>
      </c>
      <c r="D186" s="16" t="s">
        <v>9</v>
      </c>
      <c r="E186" s="17" t="b">
        <f t="shared" ref="E186:K186" si="186">If(IFERROR(SEARCH(E$1, $D186),0) &gt;= 1, true,false)</f>
        <v>0</v>
      </c>
      <c r="F186" s="17" t="b">
        <f t="shared" si="186"/>
        <v>0</v>
      </c>
      <c r="G186" s="17" t="b">
        <f t="shared" si="186"/>
        <v>0</v>
      </c>
      <c r="H186" s="17" t="b">
        <f t="shared" si="186"/>
        <v>0</v>
      </c>
      <c r="I186" s="17" t="b">
        <f t="shared" si="186"/>
        <v>0</v>
      </c>
      <c r="J186" s="17" t="b">
        <f t="shared" si="186"/>
        <v>1</v>
      </c>
      <c r="K186" s="17" t="b">
        <f t="shared" si="186"/>
        <v>0</v>
      </c>
      <c r="L186" s="17"/>
      <c r="M186" s="18" t="b">
        <v>1</v>
      </c>
      <c r="N186" s="18" t="b">
        <v>0</v>
      </c>
      <c r="O186" s="18" t="b">
        <v>0</v>
      </c>
      <c r="P186" s="18" t="b">
        <v>1</v>
      </c>
      <c r="Q186" s="16" t="str">
        <f t="shared" si="3"/>
        <v>Mudia</v>
      </c>
      <c r="R186" s="19">
        <v>15.5</v>
      </c>
      <c r="S186" s="18" t="b">
        <v>0</v>
      </c>
      <c r="T186" s="18" t="b">
        <v>0</v>
      </c>
      <c r="U186" s="33"/>
      <c r="Y186" s="23"/>
    </row>
    <row r="187">
      <c r="A187" s="16" t="s">
        <v>400</v>
      </c>
      <c r="B187" s="16" t="s">
        <v>401</v>
      </c>
      <c r="C187" s="39" t="s">
        <v>48</v>
      </c>
      <c r="D187" s="16" t="s">
        <v>344</v>
      </c>
      <c r="E187" s="17" t="b">
        <f t="shared" ref="E187:K187" si="187">If(IFERROR(SEARCH(E$1, $D187),0) &gt;= 1, true,false)</f>
        <v>1</v>
      </c>
      <c r="F187" s="17" t="b">
        <f t="shared" si="187"/>
        <v>0</v>
      </c>
      <c r="G187" s="17" t="b">
        <f t="shared" si="187"/>
        <v>0</v>
      </c>
      <c r="H187" s="17" t="b">
        <f t="shared" si="187"/>
        <v>0</v>
      </c>
      <c r="I187" s="17" t="b">
        <f t="shared" si="187"/>
        <v>0</v>
      </c>
      <c r="J187" s="17" t="b">
        <f t="shared" si="187"/>
        <v>0</v>
      </c>
      <c r="K187" s="17" t="b">
        <f t="shared" si="187"/>
        <v>0</v>
      </c>
      <c r="L187" s="17"/>
      <c r="M187" s="18" t="b">
        <v>1</v>
      </c>
      <c r="N187" s="18" t="b">
        <v>0</v>
      </c>
      <c r="O187" s="18" t="b">
        <v>0</v>
      </c>
      <c r="P187" s="18" t="b">
        <v>0</v>
      </c>
      <c r="Q187" s="16" t="str">
        <f t="shared" si="3"/>
        <v>Archeologisch Museum van Aarlen</v>
      </c>
      <c r="R187" s="19">
        <v>6.0</v>
      </c>
      <c r="S187" s="18" t="b">
        <v>0</v>
      </c>
      <c r="T187" s="18" t="b">
        <v>1</v>
      </c>
      <c r="U187" s="31">
        <v>6.0</v>
      </c>
      <c r="Y187" s="23"/>
    </row>
    <row r="188">
      <c r="A188" s="16" t="s">
        <v>402</v>
      </c>
      <c r="B188" s="16" t="s">
        <v>403</v>
      </c>
      <c r="C188" s="39" t="s">
        <v>48</v>
      </c>
      <c r="D188" s="16" t="s">
        <v>198</v>
      </c>
      <c r="E188" s="17" t="b">
        <f t="shared" ref="E188:K188" si="188">If(IFERROR(SEARCH(E$1, $D188),0) &gt;= 1, true,false)</f>
        <v>1</v>
      </c>
      <c r="F188" s="17" t="b">
        <f t="shared" si="188"/>
        <v>0</v>
      </c>
      <c r="G188" s="17" t="b">
        <f t="shared" si="188"/>
        <v>0</v>
      </c>
      <c r="H188" s="17" t="b">
        <f t="shared" si="188"/>
        <v>0</v>
      </c>
      <c r="I188" s="17" t="b">
        <f t="shared" si="188"/>
        <v>1</v>
      </c>
      <c r="J188" s="17" t="b">
        <f t="shared" si="188"/>
        <v>1</v>
      </c>
      <c r="K188" s="17" t="b">
        <f t="shared" si="188"/>
        <v>0</v>
      </c>
      <c r="L188" s="17"/>
      <c r="M188" s="18" t="b">
        <v>1</v>
      </c>
      <c r="N188" s="18" t="b">
        <v>0</v>
      </c>
      <c r="O188" s="18" t="b">
        <v>0</v>
      </c>
      <c r="P188" s="18" t="b">
        <v>0</v>
      </c>
      <c r="Q188" s="16" t="str">
        <f t="shared" si="3"/>
        <v>Gaspar Museum</v>
      </c>
      <c r="R188" s="19">
        <v>6.0</v>
      </c>
      <c r="S188" s="18" t="b">
        <v>0</v>
      </c>
      <c r="T188" s="18" t="b">
        <v>1</v>
      </c>
      <c r="U188" s="35">
        <v>6.0</v>
      </c>
      <c r="Y188" s="23"/>
    </row>
    <row r="189">
      <c r="A189" s="16" t="s">
        <v>404</v>
      </c>
      <c r="B189" s="16" t="s">
        <v>405</v>
      </c>
      <c r="C189" s="39" t="s">
        <v>48</v>
      </c>
      <c r="D189" s="16" t="s">
        <v>195</v>
      </c>
      <c r="E189" s="17" t="b">
        <f t="shared" ref="E189:K189" si="189">If(IFERROR(SEARCH(E$1, $D189),0) &gt;= 1, true,false)</f>
        <v>1</v>
      </c>
      <c r="F189" s="17" t="b">
        <f t="shared" si="189"/>
        <v>1</v>
      </c>
      <c r="G189" s="17" t="b">
        <f t="shared" si="189"/>
        <v>0</v>
      </c>
      <c r="H189" s="17" t="b">
        <f t="shared" si="189"/>
        <v>1</v>
      </c>
      <c r="I189" s="17" t="b">
        <f t="shared" si="189"/>
        <v>1</v>
      </c>
      <c r="J189" s="17" t="b">
        <f t="shared" si="189"/>
        <v>1</v>
      </c>
      <c r="K189" s="17" t="b">
        <f t="shared" si="189"/>
        <v>0</v>
      </c>
      <c r="L189" s="17"/>
      <c r="M189" s="18" t="b">
        <v>1</v>
      </c>
      <c r="N189" s="18" t="b">
        <v>1</v>
      </c>
      <c r="O189" s="18" t="b">
        <v>0</v>
      </c>
      <c r="P189" s="18" t="b">
        <v>1</v>
      </c>
      <c r="Q189" s="16" t="str">
        <f t="shared" si="3"/>
        <v>Het Gaume Museum</v>
      </c>
      <c r="R189" s="19">
        <v>0.0</v>
      </c>
      <c r="S189" s="18" t="b">
        <v>0</v>
      </c>
      <c r="T189" s="18" t="b">
        <v>1</v>
      </c>
      <c r="U189" s="31">
        <v>0.0</v>
      </c>
      <c r="Y189" s="23"/>
    </row>
    <row r="190">
      <c r="A190" s="16" t="s">
        <v>406</v>
      </c>
      <c r="B190" s="16" t="s">
        <v>407</v>
      </c>
      <c r="C190" s="39" t="s">
        <v>48</v>
      </c>
      <c r="D190" s="16" t="s">
        <v>408</v>
      </c>
      <c r="E190" s="17" t="b">
        <f t="shared" ref="E190:K190" si="190">If(IFERROR(SEARCH(E$1, $D190),0) &gt;= 1, true,false)</f>
        <v>1</v>
      </c>
      <c r="F190" s="17" t="b">
        <f t="shared" si="190"/>
        <v>0</v>
      </c>
      <c r="G190" s="17" t="b">
        <f t="shared" si="190"/>
        <v>0</v>
      </c>
      <c r="H190" s="17" t="b">
        <f t="shared" si="190"/>
        <v>1</v>
      </c>
      <c r="I190" s="17" t="b">
        <f t="shared" si="190"/>
        <v>0</v>
      </c>
      <c r="J190" s="17" t="b">
        <f t="shared" si="190"/>
        <v>1</v>
      </c>
      <c r="K190" s="17" t="b">
        <f t="shared" si="190"/>
        <v>0</v>
      </c>
      <c r="L190" s="17"/>
      <c r="M190" s="18" t="b">
        <v>1</v>
      </c>
      <c r="N190" s="18" t="b">
        <v>0</v>
      </c>
      <c r="O190" s="18" t="b">
        <v>1</v>
      </c>
      <c r="P190" s="18" t="b">
        <v>1</v>
      </c>
      <c r="Q190" s="16" t="str">
        <f t="shared" si="3"/>
        <v>Museum van de Grote Ardennen</v>
      </c>
      <c r="R190" s="19">
        <v>9.0</v>
      </c>
      <c r="S190" s="18" t="b">
        <v>0</v>
      </c>
      <c r="T190" s="18" t="b">
        <v>1</v>
      </c>
      <c r="U190" s="35">
        <v>9.0</v>
      </c>
      <c r="Y190" s="23"/>
    </row>
    <row r="191">
      <c r="A191" s="16" t="s">
        <v>409</v>
      </c>
      <c r="B191" s="16" t="s">
        <v>410</v>
      </c>
      <c r="C191" s="17" t="s">
        <v>51</v>
      </c>
      <c r="D191" s="32" t="s">
        <v>248</v>
      </c>
      <c r="E191" s="17" t="b">
        <f t="shared" ref="E191:K191" si="191">If(IFERROR(SEARCH(E$1, $D191),0) &gt;= 1, true,false)</f>
        <v>1</v>
      </c>
      <c r="F191" s="17" t="b">
        <f t="shared" si="191"/>
        <v>0</v>
      </c>
      <c r="G191" s="17" t="b">
        <f t="shared" si="191"/>
        <v>0</v>
      </c>
      <c r="H191" s="17" t="b">
        <f t="shared" si="191"/>
        <v>1</v>
      </c>
      <c r="I191" s="17" t="b">
        <f t="shared" si="191"/>
        <v>1</v>
      </c>
      <c r="J191" s="17" t="b">
        <f t="shared" si="191"/>
        <v>1</v>
      </c>
      <c r="K191" s="17" t="b">
        <f t="shared" si="191"/>
        <v>1</v>
      </c>
      <c r="L191" s="17"/>
      <c r="M191" s="18" t="b">
        <v>0</v>
      </c>
      <c r="N191" s="18" t="b">
        <v>0</v>
      </c>
      <c r="O191" s="18" t="b">
        <v>0</v>
      </c>
      <c r="P191" s="18" t="b">
        <v>0</v>
      </c>
      <c r="Q191" s="16" t="str">
        <f t="shared" si="3"/>
        <v>AMVB | Archief en Museum voor het Vlaams leven te Brussel</v>
      </c>
      <c r="R191" s="19">
        <v>6.0</v>
      </c>
      <c r="S191" s="18" t="b">
        <v>0</v>
      </c>
      <c r="T191" s="18" t="b">
        <v>1</v>
      </c>
      <c r="U191" s="31">
        <v>0.0</v>
      </c>
      <c r="Y191" s="23"/>
    </row>
    <row r="192">
      <c r="A192" s="16"/>
      <c r="B192" s="16" t="s">
        <v>411</v>
      </c>
      <c r="C192" s="17" t="s">
        <v>51</v>
      </c>
      <c r="D192" s="16" t="s">
        <v>9</v>
      </c>
      <c r="E192" s="17" t="b">
        <f t="shared" ref="E192:K192" si="192">If(IFERROR(SEARCH(E$1, $D192),0) &gt;= 1, true,false)</f>
        <v>0</v>
      </c>
      <c r="F192" s="17" t="b">
        <f t="shared" si="192"/>
        <v>0</v>
      </c>
      <c r="G192" s="17" t="b">
        <f t="shared" si="192"/>
        <v>0</v>
      </c>
      <c r="H192" s="17" t="b">
        <f t="shared" si="192"/>
        <v>0</v>
      </c>
      <c r="I192" s="17" t="b">
        <f t="shared" si="192"/>
        <v>0</v>
      </c>
      <c r="J192" s="17" t="b">
        <f t="shared" si="192"/>
        <v>1</v>
      </c>
      <c r="K192" s="17" t="b">
        <f t="shared" si="192"/>
        <v>0</v>
      </c>
      <c r="L192" s="17"/>
      <c r="M192" s="18" t="b">
        <v>1</v>
      </c>
      <c r="N192" s="18" t="b">
        <v>1</v>
      </c>
      <c r="O192" s="18" t="b">
        <v>0</v>
      </c>
      <c r="P192" s="18" t="b">
        <v>0</v>
      </c>
      <c r="Q192" s="16" t="str">
        <f t="shared" si="3"/>
        <v>ARGOS | centre for audiovisual arts</v>
      </c>
      <c r="R192" s="19">
        <v>10.0</v>
      </c>
      <c r="S192" s="18" t="b">
        <v>0</v>
      </c>
      <c r="T192" s="18" t="b">
        <v>1</v>
      </c>
      <c r="U192" s="31">
        <v>10.0</v>
      </c>
      <c r="Y192" s="23"/>
    </row>
    <row r="193">
      <c r="A193" s="16"/>
      <c r="B193" s="16" t="s">
        <v>412</v>
      </c>
      <c r="C193" s="17" t="s">
        <v>51</v>
      </c>
      <c r="D193" s="16" t="s">
        <v>180</v>
      </c>
      <c r="E193" s="17" t="b">
        <f t="shared" ref="E193:K193" si="193">If(IFERROR(SEARCH(E$1, $D193),0) &gt;= 1, true,false)</f>
        <v>0</v>
      </c>
      <c r="F193" s="17" t="b">
        <f t="shared" si="193"/>
        <v>0</v>
      </c>
      <c r="G193" s="17" t="b">
        <f t="shared" si="193"/>
        <v>0</v>
      </c>
      <c r="H193" s="17" t="b">
        <f t="shared" si="193"/>
        <v>0</v>
      </c>
      <c r="I193" s="17" t="b">
        <f t="shared" si="193"/>
        <v>0</v>
      </c>
      <c r="J193" s="17" t="b">
        <f t="shared" si="193"/>
        <v>1</v>
      </c>
      <c r="K193" s="17" t="b">
        <f t="shared" si="193"/>
        <v>1</v>
      </c>
      <c r="L193" s="17"/>
      <c r="M193" s="18" t="b">
        <v>0</v>
      </c>
      <c r="N193" s="18" t="b">
        <v>0</v>
      </c>
      <c r="O193" s="18" t="b">
        <v>0</v>
      </c>
      <c r="P193" s="18" t="b">
        <v>0</v>
      </c>
      <c r="Q193" s="16" t="str">
        <f t="shared" si="3"/>
        <v>Art et marges musée museum</v>
      </c>
      <c r="R193" s="19">
        <v>6.0</v>
      </c>
      <c r="S193" s="18" t="b">
        <v>0</v>
      </c>
      <c r="T193" s="18" t="b">
        <v>1</v>
      </c>
      <c r="U193" s="31">
        <v>6.0</v>
      </c>
      <c r="Y193" s="23"/>
    </row>
    <row r="194">
      <c r="A194" s="16" t="s">
        <v>413</v>
      </c>
      <c r="B194" s="16"/>
      <c r="C194" s="17" t="s">
        <v>51</v>
      </c>
      <c r="D194" s="16" t="s">
        <v>5</v>
      </c>
      <c r="E194" s="17" t="b">
        <f t="shared" ref="E194:K194" si="194">If(IFERROR(SEARCH(E$1, $D194),0) &gt;= 1, true,false)</f>
        <v>0</v>
      </c>
      <c r="F194" s="17" t="b">
        <f t="shared" si="194"/>
        <v>1</v>
      </c>
      <c r="G194" s="17" t="b">
        <f t="shared" si="194"/>
        <v>0</v>
      </c>
      <c r="H194" s="17" t="b">
        <f t="shared" si="194"/>
        <v>0</v>
      </c>
      <c r="I194" s="17" t="b">
        <f t="shared" si="194"/>
        <v>0</v>
      </c>
      <c r="J194" s="17" t="b">
        <f t="shared" si="194"/>
        <v>0</v>
      </c>
      <c r="K194" s="17" t="b">
        <f t="shared" si="194"/>
        <v>0</v>
      </c>
      <c r="L194" s="17"/>
      <c r="M194" s="18" t="b">
        <v>1</v>
      </c>
      <c r="N194" s="18" t="b">
        <v>1</v>
      </c>
      <c r="O194" s="18" t="b">
        <v>1</v>
      </c>
      <c r="P194" s="18" t="b">
        <v>1</v>
      </c>
      <c r="Q194" s="16" t="str">
        <f t="shared" si="3"/>
        <v>Autoworld Brussels</v>
      </c>
      <c r="R194" s="19">
        <v>15.0</v>
      </c>
      <c r="S194" s="18" t="b">
        <v>0</v>
      </c>
      <c r="T194" s="18" t="b">
        <v>1</v>
      </c>
      <c r="U194" s="35">
        <v>16.0</v>
      </c>
      <c r="Y194" s="23"/>
    </row>
    <row r="195">
      <c r="A195" s="16"/>
      <c r="B195" s="16" t="s">
        <v>414</v>
      </c>
      <c r="C195" s="17" t="s">
        <v>51</v>
      </c>
      <c r="D195" s="16" t="s">
        <v>9</v>
      </c>
      <c r="E195" s="17" t="b">
        <f t="shared" ref="E195:K195" si="195">If(IFERROR(SEARCH(E$1, $D195),0) &gt;= 1, true,false)</f>
        <v>0</v>
      </c>
      <c r="F195" s="17" t="b">
        <f t="shared" si="195"/>
        <v>0</v>
      </c>
      <c r="G195" s="17" t="b">
        <f t="shared" si="195"/>
        <v>0</v>
      </c>
      <c r="H195" s="17" t="b">
        <f t="shared" si="195"/>
        <v>0</v>
      </c>
      <c r="I195" s="17" t="b">
        <f t="shared" si="195"/>
        <v>0</v>
      </c>
      <c r="J195" s="17" t="b">
        <f t="shared" si="195"/>
        <v>1</v>
      </c>
      <c r="K195" s="17" t="b">
        <f t="shared" si="195"/>
        <v>0</v>
      </c>
      <c r="L195" s="17"/>
      <c r="M195" s="18" t="b">
        <v>0</v>
      </c>
      <c r="N195" s="18" t="b">
        <v>1</v>
      </c>
      <c r="O195" s="18" t="b">
        <v>0</v>
      </c>
      <c r="P195" s="18" t="b">
        <v>1</v>
      </c>
      <c r="Q195" s="16" t="str">
        <f t="shared" si="3"/>
        <v>Botanique</v>
      </c>
      <c r="R195" s="19">
        <v>0.0</v>
      </c>
      <c r="S195" s="18" t="b">
        <v>0</v>
      </c>
      <c r="T195" s="18" t="b">
        <v>0</v>
      </c>
      <c r="U195" s="32"/>
      <c r="Y195" s="23"/>
    </row>
    <row r="196">
      <c r="A196" s="16" t="s">
        <v>415</v>
      </c>
      <c r="B196" s="16" t="s">
        <v>416</v>
      </c>
      <c r="C196" s="17" t="s">
        <v>51</v>
      </c>
      <c r="D196" s="16" t="s">
        <v>417</v>
      </c>
      <c r="E196" s="17" t="b">
        <f t="shared" ref="E196:K196" si="196">If(IFERROR(SEARCH(E$1, $D196),0) &gt;= 1, true,false)</f>
        <v>1</v>
      </c>
      <c r="F196" s="17" t="b">
        <f t="shared" si="196"/>
        <v>1</v>
      </c>
      <c r="G196" s="17" t="b">
        <f t="shared" si="196"/>
        <v>1</v>
      </c>
      <c r="H196" s="17" t="b">
        <f t="shared" si="196"/>
        <v>0</v>
      </c>
      <c r="I196" s="17" t="b">
        <f t="shared" si="196"/>
        <v>1</v>
      </c>
      <c r="J196" s="17" t="b">
        <f t="shared" si="196"/>
        <v>1</v>
      </c>
      <c r="K196" s="17" t="b">
        <f t="shared" si="196"/>
        <v>1</v>
      </c>
      <c r="L196" s="17"/>
      <c r="M196" s="18" t="b">
        <v>1</v>
      </c>
      <c r="N196" s="18" t="b">
        <v>1</v>
      </c>
      <c r="O196" s="18" t="b">
        <v>0</v>
      </c>
      <c r="P196" s="18" t="b">
        <v>1</v>
      </c>
      <c r="Q196" s="16" t="str">
        <f t="shared" si="3"/>
        <v>Paleis voor Schone Kunsten</v>
      </c>
      <c r="R196" s="19">
        <v>8.0</v>
      </c>
      <c r="S196" s="18" t="b">
        <v>0</v>
      </c>
      <c r="T196" s="18" t="b">
        <v>1</v>
      </c>
      <c r="U196" s="30">
        <v>6.0</v>
      </c>
      <c r="Y196" s="23"/>
    </row>
    <row r="197">
      <c r="A197" s="16"/>
      <c r="B197" s="16" t="s">
        <v>418</v>
      </c>
      <c r="C197" s="17" t="s">
        <v>51</v>
      </c>
      <c r="D197" s="16" t="s">
        <v>9</v>
      </c>
      <c r="E197" s="17" t="b">
        <f t="shared" ref="E197:K197" si="197">If(IFERROR(SEARCH(E$1, $D197),0) &gt;= 1, true,false)</f>
        <v>0</v>
      </c>
      <c r="F197" s="17" t="b">
        <f t="shared" si="197"/>
        <v>0</v>
      </c>
      <c r="G197" s="17" t="b">
        <f t="shared" si="197"/>
        <v>0</v>
      </c>
      <c r="H197" s="17" t="b">
        <f t="shared" si="197"/>
        <v>0</v>
      </c>
      <c r="I197" s="17" t="b">
        <f t="shared" si="197"/>
        <v>0</v>
      </c>
      <c r="J197" s="17" t="b">
        <f t="shared" si="197"/>
        <v>1</v>
      </c>
      <c r="K197" s="17" t="b">
        <f t="shared" si="197"/>
        <v>0</v>
      </c>
      <c r="L197" s="17"/>
      <c r="M197" s="18" t="b">
        <v>1</v>
      </c>
      <c r="N197" s="18" t="b">
        <v>0</v>
      </c>
      <c r="O197" s="18" t="b">
        <v>0</v>
      </c>
      <c r="P197" s="18" t="b">
        <v>0</v>
      </c>
      <c r="Q197" s="16" t="str">
        <f t="shared" si="3"/>
        <v>CENTRALE for contemporary art</v>
      </c>
      <c r="R197" s="19">
        <v>10.0</v>
      </c>
      <c r="S197" s="18" t="b">
        <v>0</v>
      </c>
      <c r="T197" s="18" t="b">
        <v>1</v>
      </c>
      <c r="U197" s="31">
        <v>10.0</v>
      </c>
      <c r="Y197" s="23"/>
    </row>
    <row r="198">
      <c r="A198" s="16" t="s">
        <v>419</v>
      </c>
      <c r="B198" s="16"/>
      <c r="C198" s="17" t="s">
        <v>51</v>
      </c>
      <c r="D198" s="16" t="s">
        <v>8</v>
      </c>
      <c r="E198" s="17" t="b">
        <f t="shared" ref="E198:K198" si="198">If(IFERROR(SEARCH(E$1, $D198),0) &gt;= 1, true,false)</f>
        <v>0</v>
      </c>
      <c r="F198" s="17" t="b">
        <f t="shared" si="198"/>
        <v>0</v>
      </c>
      <c r="G198" s="17" t="b">
        <f t="shared" si="198"/>
        <v>0</v>
      </c>
      <c r="H198" s="17" t="b">
        <f t="shared" si="198"/>
        <v>0</v>
      </c>
      <c r="I198" s="17" t="b">
        <f t="shared" si="198"/>
        <v>1</v>
      </c>
      <c r="J198" s="17" t="b">
        <f t="shared" si="198"/>
        <v>0</v>
      </c>
      <c r="K198" s="17" t="b">
        <f t="shared" si="198"/>
        <v>0</v>
      </c>
      <c r="L198" s="17"/>
      <c r="M198" s="18" t="b">
        <v>1</v>
      </c>
      <c r="N198" s="18" t="b">
        <v>0</v>
      </c>
      <c r="O198" s="18" t="b">
        <v>0</v>
      </c>
      <c r="P198" s="18" t="b">
        <v>0</v>
      </c>
      <c r="Q198" s="16" t="str">
        <f t="shared" si="3"/>
        <v>CIVA</v>
      </c>
      <c r="R198" s="19">
        <v>10.0</v>
      </c>
      <c r="S198" s="18" t="b">
        <v>0</v>
      </c>
      <c r="T198" s="18" t="b">
        <v>0</v>
      </c>
      <c r="U198" s="33"/>
      <c r="Y198" s="23"/>
    </row>
    <row r="199">
      <c r="A199" s="16" t="s">
        <v>420</v>
      </c>
      <c r="B199" s="16"/>
      <c r="C199" s="17" t="s">
        <v>51</v>
      </c>
      <c r="D199" s="16" t="s">
        <v>10</v>
      </c>
      <c r="E199" s="17" t="b">
        <f t="shared" ref="E199:K199" si="199">If(IFERROR(SEARCH(E$1, $D199),0) &gt;= 1, true,false)</f>
        <v>0</v>
      </c>
      <c r="F199" s="17" t="b">
        <f t="shared" si="199"/>
        <v>0</v>
      </c>
      <c r="G199" s="17" t="b">
        <f t="shared" si="199"/>
        <v>0</v>
      </c>
      <c r="H199" s="17" t="b">
        <f t="shared" si="199"/>
        <v>0</v>
      </c>
      <c r="I199" s="17" t="b">
        <f t="shared" si="199"/>
        <v>0</v>
      </c>
      <c r="J199" s="17" t="b">
        <f t="shared" si="199"/>
        <v>0</v>
      </c>
      <c r="K199" s="17" t="b">
        <f t="shared" si="199"/>
        <v>1</v>
      </c>
      <c r="L199" s="17"/>
      <c r="M199" s="18" t="b">
        <v>1</v>
      </c>
      <c r="N199" s="18" t="b">
        <v>0</v>
      </c>
      <c r="O199" s="18" t="b">
        <v>1</v>
      </c>
      <c r="P199" s="18" t="b">
        <v>1</v>
      </c>
      <c r="Q199" s="16" t="str">
        <f t="shared" si="3"/>
        <v>Design Museum Brussels</v>
      </c>
      <c r="R199" s="19">
        <v>10.0</v>
      </c>
      <c r="S199" s="20" t="b">
        <v>0</v>
      </c>
      <c r="T199" s="18" t="b">
        <v>1</v>
      </c>
      <c r="U199" s="30">
        <v>8.0</v>
      </c>
      <c r="Y199" s="23"/>
    </row>
    <row r="200">
      <c r="A200" s="16"/>
      <c r="B200" s="16" t="s">
        <v>421</v>
      </c>
      <c r="C200" s="17" t="s">
        <v>51</v>
      </c>
      <c r="D200" s="16" t="s">
        <v>9</v>
      </c>
      <c r="E200" s="17" t="b">
        <f t="shared" ref="E200:K200" si="200">If(IFERROR(SEARCH(E$1, $D200),0) &gt;= 1, true,false)</f>
        <v>0</v>
      </c>
      <c r="F200" s="17" t="b">
        <f t="shared" si="200"/>
        <v>0</v>
      </c>
      <c r="G200" s="17" t="b">
        <f t="shared" si="200"/>
        <v>0</v>
      </c>
      <c r="H200" s="17" t="b">
        <f t="shared" si="200"/>
        <v>0</v>
      </c>
      <c r="I200" s="17" t="b">
        <f t="shared" si="200"/>
        <v>0</v>
      </c>
      <c r="J200" s="17" t="b">
        <f t="shared" si="200"/>
        <v>1</v>
      </c>
      <c r="K200" s="17" t="b">
        <f t="shared" si="200"/>
        <v>0</v>
      </c>
      <c r="L200" s="17"/>
      <c r="M200" s="18" t="b">
        <v>1</v>
      </c>
      <c r="N200" s="18" t="b">
        <v>0</v>
      </c>
      <c r="O200" s="18" t="b">
        <v>0</v>
      </c>
      <c r="P200" s="18" t="b">
        <v>0</v>
      </c>
      <c r="Q200" s="16" t="str">
        <f t="shared" si="3"/>
        <v>Fondation A Stichting</v>
      </c>
      <c r="R200" s="19">
        <v>7.0</v>
      </c>
      <c r="S200" s="20" t="b">
        <v>0</v>
      </c>
      <c r="T200" s="18" t="b">
        <v>0</v>
      </c>
      <c r="U200" s="21"/>
      <c r="Y200" s="23"/>
    </row>
    <row r="201">
      <c r="A201" s="16" t="s">
        <v>422</v>
      </c>
      <c r="B201" s="16" t="s">
        <v>423</v>
      </c>
      <c r="C201" s="17" t="s">
        <v>51</v>
      </c>
      <c r="D201" s="16" t="s">
        <v>9</v>
      </c>
      <c r="E201" s="17" t="b">
        <f t="shared" ref="E201:K201" si="201">If(IFERROR(SEARCH(E$1, $D201),0) &gt;= 1, true,false)</f>
        <v>0</v>
      </c>
      <c r="F201" s="17" t="b">
        <f t="shared" si="201"/>
        <v>0</v>
      </c>
      <c r="G201" s="17" t="b">
        <f t="shared" si="201"/>
        <v>0</v>
      </c>
      <c r="H201" s="17" t="b">
        <f t="shared" si="201"/>
        <v>0</v>
      </c>
      <c r="I201" s="17" t="b">
        <f t="shared" si="201"/>
        <v>0</v>
      </c>
      <c r="J201" s="17" t="b">
        <f t="shared" si="201"/>
        <v>1</v>
      </c>
      <c r="K201" s="17" t="b">
        <f t="shared" si="201"/>
        <v>0</v>
      </c>
      <c r="L201" s="17"/>
      <c r="M201" s="18" t="b">
        <v>1</v>
      </c>
      <c r="N201" s="18" t="b">
        <v>1</v>
      </c>
      <c r="O201" s="18" t="b">
        <v>0</v>
      </c>
      <c r="P201" s="18" t="b">
        <v>0</v>
      </c>
      <c r="Q201" s="16" t="str">
        <f t="shared" si="3"/>
        <v>Villa Empain - Stichting Boghossian</v>
      </c>
      <c r="R201" s="19">
        <v>12.0</v>
      </c>
      <c r="S201" s="20" t="b">
        <v>0</v>
      </c>
      <c r="T201" s="18" t="b">
        <v>1</v>
      </c>
      <c r="U201" s="29">
        <v>12.0</v>
      </c>
      <c r="Y201" s="23"/>
    </row>
    <row r="202">
      <c r="A202" s="16" t="s">
        <v>424</v>
      </c>
      <c r="B202" s="16" t="s">
        <v>425</v>
      </c>
      <c r="C202" s="17" t="s">
        <v>51</v>
      </c>
      <c r="D202" s="16" t="s">
        <v>344</v>
      </c>
      <c r="E202" s="17" t="b">
        <f t="shared" ref="E202:K202" si="202">If(IFERROR(SEARCH(E$1, $D202),0) &gt;= 1, true,false)</f>
        <v>1</v>
      </c>
      <c r="F202" s="17" t="b">
        <f t="shared" si="202"/>
        <v>0</v>
      </c>
      <c r="G202" s="17" t="b">
        <f t="shared" si="202"/>
        <v>0</v>
      </c>
      <c r="H202" s="17" t="b">
        <f t="shared" si="202"/>
        <v>0</v>
      </c>
      <c r="I202" s="17" t="b">
        <f t="shared" si="202"/>
        <v>0</v>
      </c>
      <c r="J202" s="17" t="b">
        <f t="shared" si="202"/>
        <v>0</v>
      </c>
      <c r="K202" s="17" t="b">
        <f t="shared" si="202"/>
        <v>0</v>
      </c>
      <c r="L202" s="17"/>
      <c r="M202" s="18" t="b">
        <v>1</v>
      </c>
      <c r="N202" s="18" t="b">
        <v>0</v>
      </c>
      <c r="O202" s="18" t="b">
        <v>0</v>
      </c>
      <c r="P202" s="18" t="b">
        <v>0</v>
      </c>
      <c r="Q202" s="16" t="str">
        <f t="shared" si="3"/>
        <v>Brel Stichting</v>
      </c>
      <c r="R202" s="19">
        <v>14.0</v>
      </c>
      <c r="S202" s="20" t="b">
        <v>0</v>
      </c>
      <c r="T202" s="18" t="b">
        <v>0</v>
      </c>
      <c r="U202" s="16"/>
      <c r="Y202" s="23"/>
    </row>
    <row r="203">
      <c r="A203" s="16"/>
      <c r="B203" s="16" t="s">
        <v>426</v>
      </c>
      <c r="C203" s="17" t="s">
        <v>51</v>
      </c>
      <c r="D203" s="16" t="s">
        <v>10</v>
      </c>
      <c r="E203" s="17" t="b">
        <f t="shared" ref="E203:K203" si="203">If(IFERROR(SEARCH(E$1, $D203),0) &gt;= 1, true,false)</f>
        <v>0</v>
      </c>
      <c r="F203" s="17" t="b">
        <f t="shared" si="203"/>
        <v>0</v>
      </c>
      <c r="G203" s="17" t="b">
        <f t="shared" si="203"/>
        <v>0</v>
      </c>
      <c r="H203" s="17" t="b">
        <f t="shared" si="203"/>
        <v>0</v>
      </c>
      <c r="I203" s="17" t="b">
        <f t="shared" si="203"/>
        <v>0</v>
      </c>
      <c r="J203" s="17" t="b">
        <f t="shared" si="203"/>
        <v>0</v>
      </c>
      <c r="K203" s="17" t="b">
        <f t="shared" si="203"/>
        <v>1</v>
      </c>
      <c r="L203" s="17"/>
      <c r="M203" s="18" t="b">
        <v>1</v>
      </c>
      <c r="N203" s="18" t="b">
        <v>0</v>
      </c>
      <c r="O203" s="18" t="b">
        <v>0</v>
      </c>
      <c r="P203" s="18" t="b">
        <v>0</v>
      </c>
      <c r="Q203" s="16" t="str">
        <f t="shared" si="3"/>
        <v>Fondation CAB</v>
      </c>
      <c r="R203" s="19">
        <v>6.0</v>
      </c>
      <c r="S203" s="20" t="b">
        <v>0</v>
      </c>
      <c r="T203" s="18" t="b">
        <v>0</v>
      </c>
      <c r="U203" s="16"/>
      <c r="Y203" s="23"/>
    </row>
    <row r="204">
      <c r="A204" s="16" t="s">
        <v>427</v>
      </c>
      <c r="B204" s="16"/>
      <c r="C204" s="17" t="s">
        <v>51</v>
      </c>
      <c r="D204" s="16" t="s">
        <v>428</v>
      </c>
      <c r="E204" s="17" t="b">
        <f t="shared" ref="E204:K204" si="204">If(IFERROR(SEARCH(E$1, $D204),0) &gt;= 1, true,false)</f>
        <v>1</v>
      </c>
      <c r="F204" s="17" t="b">
        <f t="shared" si="204"/>
        <v>0</v>
      </c>
      <c r="G204" s="17" t="b">
        <f t="shared" si="204"/>
        <v>1</v>
      </c>
      <c r="H204" s="17" t="b">
        <f t="shared" si="204"/>
        <v>0</v>
      </c>
      <c r="I204" s="17" t="b">
        <f t="shared" si="204"/>
        <v>0</v>
      </c>
      <c r="J204" s="17" t="b">
        <f t="shared" si="204"/>
        <v>1</v>
      </c>
      <c r="K204" s="17" t="b">
        <f t="shared" si="204"/>
        <v>0</v>
      </c>
      <c r="L204" s="17"/>
      <c r="M204" s="18" t="b">
        <v>1</v>
      </c>
      <c r="N204" s="18" t="b">
        <v>0</v>
      </c>
      <c r="O204" s="18" t="b">
        <v>0</v>
      </c>
      <c r="P204" s="18" t="b">
        <v>0</v>
      </c>
      <c r="Q204" s="16" t="str">
        <f t="shared" si="3"/>
        <v>GardeRobe MannekenPis</v>
      </c>
      <c r="R204" s="19">
        <v>5.0</v>
      </c>
      <c r="S204" s="20" t="b">
        <v>0</v>
      </c>
      <c r="T204" s="18" t="b">
        <v>1</v>
      </c>
      <c r="U204" s="30">
        <v>0.0</v>
      </c>
      <c r="Y204" s="23"/>
    </row>
    <row r="205">
      <c r="A205" s="16" t="s">
        <v>429</v>
      </c>
      <c r="B205" s="16"/>
      <c r="C205" s="17" t="s">
        <v>51</v>
      </c>
      <c r="D205" s="16" t="s">
        <v>430</v>
      </c>
      <c r="E205" s="17" t="b">
        <f t="shared" ref="E205:K205" si="205">If(IFERROR(SEARCH(E$1, $D205),0) &gt;= 1, true,false)</f>
        <v>0</v>
      </c>
      <c r="F205" s="17" t="b">
        <f t="shared" si="205"/>
        <v>1</v>
      </c>
      <c r="G205" s="17" t="b">
        <f t="shared" si="205"/>
        <v>0</v>
      </c>
      <c r="H205" s="17" t="b">
        <f t="shared" si="205"/>
        <v>0</v>
      </c>
      <c r="I205" s="17" t="b">
        <f t="shared" si="205"/>
        <v>0</v>
      </c>
      <c r="J205" s="17" t="b">
        <f t="shared" si="205"/>
        <v>1</v>
      </c>
      <c r="K205" s="17" t="b">
        <f t="shared" si="205"/>
        <v>1</v>
      </c>
      <c r="L205" s="17"/>
      <c r="M205" s="18" t="b">
        <v>0</v>
      </c>
      <c r="N205" s="18" t="b">
        <v>1</v>
      </c>
      <c r="O205" s="18" t="b">
        <v>0</v>
      </c>
      <c r="P205" s="18" t="b">
        <v>0</v>
      </c>
      <c r="Q205" s="16" t="str">
        <f t="shared" si="3"/>
        <v>iMAL</v>
      </c>
      <c r="R205" s="26">
        <v>10.0</v>
      </c>
      <c r="S205" s="18" t="b">
        <v>0</v>
      </c>
      <c r="T205" s="18" t="b">
        <v>1</v>
      </c>
      <c r="U205" s="27">
        <v>0.0</v>
      </c>
      <c r="Y205" s="23"/>
    </row>
    <row r="206">
      <c r="A206" s="16"/>
      <c r="B206" s="16" t="s">
        <v>431</v>
      </c>
      <c r="C206" s="17" t="s">
        <v>51</v>
      </c>
      <c r="D206" s="16" t="s">
        <v>432</v>
      </c>
      <c r="E206" s="17" t="b">
        <f t="shared" ref="E206:K206" si="206">If(IFERROR(SEARCH(E$1, $D206),0) &gt;= 1, true,false)</f>
        <v>0</v>
      </c>
      <c r="F206" s="17" t="b">
        <f t="shared" si="206"/>
        <v>0</v>
      </c>
      <c r="G206" s="17" t="b">
        <f t="shared" si="206"/>
        <v>0</v>
      </c>
      <c r="H206" s="17" t="b">
        <f t="shared" si="206"/>
        <v>0</v>
      </c>
      <c r="I206" s="17" t="b">
        <f t="shared" si="206"/>
        <v>1</v>
      </c>
      <c r="J206" s="17" t="b">
        <f t="shared" si="206"/>
        <v>1</v>
      </c>
      <c r="K206" s="17" t="b">
        <f t="shared" si="206"/>
        <v>0</v>
      </c>
      <c r="L206" s="17"/>
      <c r="M206" s="18" t="b">
        <v>1</v>
      </c>
      <c r="N206" s="18" t="b">
        <v>1</v>
      </c>
      <c r="O206" s="18" t="b">
        <v>0</v>
      </c>
      <c r="P206" s="18" t="b">
        <v>1</v>
      </c>
      <c r="Q206" s="16" t="str">
        <f t="shared" si="3"/>
        <v>KANAL | Centre Pompidou</v>
      </c>
      <c r="R206" s="26">
        <v>0.0</v>
      </c>
      <c r="S206" s="18" t="b">
        <v>1</v>
      </c>
      <c r="T206" s="18" t="b">
        <v>0</v>
      </c>
      <c r="Y206" s="23"/>
    </row>
    <row r="207">
      <c r="A207" s="16" t="s">
        <v>433</v>
      </c>
      <c r="B207" s="16"/>
      <c r="C207" s="17" t="s">
        <v>51</v>
      </c>
      <c r="D207" s="16" t="s">
        <v>434</v>
      </c>
      <c r="E207" s="17" t="b">
        <f t="shared" ref="E207:K207" si="207">If(IFERROR(SEARCH(E$1, $D207),0) &gt;= 1, true,false)</f>
        <v>1</v>
      </c>
      <c r="F207" s="17" t="b">
        <f t="shared" si="207"/>
        <v>0</v>
      </c>
      <c r="G207" s="17" t="b">
        <f t="shared" si="207"/>
        <v>0</v>
      </c>
      <c r="H207" s="17" t="b">
        <f t="shared" si="207"/>
        <v>1</v>
      </c>
      <c r="I207" s="17" t="b">
        <f t="shared" si="207"/>
        <v>0</v>
      </c>
      <c r="J207" s="17" t="b">
        <f t="shared" si="207"/>
        <v>1</v>
      </c>
      <c r="K207" s="17" t="b">
        <f t="shared" si="207"/>
        <v>0</v>
      </c>
      <c r="L207" s="17"/>
      <c r="M207" s="18" t="b">
        <v>1</v>
      </c>
      <c r="N207" s="18" t="b">
        <v>1</v>
      </c>
      <c r="O207" s="18" t="b">
        <v>0</v>
      </c>
      <c r="P207" s="18" t="b">
        <v>1</v>
      </c>
      <c r="Q207" s="16" t="str">
        <f t="shared" si="3"/>
        <v>KBR museum</v>
      </c>
      <c r="R207" s="19">
        <v>11.0</v>
      </c>
      <c r="S207" s="18" t="b">
        <v>0</v>
      </c>
      <c r="T207" s="18" t="b">
        <v>0</v>
      </c>
      <c r="Y207" s="23"/>
    </row>
    <row r="208">
      <c r="A208" s="16" t="s">
        <v>435</v>
      </c>
      <c r="B208" s="16" t="s">
        <v>436</v>
      </c>
      <c r="C208" s="17" t="s">
        <v>51</v>
      </c>
      <c r="D208" s="16" t="s">
        <v>437</v>
      </c>
      <c r="E208" s="17" t="b">
        <f t="shared" ref="E208:K208" si="208">If(IFERROR(SEARCH(E$1, $D208),0) &gt;= 1, true,false)</f>
        <v>1</v>
      </c>
      <c r="F208" s="17" t="b">
        <f t="shared" si="208"/>
        <v>0</v>
      </c>
      <c r="G208" s="17" t="b">
        <f t="shared" si="208"/>
        <v>0</v>
      </c>
      <c r="H208" s="17" t="b">
        <f t="shared" si="208"/>
        <v>0</v>
      </c>
      <c r="I208" s="17" t="b">
        <f t="shared" si="208"/>
        <v>1</v>
      </c>
      <c r="J208" s="17" t="b">
        <f t="shared" si="208"/>
        <v>0</v>
      </c>
      <c r="K208" s="17" t="b">
        <f t="shared" si="208"/>
        <v>1</v>
      </c>
      <c r="L208" s="17"/>
      <c r="M208" s="18" t="b">
        <v>1</v>
      </c>
      <c r="N208" s="18" t="b">
        <v>0</v>
      </c>
      <c r="O208" s="18" t="b">
        <v>0</v>
      </c>
      <c r="P208" s="18" t="b">
        <v>0</v>
      </c>
      <c r="Q208" s="16" t="str">
        <f t="shared" si="3"/>
        <v>LAB·AN x Hotel van Eetvelde</v>
      </c>
      <c r="R208" s="19">
        <v>12.0</v>
      </c>
      <c r="S208" s="18" t="b">
        <v>0</v>
      </c>
      <c r="T208" s="18" t="b">
        <v>0</v>
      </c>
      <c r="Y208" s="23"/>
    </row>
    <row r="209">
      <c r="A209" s="16" t="s">
        <v>438</v>
      </c>
      <c r="B209" s="16" t="s">
        <v>439</v>
      </c>
      <c r="C209" s="17" t="s">
        <v>51</v>
      </c>
      <c r="D209" s="16" t="s">
        <v>4</v>
      </c>
      <c r="E209" s="17" t="b">
        <f t="shared" ref="E209:K209" si="209">If(IFERROR(SEARCH(E$1, $D209),0) &gt;= 1, true,false)</f>
        <v>1</v>
      </c>
      <c r="F209" s="17" t="b">
        <f t="shared" si="209"/>
        <v>0</v>
      </c>
      <c r="G209" s="17" t="b">
        <f t="shared" si="209"/>
        <v>0</v>
      </c>
      <c r="H209" s="17" t="b">
        <f t="shared" si="209"/>
        <v>0</v>
      </c>
      <c r="I209" s="17" t="b">
        <f t="shared" si="209"/>
        <v>0</v>
      </c>
      <c r="J209" s="17" t="b">
        <f t="shared" si="209"/>
        <v>0</v>
      </c>
      <c r="K209" s="17" t="b">
        <f t="shared" si="209"/>
        <v>0</v>
      </c>
      <c r="L209" s="17"/>
      <c r="M209" s="18" t="b">
        <v>0</v>
      </c>
      <c r="N209" s="18" t="b">
        <v>1</v>
      </c>
      <c r="O209" s="18" t="b">
        <v>0</v>
      </c>
      <c r="P209" s="18" t="b">
        <v>0</v>
      </c>
      <c r="Q209" s="16" t="str">
        <f t="shared" si="3"/>
        <v>Brussels Museum voor Arbeid en Industrie</v>
      </c>
      <c r="R209" s="19">
        <v>8.0</v>
      </c>
      <c r="S209" s="18" t="b">
        <v>0</v>
      </c>
      <c r="T209" s="18" t="b">
        <v>1</v>
      </c>
      <c r="U209" s="27">
        <v>8.0</v>
      </c>
      <c r="Y209" s="23"/>
    </row>
    <row r="210">
      <c r="A210" s="16" t="s">
        <v>440</v>
      </c>
      <c r="B210" s="16" t="s">
        <v>441</v>
      </c>
      <c r="C210" s="17" t="s">
        <v>51</v>
      </c>
      <c r="D210" s="16" t="s">
        <v>341</v>
      </c>
      <c r="E210" s="17" t="b">
        <f t="shared" ref="E210:K210" si="210">If(IFERROR(SEARCH(E$1, $D210),0) &gt;= 1, true,false)</f>
        <v>0</v>
      </c>
      <c r="F210" s="17" t="b">
        <f t="shared" si="210"/>
        <v>0</v>
      </c>
      <c r="G210" s="17" t="b">
        <f t="shared" si="210"/>
        <v>0</v>
      </c>
      <c r="H210" s="17" t="b">
        <f t="shared" si="210"/>
        <v>0</v>
      </c>
      <c r="I210" s="17" t="b">
        <f t="shared" si="210"/>
        <v>1</v>
      </c>
      <c r="J210" s="17" t="b">
        <f t="shared" si="210"/>
        <v>0</v>
      </c>
      <c r="K210" s="17" t="b">
        <f t="shared" si="210"/>
        <v>0</v>
      </c>
      <c r="L210" s="17"/>
      <c r="M210" s="18" t="b">
        <v>1</v>
      </c>
      <c r="N210" s="18" t="b">
        <v>0</v>
      </c>
      <c r="O210" s="18" t="b">
        <v>0</v>
      </c>
      <c r="P210" s="18" t="b">
        <v>0</v>
      </c>
      <c r="Q210" s="16" t="str">
        <f t="shared" si="3"/>
        <v>Het Autrique Huis</v>
      </c>
      <c r="R210" s="19">
        <v>9.0</v>
      </c>
      <c r="S210" s="18" t="b">
        <v>0</v>
      </c>
      <c r="T210" s="18" t="b">
        <v>0</v>
      </c>
      <c r="Y210" s="23"/>
    </row>
    <row r="211">
      <c r="A211" s="16" t="s">
        <v>442</v>
      </c>
      <c r="B211" s="16" t="s">
        <v>443</v>
      </c>
      <c r="C211" s="17" t="s">
        <v>51</v>
      </c>
      <c r="D211" s="16" t="s">
        <v>444</v>
      </c>
      <c r="E211" s="17" t="b">
        <f t="shared" ref="E211:K211" si="211">If(IFERROR(SEARCH(E$1, $D211),0) &gt;= 1, true,false)</f>
        <v>1</v>
      </c>
      <c r="F211" s="17" t="b">
        <f t="shared" si="211"/>
        <v>0</v>
      </c>
      <c r="G211" s="17" t="b">
        <f t="shared" si="211"/>
        <v>0</v>
      </c>
      <c r="H211" s="17" t="b">
        <f t="shared" si="211"/>
        <v>0</v>
      </c>
      <c r="I211" s="17" t="b">
        <f t="shared" si="211"/>
        <v>1</v>
      </c>
      <c r="J211" s="17" t="b">
        <f t="shared" si="211"/>
        <v>1</v>
      </c>
      <c r="K211" s="17" t="b">
        <f t="shared" si="211"/>
        <v>0</v>
      </c>
      <c r="L211" s="17"/>
      <c r="M211" s="18" t="b">
        <v>0</v>
      </c>
      <c r="N211" s="18" t="b">
        <v>0</v>
      </c>
      <c r="O211" s="18" t="b">
        <v>0</v>
      </c>
      <c r="P211" s="18" t="b">
        <v>0</v>
      </c>
      <c r="Q211" s="16" t="str">
        <f t="shared" si="3"/>
        <v>Het Stadhuis van Brussel</v>
      </c>
      <c r="R211" s="19">
        <v>15.0</v>
      </c>
      <c r="S211" s="18" t="b">
        <v>0</v>
      </c>
      <c r="T211" s="18" t="b">
        <v>0</v>
      </c>
      <c r="Y211" s="23"/>
    </row>
    <row r="212">
      <c r="A212" s="16" t="s">
        <v>445</v>
      </c>
      <c r="B212" s="16" t="s">
        <v>446</v>
      </c>
      <c r="C212" s="17" t="s">
        <v>51</v>
      </c>
      <c r="D212" s="16" t="s">
        <v>362</v>
      </c>
      <c r="E212" s="17" t="b">
        <f t="shared" ref="E212:K212" si="212">If(IFERROR(SEARCH(E$1, $D212),0) &gt;= 1, true,false)</f>
        <v>1</v>
      </c>
      <c r="F212" s="17" t="b">
        <f t="shared" si="212"/>
        <v>0</v>
      </c>
      <c r="G212" s="17" t="b">
        <f t="shared" si="212"/>
        <v>0</v>
      </c>
      <c r="H212" s="17" t="b">
        <f t="shared" si="212"/>
        <v>1</v>
      </c>
      <c r="I212" s="17" t="b">
        <f t="shared" si="212"/>
        <v>1</v>
      </c>
      <c r="J212" s="17" t="b">
        <f t="shared" si="212"/>
        <v>1</v>
      </c>
      <c r="K212" s="17" t="b">
        <f t="shared" si="212"/>
        <v>0</v>
      </c>
      <c r="L212" s="17"/>
      <c r="M212" s="18" t="b">
        <v>1</v>
      </c>
      <c r="N212" s="18" t="b">
        <v>0</v>
      </c>
      <c r="O212" s="18" t="b">
        <v>0</v>
      </c>
      <c r="P212" s="18" t="b">
        <v>0</v>
      </c>
      <c r="Q212" s="16" t="str">
        <f t="shared" si="3"/>
        <v>Erasmushuis &amp; Begijnhof</v>
      </c>
      <c r="R212" s="19">
        <v>5.0</v>
      </c>
      <c r="S212" s="18" t="b">
        <v>0</v>
      </c>
      <c r="T212" s="18" t="b">
        <v>0</v>
      </c>
      <c r="Y212" s="23"/>
    </row>
    <row r="213">
      <c r="A213" s="16"/>
      <c r="B213" s="16" t="s">
        <v>447</v>
      </c>
      <c r="C213" s="17" t="s">
        <v>51</v>
      </c>
      <c r="D213" s="16" t="s">
        <v>281</v>
      </c>
      <c r="E213" s="17" t="b">
        <f t="shared" ref="E213:K213" si="213">If(IFERROR(SEARCH(E$1, $D213),0) &gt;= 1, true,false)</f>
        <v>0</v>
      </c>
      <c r="F213" s="17" t="b">
        <f t="shared" si="213"/>
        <v>0</v>
      </c>
      <c r="G213" s="17" t="b">
        <f t="shared" si="213"/>
        <v>0</v>
      </c>
      <c r="H213" s="17" t="b">
        <f t="shared" si="213"/>
        <v>0</v>
      </c>
      <c r="I213" s="17" t="b">
        <f t="shared" si="213"/>
        <v>1</v>
      </c>
      <c r="J213" s="17" t="b">
        <f t="shared" si="213"/>
        <v>1</v>
      </c>
      <c r="K213" s="17" t="b">
        <f t="shared" si="213"/>
        <v>1</v>
      </c>
      <c r="L213" s="17"/>
      <c r="M213" s="18" t="b">
        <v>1</v>
      </c>
      <c r="N213" s="18" t="b">
        <v>0</v>
      </c>
      <c r="O213" s="18" t="b">
        <v>0</v>
      </c>
      <c r="P213" s="18" t="b">
        <v>0</v>
      </c>
      <c r="Q213" s="16" t="str">
        <f t="shared" si="3"/>
        <v>Maison Hannon</v>
      </c>
      <c r="R213" s="19">
        <v>14.0</v>
      </c>
      <c r="S213" s="18" t="b">
        <v>0</v>
      </c>
      <c r="T213" s="18" t="b">
        <v>1</v>
      </c>
      <c r="U213" s="27">
        <v>14.0</v>
      </c>
      <c r="Y213" s="23"/>
    </row>
    <row r="214">
      <c r="A214" s="16" t="s">
        <v>448</v>
      </c>
      <c r="B214" s="16" t="s">
        <v>449</v>
      </c>
      <c r="C214" s="17" t="s">
        <v>51</v>
      </c>
      <c r="D214" s="16" t="s">
        <v>95</v>
      </c>
      <c r="E214" s="17" t="b">
        <f t="shared" ref="E214:K214" si="214">If(IFERROR(SEARCH(E$1, $D214),0) &gt;= 1, true,false)</f>
        <v>1</v>
      </c>
      <c r="F214" s="17" t="b">
        <f t="shared" si="214"/>
        <v>0</v>
      </c>
      <c r="G214" s="17" t="b">
        <f t="shared" si="214"/>
        <v>0</v>
      </c>
      <c r="H214" s="17" t="b">
        <f t="shared" si="214"/>
        <v>0</v>
      </c>
      <c r="I214" s="17" t="b">
        <f t="shared" si="214"/>
        <v>0</v>
      </c>
      <c r="J214" s="17" t="b">
        <f t="shared" si="214"/>
        <v>1</v>
      </c>
      <c r="K214" s="17" t="b">
        <f t="shared" si="214"/>
        <v>0</v>
      </c>
      <c r="L214" s="17"/>
      <c r="M214" s="18" t="b">
        <v>1</v>
      </c>
      <c r="N214" s="18" t="b">
        <v>0</v>
      </c>
      <c r="O214" s="18" t="b">
        <v>0</v>
      </c>
      <c r="P214" s="18" t="b">
        <v>0</v>
      </c>
      <c r="Q214" s="16" t="str">
        <f t="shared" si="3"/>
        <v>MigratieMuseum</v>
      </c>
      <c r="R214" s="19">
        <v>8.0</v>
      </c>
      <c r="S214" s="18" t="b">
        <v>0</v>
      </c>
      <c r="T214" s="18" t="b">
        <v>0</v>
      </c>
      <c r="Y214" s="23"/>
    </row>
    <row r="215">
      <c r="A215" s="16" t="s">
        <v>450</v>
      </c>
      <c r="B215" s="16" t="s">
        <v>451</v>
      </c>
      <c r="C215" s="17" t="s">
        <v>51</v>
      </c>
      <c r="D215" s="16" t="s">
        <v>144</v>
      </c>
      <c r="E215" s="17" t="b">
        <f t="shared" ref="E215:K215" si="215">If(IFERROR(SEARCH(E$1, $D215),0) &gt;= 1, true,false)</f>
        <v>1</v>
      </c>
      <c r="F215" s="17" t="b">
        <f t="shared" si="215"/>
        <v>0</v>
      </c>
      <c r="G215" s="17" t="b">
        <f t="shared" si="215"/>
        <v>0</v>
      </c>
      <c r="H215" s="17" t="b">
        <f t="shared" si="215"/>
        <v>0</v>
      </c>
      <c r="I215" s="17" t="b">
        <f t="shared" si="215"/>
        <v>1</v>
      </c>
      <c r="J215" s="17" t="b">
        <f t="shared" si="215"/>
        <v>0</v>
      </c>
      <c r="K215" s="17" t="b">
        <f t="shared" si="215"/>
        <v>0</v>
      </c>
      <c r="L215" s="17"/>
      <c r="M215" s="18" t="b">
        <v>1</v>
      </c>
      <c r="N215" s="18" t="b">
        <v>1</v>
      </c>
      <c r="O215" s="18" t="b">
        <v>0</v>
      </c>
      <c r="P215" s="18" t="b">
        <v>1</v>
      </c>
      <c r="Q215" s="16" t="str">
        <f t="shared" si="3"/>
        <v>muziekinstrumentenmuseum</v>
      </c>
      <c r="R215" s="19">
        <v>15.0</v>
      </c>
      <c r="S215" s="18" t="b">
        <v>0</v>
      </c>
      <c r="T215" s="18" t="b">
        <v>0</v>
      </c>
      <c r="Y215" s="23"/>
    </row>
    <row r="216">
      <c r="A216" s="16" t="s">
        <v>452</v>
      </c>
      <c r="B216" s="16" t="s">
        <v>453</v>
      </c>
      <c r="C216" s="17" t="s">
        <v>51</v>
      </c>
      <c r="D216" s="16" t="s">
        <v>344</v>
      </c>
      <c r="E216" s="17" t="b">
        <f t="shared" ref="E216:K216" si="216">If(IFERROR(SEARCH(E$1, $D216),0) &gt;= 1, true,false)</f>
        <v>1</v>
      </c>
      <c r="F216" s="17" t="b">
        <f t="shared" si="216"/>
        <v>0</v>
      </c>
      <c r="G216" s="17" t="b">
        <f t="shared" si="216"/>
        <v>0</v>
      </c>
      <c r="H216" s="17" t="b">
        <f t="shared" si="216"/>
        <v>0</v>
      </c>
      <c r="I216" s="17" t="b">
        <f t="shared" si="216"/>
        <v>0</v>
      </c>
      <c r="J216" s="17" t="b">
        <f t="shared" si="216"/>
        <v>0</v>
      </c>
      <c r="K216" s="17" t="b">
        <f t="shared" si="216"/>
        <v>0</v>
      </c>
      <c r="L216" s="17"/>
      <c r="M216" s="18" t="b">
        <v>0</v>
      </c>
      <c r="N216" s="18" t="b">
        <v>0</v>
      </c>
      <c r="O216" s="18" t="b">
        <v>1</v>
      </c>
      <c r="P216" s="18" t="b">
        <v>0</v>
      </c>
      <c r="Q216" s="16" t="str">
        <f t="shared" si="3"/>
        <v>Gemeentelijk Museum van Sint-Jans-Molenbeek</v>
      </c>
      <c r="R216" s="19">
        <v>5.0</v>
      </c>
      <c r="S216" s="18" t="b">
        <v>0</v>
      </c>
      <c r="T216" s="18" t="b">
        <v>0</v>
      </c>
      <c r="Y216" s="23"/>
    </row>
    <row r="217">
      <c r="A217" s="16" t="s">
        <v>454</v>
      </c>
      <c r="B217" s="16" t="s">
        <v>455</v>
      </c>
      <c r="C217" s="17" t="s">
        <v>51</v>
      </c>
      <c r="D217" s="16" t="s">
        <v>344</v>
      </c>
      <c r="E217" s="17" t="b">
        <f t="shared" ref="E217:K217" si="217">If(IFERROR(SEARCH(E$1, $D217),0) &gt;= 1, true,false)</f>
        <v>1</v>
      </c>
      <c r="F217" s="17" t="b">
        <f t="shared" si="217"/>
        <v>0</v>
      </c>
      <c r="G217" s="17" t="b">
        <f t="shared" si="217"/>
        <v>0</v>
      </c>
      <c r="H217" s="17" t="b">
        <f t="shared" si="217"/>
        <v>0</v>
      </c>
      <c r="I217" s="17" t="b">
        <f t="shared" si="217"/>
        <v>0</v>
      </c>
      <c r="J217" s="17" t="b">
        <f t="shared" si="217"/>
        <v>0</v>
      </c>
      <c r="K217" s="17" t="b">
        <f t="shared" si="217"/>
        <v>0</v>
      </c>
      <c r="L217" s="17"/>
      <c r="M217" s="18" t="b">
        <v>1</v>
      </c>
      <c r="N217" s="18" t="b">
        <v>1</v>
      </c>
      <c r="O217" s="18" t="b">
        <v>1</v>
      </c>
      <c r="P217" s="18" t="b">
        <v>1</v>
      </c>
      <c r="Q217" s="16" t="str">
        <f t="shared" si="3"/>
        <v>Museum Kunst &amp; Geschiedenis</v>
      </c>
      <c r="R217" s="19">
        <v>10.0</v>
      </c>
      <c r="S217" s="18" t="b">
        <v>0</v>
      </c>
      <c r="T217" s="18" t="b">
        <v>0</v>
      </c>
      <c r="Y217" s="23"/>
    </row>
    <row r="218">
      <c r="A218" s="16" t="s">
        <v>456</v>
      </c>
      <c r="B218" s="16" t="s">
        <v>457</v>
      </c>
      <c r="C218" s="17" t="s">
        <v>51</v>
      </c>
      <c r="D218" s="16" t="s">
        <v>458</v>
      </c>
      <c r="E218" s="17" t="b">
        <f t="shared" ref="E218:K218" si="218">If(IFERROR(SEARCH(E$1, $D218),0) &gt;= 1, true,false)</f>
        <v>1</v>
      </c>
      <c r="F218" s="17" t="b">
        <f t="shared" si="218"/>
        <v>0</v>
      </c>
      <c r="G218" s="17" t="b">
        <f t="shared" si="218"/>
        <v>0</v>
      </c>
      <c r="H218" s="17" t="b">
        <f t="shared" si="218"/>
        <v>0</v>
      </c>
      <c r="I218" s="17" t="b">
        <f t="shared" si="218"/>
        <v>1</v>
      </c>
      <c r="J218" s="17" t="b">
        <f t="shared" si="218"/>
        <v>1</v>
      </c>
      <c r="K218" s="17" t="b">
        <f t="shared" si="218"/>
        <v>1</v>
      </c>
      <c r="L218" s="17"/>
      <c r="M218" s="18" t="b">
        <v>1</v>
      </c>
      <c r="N218" s="18" t="b">
        <v>0</v>
      </c>
      <c r="O218" s="18" t="b">
        <v>0</v>
      </c>
      <c r="P218" s="18" t="b">
        <v>0</v>
      </c>
      <c r="Q218" s="16" t="str">
        <f t="shared" si="3"/>
        <v>Belgisch Museum van de Vrijmetselarij</v>
      </c>
      <c r="R218" s="19">
        <v>10.0</v>
      </c>
      <c r="S218" s="18" t="b">
        <v>0</v>
      </c>
      <c r="T218" s="18" t="b">
        <v>1</v>
      </c>
      <c r="U218" s="27">
        <v>10.0</v>
      </c>
      <c r="Y218" s="23"/>
    </row>
    <row r="219">
      <c r="A219" s="16" t="s">
        <v>459</v>
      </c>
      <c r="B219" s="16" t="s">
        <v>460</v>
      </c>
      <c r="C219" s="17" t="s">
        <v>51</v>
      </c>
      <c r="D219" s="16" t="s">
        <v>4</v>
      </c>
      <c r="E219" s="17" t="b">
        <f t="shared" ref="E219:K219" si="219">If(IFERROR(SEARCH(E$1, $D219),0) &gt;= 1, true,false)</f>
        <v>1</v>
      </c>
      <c r="F219" s="17" t="b">
        <f t="shared" si="219"/>
        <v>0</v>
      </c>
      <c r="G219" s="17" t="b">
        <f t="shared" si="219"/>
        <v>0</v>
      </c>
      <c r="H219" s="17" t="b">
        <f t="shared" si="219"/>
        <v>0</v>
      </c>
      <c r="I219" s="17" t="b">
        <f t="shared" si="219"/>
        <v>0</v>
      </c>
      <c r="J219" s="17" t="b">
        <f t="shared" si="219"/>
        <v>0</v>
      </c>
      <c r="K219" s="17" t="b">
        <f t="shared" si="219"/>
        <v>0</v>
      </c>
      <c r="L219" s="17"/>
      <c r="M219" s="18" t="b">
        <v>1</v>
      </c>
      <c r="N219" s="18" t="b">
        <v>1</v>
      </c>
      <c r="O219" s="18" t="b">
        <v>0</v>
      </c>
      <c r="P219" s="18" t="b">
        <v>1</v>
      </c>
      <c r="Q219" s="16" t="str">
        <f t="shared" si="3"/>
        <v>BELvue museum</v>
      </c>
      <c r="R219" s="19">
        <v>10.0</v>
      </c>
      <c r="S219" s="18" t="b">
        <v>0</v>
      </c>
      <c r="T219" s="18" t="b">
        <v>1</v>
      </c>
      <c r="U219" s="27">
        <v>0.0</v>
      </c>
      <c r="Y219" s="23"/>
    </row>
    <row r="220">
      <c r="A220" s="16" t="s">
        <v>461</v>
      </c>
      <c r="B220" s="16" t="s">
        <v>462</v>
      </c>
      <c r="C220" s="17" t="s">
        <v>51</v>
      </c>
      <c r="D220" s="16" t="s">
        <v>4</v>
      </c>
      <c r="E220" s="17" t="b">
        <f t="shared" ref="E220:K220" si="220">If(IFERROR(SEARCH(E$1, $D220),0) &gt;= 1, true,false)</f>
        <v>1</v>
      </c>
      <c r="F220" s="17" t="b">
        <f t="shared" si="220"/>
        <v>0</v>
      </c>
      <c r="G220" s="17" t="b">
        <f t="shared" si="220"/>
        <v>0</v>
      </c>
      <c r="H220" s="17" t="b">
        <f t="shared" si="220"/>
        <v>0</v>
      </c>
      <c r="I220" s="17" t="b">
        <f t="shared" si="220"/>
        <v>0</v>
      </c>
      <c r="J220" s="17" t="b">
        <f t="shared" si="220"/>
        <v>0</v>
      </c>
      <c r="K220" s="17" t="b">
        <f t="shared" si="220"/>
        <v>0</v>
      </c>
      <c r="L220" s="17"/>
      <c r="M220" s="18" t="b">
        <v>1</v>
      </c>
      <c r="N220" s="18" t="b">
        <v>0</v>
      </c>
      <c r="O220" s="18" t="b">
        <v>0</v>
      </c>
      <c r="P220" s="18" t="b">
        <v>0</v>
      </c>
      <c r="Q220" s="16" t="str">
        <f t="shared" si="3"/>
        <v>Brussels Museum van de Molen en de Voeding</v>
      </c>
      <c r="R220" s="19">
        <v>5.0</v>
      </c>
      <c r="S220" s="18" t="b">
        <v>0</v>
      </c>
      <c r="T220" s="18" t="b">
        <v>1</v>
      </c>
      <c r="U220" s="30">
        <v>4.0</v>
      </c>
      <c r="Y220" s="23"/>
    </row>
    <row r="221">
      <c r="A221" s="16" t="s">
        <v>463</v>
      </c>
      <c r="B221" s="16" t="s">
        <v>464</v>
      </c>
      <c r="C221" s="17" t="s">
        <v>51</v>
      </c>
      <c r="D221" s="16" t="s">
        <v>9</v>
      </c>
      <c r="E221" s="17" t="b">
        <f t="shared" ref="E221:K221" si="221">If(IFERROR(SEARCH(E$1, $D221),0) &gt;= 1, true,false)</f>
        <v>0</v>
      </c>
      <c r="F221" s="17" t="b">
        <f t="shared" si="221"/>
        <v>0</v>
      </c>
      <c r="G221" s="17" t="b">
        <f t="shared" si="221"/>
        <v>0</v>
      </c>
      <c r="H221" s="17" t="b">
        <f t="shared" si="221"/>
        <v>0</v>
      </c>
      <c r="I221" s="17" t="b">
        <f t="shared" si="221"/>
        <v>0</v>
      </c>
      <c r="J221" s="17" t="b">
        <f t="shared" si="221"/>
        <v>1</v>
      </c>
      <c r="K221" s="17" t="b">
        <f t="shared" si="221"/>
        <v>0</v>
      </c>
      <c r="L221" s="17"/>
      <c r="M221" s="18" t="b">
        <v>1</v>
      </c>
      <c r="N221" s="18" t="b">
        <v>0</v>
      </c>
      <c r="O221" s="18" t="b">
        <v>0</v>
      </c>
      <c r="P221" s="18" t="b">
        <v>0</v>
      </c>
      <c r="Q221" s="16" t="str">
        <f t="shared" si="3"/>
        <v>Charlier Museum</v>
      </c>
      <c r="R221" s="19">
        <v>9.0</v>
      </c>
      <c r="S221" s="18" t="b">
        <v>0</v>
      </c>
      <c r="T221" s="18" t="b">
        <v>0</v>
      </c>
      <c r="U221" s="16"/>
      <c r="Y221" s="23"/>
    </row>
    <row r="222">
      <c r="A222" s="40" t="s">
        <v>465</v>
      </c>
      <c r="B222" s="16" t="s">
        <v>466</v>
      </c>
      <c r="C222" s="17" t="s">
        <v>51</v>
      </c>
      <c r="D222" s="16" t="s">
        <v>9</v>
      </c>
      <c r="E222" s="17" t="b">
        <f t="shared" ref="E222:K222" si="222">If(IFERROR(SEARCH(E$1, $D222),0) &gt;= 1, true,false)</f>
        <v>0</v>
      </c>
      <c r="F222" s="17" t="b">
        <f t="shared" si="222"/>
        <v>0</v>
      </c>
      <c r="G222" s="17" t="b">
        <f t="shared" si="222"/>
        <v>0</v>
      </c>
      <c r="H222" s="17" t="b">
        <f t="shared" si="222"/>
        <v>0</v>
      </c>
      <c r="I222" s="17" t="b">
        <f t="shared" si="222"/>
        <v>0</v>
      </c>
      <c r="J222" s="17" t="b">
        <f t="shared" si="222"/>
        <v>1</v>
      </c>
      <c r="K222" s="17" t="b">
        <f t="shared" si="222"/>
        <v>0</v>
      </c>
      <c r="L222" s="17"/>
      <c r="M222" s="18" t="b">
        <v>1</v>
      </c>
      <c r="N222" s="18" t="b">
        <v>0</v>
      </c>
      <c r="O222" s="18" t="b">
        <v>0</v>
      </c>
      <c r="P222" s="18" t="b">
        <v>0</v>
      </c>
      <c r="Q222" s="16" t="str">
        <f t="shared" si="3"/>
        <v>Museum voor Spontane Kunst</v>
      </c>
      <c r="R222" s="19">
        <v>4.0</v>
      </c>
      <c r="S222" s="18" t="b">
        <v>0</v>
      </c>
      <c r="T222" s="18" t="b">
        <v>0</v>
      </c>
      <c r="U222" s="33"/>
      <c r="Y222" s="23"/>
    </row>
    <row r="223">
      <c r="A223" s="16" t="s">
        <v>467</v>
      </c>
      <c r="B223" s="16" t="s">
        <v>468</v>
      </c>
      <c r="C223" s="17" t="s">
        <v>51</v>
      </c>
      <c r="D223" s="16" t="s">
        <v>355</v>
      </c>
      <c r="E223" s="17" t="b">
        <f t="shared" ref="E223:K223" si="223">If(IFERROR(SEARCH(E$1, $D223),0) &gt;= 1, true,false)</f>
        <v>1</v>
      </c>
      <c r="F223" s="17" t="b">
        <f t="shared" si="223"/>
        <v>1</v>
      </c>
      <c r="G223" s="17" t="b">
        <f t="shared" si="223"/>
        <v>0</v>
      </c>
      <c r="H223" s="17" t="b">
        <f t="shared" si="223"/>
        <v>0</v>
      </c>
      <c r="I223" s="17" t="b">
        <f t="shared" si="223"/>
        <v>0</v>
      </c>
      <c r="J223" s="17" t="b">
        <f t="shared" si="223"/>
        <v>0</v>
      </c>
      <c r="K223" s="17" t="b">
        <f t="shared" si="223"/>
        <v>0</v>
      </c>
      <c r="L223" s="17"/>
      <c r="M223" s="18" t="b">
        <v>1</v>
      </c>
      <c r="N223" s="18" t="b">
        <v>0</v>
      </c>
      <c r="O223" s="18" t="b">
        <v>0</v>
      </c>
      <c r="P223" s="18" t="b">
        <v>0</v>
      </c>
      <c r="Q223" s="16" t="str">
        <f t="shared" si="3"/>
        <v>Riolenmuseum</v>
      </c>
      <c r="R223" s="19">
        <v>10.0</v>
      </c>
      <c r="S223" s="18" t="b">
        <v>0</v>
      </c>
      <c r="T223" s="18" t="b">
        <v>0</v>
      </c>
      <c r="U223" s="32"/>
      <c r="Y223" s="23"/>
    </row>
    <row r="224">
      <c r="A224" s="16" t="s">
        <v>469</v>
      </c>
      <c r="B224" s="16" t="s">
        <v>470</v>
      </c>
      <c r="C224" s="17" t="s">
        <v>51</v>
      </c>
      <c r="D224" s="16" t="s">
        <v>180</v>
      </c>
      <c r="E224" s="17" t="b">
        <f t="shared" ref="E224:K224" si="224">If(IFERROR(SEARCH(E$1, $D224),0) &gt;= 1, true,false)</f>
        <v>0</v>
      </c>
      <c r="F224" s="17" t="b">
        <f t="shared" si="224"/>
        <v>0</v>
      </c>
      <c r="G224" s="17" t="b">
        <f t="shared" si="224"/>
        <v>0</v>
      </c>
      <c r="H224" s="17" t="b">
        <f t="shared" si="224"/>
        <v>0</v>
      </c>
      <c r="I224" s="17" t="b">
        <f t="shared" si="224"/>
        <v>0</v>
      </c>
      <c r="J224" s="17" t="b">
        <f t="shared" si="224"/>
        <v>1</v>
      </c>
      <c r="K224" s="17" t="b">
        <f t="shared" si="224"/>
        <v>1</v>
      </c>
      <c r="L224" s="17"/>
      <c r="M224" s="18" t="b">
        <v>1</v>
      </c>
      <c r="N224" s="18" t="b">
        <v>1</v>
      </c>
      <c r="O224" s="18" t="b">
        <v>0</v>
      </c>
      <c r="P224" s="18" t="b">
        <v>0</v>
      </c>
      <c r="Q224" s="16" t="str">
        <f t="shared" si="3"/>
        <v>Stripmuseum Brussel</v>
      </c>
      <c r="R224" s="19">
        <v>14.0</v>
      </c>
      <c r="S224" s="18" t="b">
        <v>0</v>
      </c>
      <c r="T224" s="18" t="b">
        <v>1</v>
      </c>
      <c r="U224" s="31">
        <v>0.0</v>
      </c>
      <c r="Y224" s="23"/>
    </row>
    <row r="225">
      <c r="A225" s="16" t="s">
        <v>471</v>
      </c>
      <c r="B225" s="16" t="s">
        <v>472</v>
      </c>
      <c r="C225" s="17" t="s">
        <v>51</v>
      </c>
      <c r="D225" s="16" t="s">
        <v>355</v>
      </c>
      <c r="E225" s="17" t="b">
        <f t="shared" ref="E225:K225" si="225">If(IFERROR(SEARCH(E$1, $D225),0) &gt;= 1, true,false)</f>
        <v>1</v>
      </c>
      <c r="F225" s="17" t="b">
        <f t="shared" si="225"/>
        <v>1</v>
      </c>
      <c r="G225" s="17" t="b">
        <f t="shared" si="225"/>
        <v>0</v>
      </c>
      <c r="H225" s="17" t="b">
        <f t="shared" si="225"/>
        <v>0</v>
      </c>
      <c r="I225" s="17" t="b">
        <f t="shared" si="225"/>
        <v>0</v>
      </c>
      <c r="J225" s="17" t="b">
        <f t="shared" si="225"/>
        <v>0</v>
      </c>
      <c r="K225" s="17" t="b">
        <f t="shared" si="225"/>
        <v>0</v>
      </c>
      <c r="L225" s="17"/>
      <c r="M225" s="18" t="b">
        <v>0</v>
      </c>
      <c r="N225" s="18" t="b">
        <v>0</v>
      </c>
      <c r="O225" s="18" t="b">
        <v>0</v>
      </c>
      <c r="P225" s="18" t="b">
        <v>0</v>
      </c>
      <c r="Q225" s="16" t="str">
        <f t="shared" si="3"/>
        <v>Museum van de Nationale Bank van België</v>
      </c>
      <c r="R225" s="19">
        <v>0.0</v>
      </c>
      <c r="S225" s="18" t="b">
        <v>0</v>
      </c>
      <c r="T225" s="18" t="b">
        <v>0</v>
      </c>
      <c r="U225" s="33"/>
      <c r="Y225" s="23"/>
    </row>
    <row r="226">
      <c r="A226" s="16" t="s">
        <v>473</v>
      </c>
      <c r="B226" s="16" t="s">
        <v>474</v>
      </c>
      <c r="C226" s="17" t="s">
        <v>51</v>
      </c>
      <c r="D226" s="16" t="s">
        <v>355</v>
      </c>
      <c r="E226" s="17" t="b">
        <f t="shared" ref="E226:K226" si="226">If(IFERROR(SEARCH(E$1, $D226),0) &gt;= 1, true,false)</f>
        <v>1</v>
      </c>
      <c r="F226" s="17" t="b">
        <f t="shared" si="226"/>
        <v>1</v>
      </c>
      <c r="G226" s="17" t="b">
        <f t="shared" si="226"/>
        <v>0</v>
      </c>
      <c r="H226" s="17" t="b">
        <f t="shared" si="226"/>
        <v>0</v>
      </c>
      <c r="I226" s="17" t="b">
        <f t="shared" si="226"/>
        <v>0</v>
      </c>
      <c r="J226" s="17" t="b">
        <f t="shared" si="226"/>
        <v>0</v>
      </c>
      <c r="K226" s="17" t="b">
        <f t="shared" si="226"/>
        <v>0</v>
      </c>
      <c r="L226" s="17"/>
      <c r="M226" s="18" t="b">
        <v>0</v>
      </c>
      <c r="N226" s="18" t="b">
        <v>0</v>
      </c>
      <c r="O226" s="18" t="b">
        <v>0</v>
      </c>
      <c r="P226" s="18" t="b">
        <v>0</v>
      </c>
      <c r="Q226" s="16" t="str">
        <f t="shared" si="3"/>
        <v>Geneeskundemuseum</v>
      </c>
      <c r="R226" s="19">
        <v>5.0</v>
      </c>
      <c r="S226" s="18" t="b">
        <v>0</v>
      </c>
      <c r="T226" s="18" t="b">
        <v>0</v>
      </c>
      <c r="U226" s="33"/>
      <c r="Y226" s="23"/>
    </row>
    <row r="227">
      <c r="A227" s="16" t="s">
        <v>475</v>
      </c>
      <c r="B227" s="16" t="s">
        <v>476</v>
      </c>
      <c r="C227" s="17" t="s">
        <v>51</v>
      </c>
      <c r="D227" s="16" t="s">
        <v>198</v>
      </c>
      <c r="E227" s="17" t="b">
        <f t="shared" ref="E227:K227" si="227">If(IFERROR(SEARCH(E$1, $D227),0) &gt;= 1, true,false)</f>
        <v>1</v>
      </c>
      <c r="F227" s="17" t="b">
        <f t="shared" si="227"/>
        <v>0</v>
      </c>
      <c r="G227" s="17" t="b">
        <f t="shared" si="227"/>
        <v>0</v>
      </c>
      <c r="H227" s="17" t="b">
        <f t="shared" si="227"/>
        <v>0</v>
      </c>
      <c r="I227" s="17" t="b">
        <f t="shared" si="227"/>
        <v>1</v>
      </c>
      <c r="J227" s="17" t="b">
        <f t="shared" si="227"/>
        <v>1</v>
      </c>
      <c r="K227" s="17" t="b">
        <f t="shared" si="227"/>
        <v>0</v>
      </c>
      <c r="L227" s="17"/>
      <c r="M227" s="18" t="b">
        <v>1</v>
      </c>
      <c r="N227" s="18" t="b">
        <v>0</v>
      </c>
      <c r="O227" s="18" t="b">
        <v>0</v>
      </c>
      <c r="P227" s="18" t="b">
        <v>0</v>
      </c>
      <c r="Q227" s="16" t="str">
        <f t="shared" si="3"/>
        <v>Museum van de Stad Brussel - Broodhuis</v>
      </c>
      <c r="R227" s="19">
        <v>10.0</v>
      </c>
      <c r="S227" s="18" t="b">
        <v>0</v>
      </c>
      <c r="T227" s="18" t="b">
        <v>1</v>
      </c>
      <c r="U227" s="31">
        <v>10.0</v>
      </c>
      <c r="Y227" s="23"/>
    </row>
    <row r="228">
      <c r="A228" s="16" t="s">
        <v>477</v>
      </c>
      <c r="B228" s="16" t="s">
        <v>478</v>
      </c>
      <c r="C228" s="17" t="s">
        <v>51</v>
      </c>
      <c r="D228" s="16" t="s">
        <v>79</v>
      </c>
      <c r="E228" s="17" t="b">
        <f t="shared" ref="E228:K228" si="228">If(IFERROR(SEARCH(E$1, $D228),0) &gt;= 1, true,false)</f>
        <v>1</v>
      </c>
      <c r="F228" s="17" t="b">
        <f t="shared" si="228"/>
        <v>0</v>
      </c>
      <c r="G228" s="17" t="b">
        <f t="shared" si="228"/>
        <v>0</v>
      </c>
      <c r="H228" s="17" t="b">
        <f t="shared" si="228"/>
        <v>0</v>
      </c>
      <c r="I228" s="17" t="b">
        <f t="shared" si="228"/>
        <v>0</v>
      </c>
      <c r="J228" s="17" t="b">
        <f t="shared" si="228"/>
        <v>1</v>
      </c>
      <c r="K228" s="17" t="b">
        <f t="shared" si="228"/>
        <v>1</v>
      </c>
      <c r="L228" s="17"/>
      <c r="M228" s="18" t="b">
        <v>1</v>
      </c>
      <c r="N228" s="18" t="b">
        <v>0</v>
      </c>
      <c r="O228" s="18" t="b">
        <v>0</v>
      </c>
      <c r="P228" s="18" t="b">
        <v>0</v>
      </c>
      <c r="Q228" s="16" t="str">
        <f t="shared" si="3"/>
        <v>Museum en Tuinen van Buuren</v>
      </c>
      <c r="R228" s="19">
        <v>18.0</v>
      </c>
      <c r="S228" s="18" t="b">
        <v>0</v>
      </c>
      <c r="T228" s="18" t="b">
        <v>0</v>
      </c>
      <c r="U228" s="32"/>
      <c r="Y228" s="23"/>
    </row>
    <row r="229">
      <c r="A229" s="16" t="s">
        <v>479</v>
      </c>
      <c r="B229" s="16" t="s">
        <v>480</v>
      </c>
      <c r="C229" s="17" t="s">
        <v>51</v>
      </c>
      <c r="D229" s="16" t="s">
        <v>8</v>
      </c>
      <c r="E229" s="17" t="b">
        <f t="shared" ref="E229:K229" si="229">If(IFERROR(SEARCH(E$1, $D229),0) &gt;= 1, true,false)</f>
        <v>0</v>
      </c>
      <c r="F229" s="17" t="b">
        <f t="shared" si="229"/>
        <v>0</v>
      </c>
      <c r="G229" s="17" t="b">
        <f t="shared" si="229"/>
        <v>0</v>
      </c>
      <c r="H229" s="17" t="b">
        <f t="shared" si="229"/>
        <v>0</v>
      </c>
      <c r="I229" s="17" t="b">
        <f t="shared" si="229"/>
        <v>1</v>
      </c>
      <c r="J229" s="17" t="b">
        <f t="shared" si="229"/>
        <v>0</v>
      </c>
      <c r="K229" s="17" t="b">
        <f t="shared" si="229"/>
        <v>0</v>
      </c>
      <c r="L229" s="17"/>
      <c r="M229" s="18" t="b">
        <v>1</v>
      </c>
      <c r="N229" s="18" t="b">
        <v>0</v>
      </c>
      <c r="O229" s="18" t="b">
        <v>0</v>
      </c>
      <c r="P229" s="18" t="b">
        <v>0</v>
      </c>
      <c r="Q229" s="16" t="str">
        <f t="shared" si="3"/>
        <v>Hortamuseum</v>
      </c>
      <c r="R229" s="19">
        <v>14.0</v>
      </c>
      <c r="S229" s="20" t="b">
        <v>0</v>
      </c>
      <c r="T229" s="18" t="b">
        <v>0</v>
      </c>
      <c r="U229" s="21"/>
      <c r="Y229" s="23"/>
    </row>
    <row r="230">
      <c r="A230" s="16" t="s">
        <v>481</v>
      </c>
      <c r="B230" s="16" t="s">
        <v>482</v>
      </c>
      <c r="C230" s="17" t="s">
        <v>51</v>
      </c>
      <c r="D230" s="16" t="s">
        <v>95</v>
      </c>
      <c r="E230" s="17" t="b">
        <f t="shared" ref="E230:K230" si="230">If(IFERROR(SEARCH(E$1, $D230),0) &gt;= 1, true,false)</f>
        <v>1</v>
      </c>
      <c r="F230" s="17" t="b">
        <f t="shared" si="230"/>
        <v>0</v>
      </c>
      <c r="G230" s="17" t="b">
        <f t="shared" si="230"/>
        <v>0</v>
      </c>
      <c r="H230" s="17" t="b">
        <f t="shared" si="230"/>
        <v>0</v>
      </c>
      <c r="I230" s="17" t="b">
        <f t="shared" si="230"/>
        <v>0</v>
      </c>
      <c r="J230" s="17" t="b">
        <f t="shared" si="230"/>
        <v>1</v>
      </c>
      <c r="K230" s="17" t="b">
        <f t="shared" si="230"/>
        <v>0</v>
      </c>
      <c r="L230" s="17"/>
      <c r="M230" s="18" t="b">
        <v>0</v>
      </c>
      <c r="N230" s="18" t="b">
        <v>0</v>
      </c>
      <c r="O230" s="18" t="b">
        <v>0</v>
      </c>
      <c r="P230" s="18" t="b">
        <v>0</v>
      </c>
      <c r="Q230" s="16" t="str">
        <f t="shared" si="3"/>
        <v>Joods Museum van België</v>
      </c>
      <c r="R230" s="19">
        <v>10.0</v>
      </c>
      <c r="S230" s="20" t="b">
        <v>1</v>
      </c>
      <c r="T230" s="18" t="b">
        <v>0</v>
      </c>
      <c r="U230" s="21"/>
      <c r="Y230" s="23"/>
    </row>
    <row r="231">
      <c r="A231" s="16" t="s">
        <v>483</v>
      </c>
      <c r="B231" s="16" t="s">
        <v>484</v>
      </c>
      <c r="C231" s="17" t="s">
        <v>51</v>
      </c>
      <c r="D231" s="16" t="s">
        <v>485</v>
      </c>
      <c r="E231" s="17" t="b">
        <f t="shared" ref="E231:K231" si="231">If(IFERROR(SEARCH(E$1, $D231),0) &gt;= 1, true,false)</f>
        <v>0</v>
      </c>
      <c r="F231" s="17" t="b">
        <f t="shared" si="231"/>
        <v>0</v>
      </c>
      <c r="G231" s="17" t="b">
        <f t="shared" si="231"/>
        <v>1</v>
      </c>
      <c r="H231" s="17" t="b">
        <f t="shared" si="231"/>
        <v>0</v>
      </c>
      <c r="I231" s="17" t="b">
        <f t="shared" si="231"/>
        <v>0</v>
      </c>
      <c r="J231" s="17" t="b">
        <f t="shared" si="231"/>
        <v>1</v>
      </c>
      <c r="K231" s="17" t="b">
        <f t="shared" si="231"/>
        <v>1</v>
      </c>
      <c r="L231" s="17"/>
      <c r="M231" s="18" t="b">
        <v>1</v>
      </c>
      <c r="N231" s="18" t="b">
        <v>0</v>
      </c>
      <c r="O231" s="18" t="b">
        <v>0</v>
      </c>
      <c r="P231" s="18" t="b">
        <v>0</v>
      </c>
      <c r="Q231" s="16" t="str">
        <f t="shared" si="3"/>
        <v>Mode &amp; Kant Museum</v>
      </c>
      <c r="R231" s="19">
        <v>10.0</v>
      </c>
      <c r="S231" s="18" t="b">
        <v>0</v>
      </c>
      <c r="T231" s="18" t="b">
        <v>1</v>
      </c>
      <c r="U231" s="27">
        <v>10.0</v>
      </c>
      <c r="Y231" s="23"/>
    </row>
    <row r="232">
      <c r="A232" s="16" t="s">
        <v>486</v>
      </c>
      <c r="B232" s="16" t="s">
        <v>487</v>
      </c>
      <c r="C232" s="17" t="s">
        <v>51</v>
      </c>
      <c r="D232" s="16" t="s">
        <v>9</v>
      </c>
      <c r="E232" s="17" t="b">
        <f t="shared" ref="E232:K232" si="232">If(IFERROR(SEARCH(E$1, $D232),0) &gt;= 1, true,false)</f>
        <v>0</v>
      </c>
      <c r="F232" s="17" t="b">
        <f t="shared" si="232"/>
        <v>0</v>
      </c>
      <c r="G232" s="17" t="b">
        <f t="shared" si="232"/>
        <v>0</v>
      </c>
      <c r="H232" s="17" t="b">
        <f t="shared" si="232"/>
        <v>0</v>
      </c>
      <c r="I232" s="17" t="b">
        <f t="shared" si="232"/>
        <v>0</v>
      </c>
      <c r="J232" s="17" t="b">
        <f t="shared" si="232"/>
        <v>1</v>
      </c>
      <c r="K232" s="17" t="b">
        <f t="shared" si="232"/>
        <v>0</v>
      </c>
      <c r="L232" s="17"/>
      <c r="M232" s="18" t="b">
        <v>1</v>
      </c>
      <c r="N232" s="18" t="b">
        <v>0</v>
      </c>
      <c r="O232" s="18" t="b">
        <v>0</v>
      </c>
      <c r="P232" s="18" t="b">
        <v>0</v>
      </c>
      <c r="Q232" s="16" t="str">
        <f t="shared" si="3"/>
        <v>René Magritte Museum &amp; Museum voor abstracte kuns</v>
      </c>
      <c r="R232" s="19">
        <v>15.0</v>
      </c>
      <c r="S232" s="18" t="b">
        <v>0</v>
      </c>
      <c r="T232" s="18" t="b">
        <v>0</v>
      </c>
      <c r="U232" s="21"/>
      <c r="Y232" s="23"/>
    </row>
    <row r="233">
      <c r="A233" s="16" t="s">
        <v>488</v>
      </c>
      <c r="B233" s="16" t="s">
        <v>489</v>
      </c>
      <c r="C233" s="17" t="s">
        <v>51</v>
      </c>
      <c r="D233" s="36" t="s">
        <v>163</v>
      </c>
      <c r="E233" s="17" t="b">
        <f t="shared" ref="E233:K233" si="233">If(IFERROR(SEARCH(E$1, $D233),0) &gt;= 1, true,false)</f>
        <v>1</v>
      </c>
      <c r="F233" s="17" t="b">
        <f t="shared" si="233"/>
        <v>1</v>
      </c>
      <c r="G233" s="17" t="b">
        <f t="shared" si="233"/>
        <v>0</v>
      </c>
      <c r="H233" s="17" t="b">
        <f t="shared" si="233"/>
        <v>0</v>
      </c>
      <c r="I233" s="17" t="b">
        <f t="shared" si="233"/>
        <v>1</v>
      </c>
      <c r="J233" s="17" t="b">
        <f t="shared" si="233"/>
        <v>1</v>
      </c>
      <c r="K233" s="17" t="b">
        <f t="shared" si="233"/>
        <v>0</v>
      </c>
      <c r="L233" s="17"/>
      <c r="M233" s="18" t="b">
        <v>1</v>
      </c>
      <c r="N233" s="18" t="b">
        <v>1</v>
      </c>
      <c r="O233" s="18" t="b">
        <v>1</v>
      </c>
      <c r="P233" s="18" t="b">
        <v>1</v>
      </c>
      <c r="Q233" s="16" t="str">
        <f t="shared" si="3"/>
        <v>Koninklijk Museum van het Leger en de Krijgsgeschiedenis</v>
      </c>
      <c r="R233" s="19">
        <v>12.0</v>
      </c>
      <c r="S233" s="18" t="b">
        <v>0</v>
      </c>
      <c r="T233" s="18" t="b">
        <v>0</v>
      </c>
      <c r="Y233" s="23"/>
    </row>
    <row r="234">
      <c r="A234" s="16" t="s">
        <v>490</v>
      </c>
      <c r="B234" s="16" t="s">
        <v>491</v>
      </c>
      <c r="C234" s="17" t="s">
        <v>51</v>
      </c>
      <c r="D234" s="16" t="s">
        <v>344</v>
      </c>
      <c r="E234" s="17" t="b">
        <f t="shared" ref="E234:K234" si="234">If(IFERROR(SEARCH(E$1, $D234),0) &gt;= 1, true,false)</f>
        <v>1</v>
      </c>
      <c r="F234" s="17" t="b">
        <f t="shared" si="234"/>
        <v>0</v>
      </c>
      <c r="G234" s="17" t="b">
        <f t="shared" si="234"/>
        <v>0</v>
      </c>
      <c r="H234" s="17" t="b">
        <f t="shared" si="234"/>
        <v>0</v>
      </c>
      <c r="I234" s="17" t="b">
        <f t="shared" si="234"/>
        <v>0</v>
      </c>
      <c r="J234" s="17" t="b">
        <f t="shared" si="234"/>
        <v>0</v>
      </c>
      <c r="K234" s="17" t="b">
        <f t="shared" si="234"/>
        <v>0</v>
      </c>
      <c r="L234" s="17"/>
      <c r="M234" s="18" t="b">
        <v>1</v>
      </c>
      <c r="N234" s="18" t="b">
        <v>0</v>
      </c>
      <c r="O234" s="18" t="b">
        <v>0</v>
      </c>
      <c r="P234" s="18" t="b">
        <v>1</v>
      </c>
      <c r="Q234" s="16" t="str">
        <f t="shared" si="3"/>
        <v>Coudenbergpaleis</v>
      </c>
      <c r="R234" s="19">
        <v>10.0</v>
      </c>
      <c r="S234" s="18" t="b">
        <v>0</v>
      </c>
      <c r="T234" s="18" t="b">
        <v>0</v>
      </c>
      <c r="U234" s="21"/>
      <c r="Y234" s="23"/>
    </row>
    <row r="235">
      <c r="A235" s="16" t="s">
        <v>492</v>
      </c>
      <c r="B235" s="16" t="s">
        <v>493</v>
      </c>
      <c r="C235" s="17" t="s">
        <v>51</v>
      </c>
      <c r="D235" s="16" t="s">
        <v>5</v>
      </c>
      <c r="E235" s="17" t="b">
        <f t="shared" ref="E235:K235" si="235">If(IFERROR(SEARCH(E$1, $D235),0) &gt;= 1, true,false)</f>
        <v>0</v>
      </c>
      <c r="F235" s="17" t="b">
        <f t="shared" si="235"/>
        <v>1</v>
      </c>
      <c r="G235" s="17" t="b">
        <f t="shared" si="235"/>
        <v>0</v>
      </c>
      <c r="H235" s="17" t="b">
        <f t="shared" si="235"/>
        <v>0</v>
      </c>
      <c r="I235" s="17" t="b">
        <f t="shared" si="235"/>
        <v>0</v>
      </c>
      <c r="J235" s="17" t="b">
        <f t="shared" si="235"/>
        <v>0</v>
      </c>
      <c r="K235" s="17" t="b">
        <f t="shared" si="235"/>
        <v>0</v>
      </c>
      <c r="L235" s="17"/>
      <c r="M235" s="18" t="b">
        <v>1</v>
      </c>
      <c r="N235" s="18" t="b">
        <v>0</v>
      </c>
      <c r="O235" s="18" t="b">
        <v>1</v>
      </c>
      <c r="P235" s="18" t="b">
        <v>0</v>
      </c>
      <c r="Q235" s="16" t="str">
        <f t="shared" si="3"/>
        <v>Planetarium Brussel</v>
      </c>
      <c r="R235" s="19">
        <v>8.0</v>
      </c>
      <c r="S235" s="18" t="b">
        <v>0</v>
      </c>
      <c r="T235" s="18" t="b">
        <v>0</v>
      </c>
      <c r="U235" s="16"/>
      <c r="Y235" s="23"/>
    </row>
    <row r="236">
      <c r="A236" s="16" t="s">
        <v>494</v>
      </c>
      <c r="B236" s="16" t="s">
        <v>495</v>
      </c>
      <c r="C236" s="17" t="s">
        <v>51</v>
      </c>
      <c r="D236" s="16" t="s">
        <v>319</v>
      </c>
      <c r="E236" s="17" t="b">
        <f t="shared" ref="E236:K236" si="236">If(IFERROR(SEARCH(E$1, $D236),0) &gt;= 1, true,false)</f>
        <v>1</v>
      </c>
      <c r="F236" s="17" t="b">
        <f t="shared" si="236"/>
        <v>0</v>
      </c>
      <c r="G236" s="17" t="b">
        <f t="shared" si="236"/>
        <v>0</v>
      </c>
      <c r="H236" s="17" t="b">
        <f t="shared" si="236"/>
        <v>0</v>
      </c>
      <c r="I236" s="17" t="b">
        <f t="shared" si="236"/>
        <v>1</v>
      </c>
      <c r="J236" s="17" t="b">
        <f t="shared" si="236"/>
        <v>0</v>
      </c>
      <c r="K236" s="17" t="b">
        <f t="shared" si="236"/>
        <v>0</v>
      </c>
      <c r="L236" s="17"/>
      <c r="M236" s="18" t="b">
        <v>1</v>
      </c>
      <c r="N236" s="18" t="b">
        <v>0</v>
      </c>
      <c r="O236" s="18" t="b">
        <v>0</v>
      </c>
      <c r="P236" s="18" t="b">
        <v>0</v>
      </c>
      <c r="Q236" s="16" t="str">
        <f t="shared" si="3"/>
        <v>Hallepoort</v>
      </c>
      <c r="R236" s="19">
        <v>7.0</v>
      </c>
      <c r="S236" s="18" t="b">
        <v>0</v>
      </c>
      <c r="T236" s="18" t="b">
        <v>0</v>
      </c>
      <c r="U236" s="32"/>
      <c r="Y236" s="23"/>
    </row>
    <row r="237">
      <c r="A237" s="16" t="s">
        <v>496</v>
      </c>
      <c r="B237" s="16" t="s">
        <v>497</v>
      </c>
      <c r="C237" s="17" t="s">
        <v>51</v>
      </c>
      <c r="D237" s="16" t="s">
        <v>9</v>
      </c>
      <c r="E237" s="17" t="b">
        <f t="shared" ref="E237:K237" si="237">If(IFERROR(SEARCH(E$1, $D237),0) &gt;= 1, true,false)</f>
        <v>0</v>
      </c>
      <c r="F237" s="17" t="b">
        <f t="shared" si="237"/>
        <v>0</v>
      </c>
      <c r="G237" s="17" t="b">
        <f t="shared" si="237"/>
        <v>0</v>
      </c>
      <c r="H237" s="17" t="b">
        <f t="shared" si="237"/>
        <v>0</v>
      </c>
      <c r="I237" s="17" t="b">
        <f t="shared" si="237"/>
        <v>0</v>
      </c>
      <c r="J237" s="17" t="b">
        <f t="shared" si="237"/>
        <v>1</v>
      </c>
      <c r="K237" s="17" t="b">
        <f t="shared" si="237"/>
        <v>0</v>
      </c>
      <c r="L237" s="17"/>
      <c r="M237" s="18" t="b">
        <v>1</v>
      </c>
      <c r="N237" s="18" t="b">
        <v>1</v>
      </c>
      <c r="O237" s="18" t="b">
        <v>1</v>
      </c>
      <c r="P237" s="18" t="b">
        <v>1</v>
      </c>
      <c r="Q237" s="16" t="str">
        <f t="shared" si="3"/>
        <v>Centrum voor Hedendaagse Kunst</v>
      </c>
      <c r="R237" s="19">
        <v>12.0</v>
      </c>
      <c r="S237" s="18" t="b">
        <v>0</v>
      </c>
      <c r="T237" s="18" t="b">
        <v>1</v>
      </c>
      <c r="U237" s="35">
        <v>12.0</v>
      </c>
      <c r="Y237" s="23"/>
    </row>
    <row r="238">
      <c r="A238" s="16" t="s">
        <v>498</v>
      </c>
      <c r="B238" s="16"/>
      <c r="C238" s="17" t="s">
        <v>51</v>
      </c>
      <c r="D238" s="16" t="s">
        <v>499</v>
      </c>
      <c r="E238" s="17" t="b">
        <f t="shared" ref="E238:K238" si="238">If(IFERROR(SEARCH(E$1, $D238),0) &gt;= 1, true,false)</f>
        <v>0</v>
      </c>
      <c r="F238" s="17" t="b">
        <f t="shared" si="238"/>
        <v>0</v>
      </c>
      <c r="G238" s="17" t="b">
        <f t="shared" si="238"/>
        <v>0</v>
      </c>
      <c r="H238" s="17" t="b">
        <f t="shared" si="238"/>
        <v>1</v>
      </c>
      <c r="I238" s="17" t="b">
        <f t="shared" si="238"/>
        <v>0</v>
      </c>
      <c r="J238" s="17" t="b">
        <f t="shared" si="238"/>
        <v>1</v>
      </c>
      <c r="K238" s="17" t="b">
        <f t="shared" si="238"/>
        <v>1</v>
      </c>
      <c r="L238" s="17"/>
      <c r="M238" s="18" t="b">
        <v>1</v>
      </c>
      <c r="N238" s="18" t="b">
        <v>0</v>
      </c>
      <c r="O238" s="18" t="b">
        <v>0</v>
      </c>
      <c r="P238" s="18" t="b">
        <v>0</v>
      </c>
      <c r="Q238" s="16" t="str">
        <f t="shared" si="3"/>
        <v>Wittockiana</v>
      </c>
      <c r="R238" s="19">
        <v>7.0</v>
      </c>
      <c r="S238" s="18" t="b">
        <v>0</v>
      </c>
      <c r="T238" s="18" t="b">
        <v>0</v>
      </c>
      <c r="U238" s="33"/>
      <c r="Y238" s="23"/>
    </row>
    <row r="239">
      <c r="A239" s="16" t="s">
        <v>500</v>
      </c>
      <c r="B239" s="16" t="s">
        <v>501</v>
      </c>
      <c r="C239" s="17" t="s">
        <v>55</v>
      </c>
      <c r="D239" s="16" t="s">
        <v>4</v>
      </c>
      <c r="E239" s="17" t="b">
        <f t="shared" ref="E239:K239" si="239">If(IFERROR(SEARCH(E$1, $D239),0) &gt;= 1, true,false)</f>
        <v>1</v>
      </c>
      <c r="F239" s="17" t="b">
        <f t="shared" si="239"/>
        <v>0</v>
      </c>
      <c r="G239" s="17" t="b">
        <f t="shared" si="239"/>
        <v>0</v>
      </c>
      <c r="H239" s="17" t="b">
        <f t="shared" si="239"/>
        <v>0</v>
      </c>
      <c r="I239" s="17" t="b">
        <f t="shared" si="239"/>
        <v>0</v>
      </c>
      <c r="J239" s="17" t="b">
        <f t="shared" si="239"/>
        <v>0</v>
      </c>
      <c r="K239" s="17" t="b">
        <f t="shared" si="239"/>
        <v>0</v>
      </c>
      <c r="L239" s="17"/>
      <c r="M239" s="18" t="b">
        <v>1</v>
      </c>
      <c r="N239" s="18" t="b">
        <v>0</v>
      </c>
      <c r="O239" s="18" t="b">
        <v>0</v>
      </c>
      <c r="P239" s="18" t="b">
        <v>0</v>
      </c>
      <c r="Q239" s="16" t="str">
        <f t="shared" si="3"/>
        <v>Amsab-Instituut voor Sociale Geschiedenis</v>
      </c>
      <c r="R239" s="19">
        <v>0.0</v>
      </c>
      <c r="S239" s="18" t="b">
        <v>0</v>
      </c>
      <c r="T239" s="18" t="b">
        <v>1</v>
      </c>
      <c r="U239" s="31">
        <v>0.0</v>
      </c>
      <c r="Y239" s="23"/>
    </row>
    <row r="240">
      <c r="A240" s="16" t="s">
        <v>502</v>
      </c>
      <c r="B240" s="16" t="s">
        <v>503</v>
      </c>
      <c r="C240" s="17" t="s">
        <v>55</v>
      </c>
      <c r="D240" s="16" t="s">
        <v>504</v>
      </c>
      <c r="E240" s="17" t="b">
        <f t="shared" ref="E240:K240" si="240">If(IFERROR(SEARCH(E$1, $D240),0) &gt;= 1, true,false)</f>
        <v>1</v>
      </c>
      <c r="F240" s="17" t="b">
        <f t="shared" si="240"/>
        <v>0</v>
      </c>
      <c r="G240" s="17" t="b">
        <f t="shared" si="240"/>
        <v>0</v>
      </c>
      <c r="H240" s="17" t="b">
        <f t="shared" si="240"/>
        <v>1</v>
      </c>
      <c r="I240" s="17" t="b">
        <f t="shared" si="240"/>
        <v>0</v>
      </c>
      <c r="J240" s="17" t="b">
        <f t="shared" si="240"/>
        <v>1</v>
      </c>
      <c r="K240" s="17" t="b">
        <f t="shared" si="240"/>
        <v>1</v>
      </c>
      <c r="L240" s="17"/>
      <c r="M240" s="18" t="b">
        <v>1</v>
      </c>
      <c r="N240" s="18" t="b">
        <v>0</v>
      </c>
      <c r="O240" s="18" t="b">
        <v>1</v>
      </c>
      <c r="P240" s="18" t="b">
        <v>0</v>
      </c>
      <c r="Q240" s="16" t="str">
        <f t="shared" si="3"/>
        <v>Curiosum | Een huis vol herinnering</v>
      </c>
      <c r="R240" s="19">
        <v>8.0</v>
      </c>
      <c r="S240" s="20" t="b">
        <v>0</v>
      </c>
      <c r="T240" s="18" t="b">
        <v>0</v>
      </c>
      <c r="U240" s="16"/>
      <c r="Y240" s="23"/>
    </row>
    <row r="241">
      <c r="A241" s="16" t="s">
        <v>505</v>
      </c>
      <c r="B241" s="16"/>
      <c r="C241" s="17" t="s">
        <v>55</v>
      </c>
      <c r="D241" s="16" t="s">
        <v>10</v>
      </c>
      <c r="E241" s="17" t="b">
        <f t="shared" ref="E241:K241" si="241">If(IFERROR(SEARCH(E$1, $D241),0) &gt;= 1, true,false)</f>
        <v>0</v>
      </c>
      <c r="F241" s="17" t="b">
        <f t="shared" si="241"/>
        <v>0</v>
      </c>
      <c r="G241" s="17" t="b">
        <f t="shared" si="241"/>
        <v>0</v>
      </c>
      <c r="H241" s="17" t="b">
        <f t="shared" si="241"/>
        <v>0</v>
      </c>
      <c r="I241" s="17" t="b">
        <f t="shared" si="241"/>
        <v>0</v>
      </c>
      <c r="J241" s="17" t="b">
        <f t="shared" si="241"/>
        <v>0</v>
      </c>
      <c r="K241" s="17" t="b">
        <f t="shared" si="241"/>
        <v>1</v>
      </c>
      <c r="L241" s="17"/>
      <c r="M241" s="18" t="b">
        <v>1</v>
      </c>
      <c r="N241" s="18" t="b">
        <v>0</v>
      </c>
      <c r="O241" s="18" t="b">
        <v>0</v>
      </c>
      <c r="P241" s="18" t="b">
        <v>0</v>
      </c>
      <c r="Q241" s="16" t="str">
        <f t="shared" si="3"/>
        <v>Design Museum Gent</v>
      </c>
      <c r="R241" s="19">
        <v>5.0</v>
      </c>
      <c r="S241" s="20" t="b">
        <v>1</v>
      </c>
      <c r="T241" s="18" t="b">
        <v>0</v>
      </c>
      <c r="U241" s="16"/>
      <c r="Y241" s="23"/>
    </row>
    <row r="242">
      <c r="A242" s="16" t="s">
        <v>506</v>
      </c>
      <c r="B242" s="16" t="s">
        <v>507</v>
      </c>
      <c r="C242" s="17" t="s">
        <v>55</v>
      </c>
      <c r="D242" s="16" t="s">
        <v>107</v>
      </c>
      <c r="E242" s="17" t="b">
        <f t="shared" ref="E242:K242" si="242">If(IFERROR(SEARCH(E$1, $D242),0) &gt;= 1, true,false)</f>
        <v>1</v>
      </c>
      <c r="F242" s="17" t="b">
        <f t="shared" si="242"/>
        <v>1</v>
      </c>
      <c r="G242" s="17" t="b">
        <f t="shared" si="242"/>
        <v>0</v>
      </c>
      <c r="H242" s="17" t="b">
        <f t="shared" si="242"/>
        <v>0</v>
      </c>
      <c r="I242" s="17" t="b">
        <f t="shared" si="242"/>
        <v>0</v>
      </c>
      <c r="J242" s="17" t="b">
        <f t="shared" si="242"/>
        <v>0</v>
      </c>
      <c r="K242" s="17" t="b">
        <f t="shared" si="242"/>
        <v>0</v>
      </c>
      <c r="L242" s="17"/>
      <c r="M242" s="18" t="b">
        <v>1</v>
      </c>
      <c r="N242" s="18" t="b">
        <v>0</v>
      </c>
      <c r="O242" s="18" t="b">
        <v>0</v>
      </c>
      <c r="P242" s="18" t="b">
        <v>0</v>
      </c>
      <c r="Q242" s="16" t="str">
        <f t="shared" si="3"/>
        <v>GUM | Gents Universiteitsmuseum</v>
      </c>
      <c r="R242" s="19">
        <v>12.0</v>
      </c>
      <c r="S242" s="20" t="b">
        <v>0</v>
      </c>
      <c r="T242" s="18" t="b">
        <v>1</v>
      </c>
      <c r="U242" s="29">
        <v>12.0</v>
      </c>
      <c r="Y242" s="23"/>
    </row>
    <row r="243">
      <c r="A243" s="16"/>
      <c r="B243" s="16" t="s">
        <v>508</v>
      </c>
      <c r="C243" s="17" t="s">
        <v>55</v>
      </c>
      <c r="D243" s="16" t="s">
        <v>9</v>
      </c>
      <c r="E243" s="17" t="b">
        <f t="shared" ref="E243:K243" si="243">If(IFERROR(SEARCH(E$1, $D243),0) &gt;= 1, true,false)</f>
        <v>0</v>
      </c>
      <c r="F243" s="17" t="b">
        <f t="shared" si="243"/>
        <v>0</v>
      </c>
      <c r="G243" s="17" t="b">
        <f t="shared" si="243"/>
        <v>0</v>
      </c>
      <c r="H243" s="17" t="b">
        <f t="shared" si="243"/>
        <v>0</v>
      </c>
      <c r="I243" s="17" t="b">
        <f t="shared" si="243"/>
        <v>0</v>
      </c>
      <c r="J243" s="17" t="b">
        <f t="shared" si="243"/>
        <v>1</v>
      </c>
      <c r="K243" s="17" t="b">
        <f t="shared" si="243"/>
        <v>0</v>
      </c>
      <c r="L243" s="17"/>
      <c r="M243" s="18" t="b">
        <v>1</v>
      </c>
      <c r="N243" s="18" t="b">
        <v>0</v>
      </c>
      <c r="O243" s="18" t="b">
        <v>0</v>
      </c>
      <c r="P243" s="18" t="b">
        <v>0</v>
      </c>
      <c r="Q243" s="16" t="str">
        <f t="shared" si="3"/>
        <v>Herbert Foundation</v>
      </c>
      <c r="R243" s="19">
        <v>12.0</v>
      </c>
      <c r="S243" s="20" t="b">
        <v>0</v>
      </c>
      <c r="T243" s="18" t="b">
        <v>0</v>
      </c>
      <c r="U243" s="21"/>
      <c r="Y243" s="23"/>
    </row>
    <row r="244">
      <c r="A244" s="16" t="s">
        <v>509</v>
      </c>
      <c r="B244" s="16" t="s">
        <v>510</v>
      </c>
      <c r="C244" s="17" t="s">
        <v>55</v>
      </c>
      <c r="D244" s="16" t="s">
        <v>37</v>
      </c>
      <c r="E244" s="17" t="b">
        <f t="shared" ref="E244:K244" si="244">If(IFERROR(SEARCH(E$1, $D244),0) &gt;= 1, true,false)</f>
        <v>1</v>
      </c>
      <c r="F244" s="17" t="b">
        <f t="shared" si="244"/>
        <v>0</v>
      </c>
      <c r="G244" s="17" t="b">
        <f t="shared" si="244"/>
        <v>0</v>
      </c>
      <c r="H244" s="17" t="b">
        <f t="shared" si="244"/>
        <v>0</v>
      </c>
      <c r="I244" s="17" t="b">
        <f t="shared" si="244"/>
        <v>0</v>
      </c>
      <c r="J244" s="17" t="b">
        <f t="shared" si="244"/>
        <v>0</v>
      </c>
      <c r="K244" s="17" t="b">
        <f t="shared" si="244"/>
        <v>1</v>
      </c>
      <c r="L244" s="17"/>
      <c r="M244" s="18" t="b">
        <v>1</v>
      </c>
      <c r="N244" s="18" t="b">
        <v>1</v>
      </c>
      <c r="O244" s="18" t="b">
        <v>0</v>
      </c>
      <c r="P244" s="18" t="b">
        <v>0</v>
      </c>
      <c r="Q244" s="16" t="str">
        <f t="shared" si="3"/>
        <v>Huis van Alijn</v>
      </c>
      <c r="R244" s="19">
        <v>9.0</v>
      </c>
      <c r="S244" s="18" t="b">
        <v>0</v>
      </c>
      <c r="T244" s="18" t="b">
        <v>1</v>
      </c>
      <c r="U244" s="27">
        <v>9.0</v>
      </c>
      <c r="Y244" s="23"/>
    </row>
    <row r="245">
      <c r="A245" s="16" t="s">
        <v>511</v>
      </c>
      <c r="B245" s="16" t="s">
        <v>512</v>
      </c>
      <c r="C245" s="17" t="s">
        <v>55</v>
      </c>
      <c r="D245" s="16" t="s">
        <v>107</v>
      </c>
      <c r="E245" s="17" t="b">
        <f t="shared" ref="E245:K245" si="245">If(IFERROR(SEARCH(E$1, $D245),0) &gt;= 1, true,false)</f>
        <v>1</v>
      </c>
      <c r="F245" s="17" t="b">
        <f t="shared" si="245"/>
        <v>1</v>
      </c>
      <c r="G245" s="17" t="b">
        <f t="shared" si="245"/>
        <v>0</v>
      </c>
      <c r="H245" s="17" t="b">
        <f t="shared" si="245"/>
        <v>0</v>
      </c>
      <c r="I245" s="17" t="b">
        <f t="shared" si="245"/>
        <v>0</v>
      </c>
      <c r="J245" s="17" t="b">
        <f t="shared" si="245"/>
        <v>0</v>
      </c>
      <c r="K245" s="17" t="b">
        <f t="shared" si="245"/>
        <v>0</v>
      </c>
      <c r="L245" s="17"/>
      <c r="M245" s="18" t="b">
        <v>0</v>
      </c>
      <c r="N245" s="18" t="b">
        <v>0</v>
      </c>
      <c r="O245" s="18" t="b">
        <v>0</v>
      </c>
      <c r="P245" s="18" t="b">
        <v>0</v>
      </c>
      <c r="Q245" s="16" t="str">
        <f t="shared" si="3"/>
        <v>Industriemuseum</v>
      </c>
      <c r="R245" s="19">
        <v>9.0</v>
      </c>
      <c r="S245" s="18" t="b">
        <v>0</v>
      </c>
      <c r="T245" s="18" t="b">
        <v>1</v>
      </c>
      <c r="U245" s="27">
        <v>9.0</v>
      </c>
      <c r="Y245" s="23"/>
    </row>
    <row r="246">
      <c r="A246" s="16" t="s">
        <v>513</v>
      </c>
      <c r="B246" s="16" t="s">
        <v>514</v>
      </c>
      <c r="C246" s="17" t="s">
        <v>55</v>
      </c>
      <c r="D246" s="16" t="s">
        <v>107</v>
      </c>
      <c r="E246" s="17" t="b">
        <f t="shared" ref="E246:K246" si="246">If(IFERROR(SEARCH(E$1, $D246),0) &gt;= 1, true,false)</f>
        <v>1</v>
      </c>
      <c r="F246" s="17" t="b">
        <f t="shared" si="246"/>
        <v>1</v>
      </c>
      <c r="G246" s="17" t="b">
        <f t="shared" si="246"/>
        <v>0</v>
      </c>
      <c r="H246" s="17" t="b">
        <f t="shared" si="246"/>
        <v>0</v>
      </c>
      <c r="I246" s="17" t="b">
        <f t="shared" si="246"/>
        <v>0</v>
      </c>
      <c r="J246" s="17" t="b">
        <f t="shared" si="246"/>
        <v>0</v>
      </c>
      <c r="K246" s="17" t="b">
        <f t="shared" si="246"/>
        <v>0</v>
      </c>
      <c r="L246" s="17"/>
      <c r="M246" s="18" t="b">
        <v>1</v>
      </c>
      <c r="N246" s="18" t="b">
        <v>0</v>
      </c>
      <c r="O246" s="18" t="b">
        <v>1</v>
      </c>
      <c r="P246" s="18" t="b">
        <v>0</v>
      </c>
      <c r="Q246" s="16" t="str">
        <f t="shared" si="3"/>
        <v>Mercatormuseum</v>
      </c>
      <c r="R246" s="19">
        <v>8.0</v>
      </c>
      <c r="S246" s="18" t="b">
        <v>1</v>
      </c>
      <c r="T246" s="18" t="b">
        <v>0</v>
      </c>
      <c r="Y246" s="23"/>
    </row>
    <row r="247">
      <c r="A247" s="16" t="s">
        <v>515</v>
      </c>
      <c r="B247" s="16" t="s">
        <v>516</v>
      </c>
      <c r="C247" s="17" t="s">
        <v>55</v>
      </c>
      <c r="D247" s="16" t="s">
        <v>4</v>
      </c>
      <c r="E247" s="17" t="b">
        <f t="shared" ref="E247:K247" si="247">If(IFERROR(SEARCH(E$1, $D247),0) &gt;= 1, true,false)</f>
        <v>1</v>
      </c>
      <c r="F247" s="17" t="b">
        <f t="shared" si="247"/>
        <v>0</v>
      </c>
      <c r="G247" s="17" t="b">
        <f t="shared" si="247"/>
        <v>0</v>
      </c>
      <c r="H247" s="17" t="b">
        <f t="shared" si="247"/>
        <v>0</v>
      </c>
      <c r="I247" s="17" t="b">
        <f t="shared" si="247"/>
        <v>0</v>
      </c>
      <c r="J247" s="17" t="b">
        <f t="shared" si="247"/>
        <v>0</v>
      </c>
      <c r="K247" s="17" t="b">
        <f t="shared" si="247"/>
        <v>0</v>
      </c>
      <c r="L247" s="17"/>
      <c r="M247" s="18" t="b">
        <v>1</v>
      </c>
      <c r="N247" s="18" t="b">
        <v>0</v>
      </c>
      <c r="O247" s="18" t="b">
        <v>0</v>
      </c>
      <c r="P247" s="18" t="b">
        <v>0</v>
      </c>
      <c r="Q247" s="16" t="str">
        <f t="shared" si="3"/>
        <v>MOU | Museum Oudenaarde</v>
      </c>
      <c r="R247" s="19">
        <v>10.0</v>
      </c>
      <c r="S247" s="18" t="b">
        <v>0</v>
      </c>
      <c r="T247" s="18" t="b">
        <v>0</v>
      </c>
      <c r="Y247" s="23"/>
    </row>
    <row r="248">
      <c r="A248" s="16" t="s">
        <v>517</v>
      </c>
      <c r="B248" s="16" t="s">
        <v>518</v>
      </c>
      <c r="C248" s="17" t="s">
        <v>55</v>
      </c>
      <c r="D248" s="16" t="s">
        <v>9</v>
      </c>
      <c r="E248" s="17" t="b">
        <f t="shared" ref="E248:K248" si="248">If(IFERROR(SEARCH(E$1, $D248),0) &gt;= 1, true,false)</f>
        <v>0</v>
      </c>
      <c r="F248" s="17" t="b">
        <f t="shared" si="248"/>
        <v>0</v>
      </c>
      <c r="G248" s="17" t="b">
        <f t="shared" si="248"/>
        <v>0</v>
      </c>
      <c r="H248" s="17" t="b">
        <f t="shared" si="248"/>
        <v>0</v>
      </c>
      <c r="I248" s="17" t="b">
        <f t="shared" si="248"/>
        <v>0</v>
      </c>
      <c r="J248" s="17" t="b">
        <f t="shared" si="248"/>
        <v>1</v>
      </c>
      <c r="K248" s="17" t="b">
        <f t="shared" si="248"/>
        <v>0</v>
      </c>
      <c r="L248" s="17"/>
      <c r="M248" s="18" t="b">
        <v>1</v>
      </c>
      <c r="N248" s="18" t="b">
        <v>1</v>
      </c>
      <c r="O248" s="18" t="b">
        <v>0</v>
      </c>
      <c r="P248" s="18" t="b">
        <v>1</v>
      </c>
      <c r="Q248" s="16" t="str">
        <f t="shared" si="3"/>
        <v>MSK | Museum voor Schone Kunsten Gent</v>
      </c>
      <c r="R248" s="19">
        <v>22.0</v>
      </c>
      <c r="S248" s="18" t="b">
        <v>0</v>
      </c>
      <c r="T248" s="18" t="b">
        <v>1</v>
      </c>
      <c r="U248" s="29">
        <v>13.0</v>
      </c>
      <c r="Y248" s="23"/>
    </row>
    <row r="249">
      <c r="A249" s="16" t="s">
        <v>519</v>
      </c>
      <c r="B249" s="16" t="s">
        <v>520</v>
      </c>
      <c r="C249" s="17" t="s">
        <v>55</v>
      </c>
      <c r="D249" s="16" t="s">
        <v>428</v>
      </c>
      <c r="E249" s="17" t="b">
        <f t="shared" ref="E249:K249" si="249">If(IFERROR(SEARCH(E$1, $D249),0) &gt;= 1, true,false)</f>
        <v>1</v>
      </c>
      <c r="F249" s="17" t="b">
        <f t="shared" si="249"/>
        <v>0</v>
      </c>
      <c r="G249" s="17" t="b">
        <f t="shared" si="249"/>
        <v>1</v>
      </c>
      <c r="H249" s="17" t="b">
        <f t="shared" si="249"/>
        <v>0</v>
      </c>
      <c r="I249" s="17" t="b">
        <f t="shared" si="249"/>
        <v>0</v>
      </c>
      <c r="J249" s="17" t="b">
        <f t="shared" si="249"/>
        <v>1</v>
      </c>
      <c r="K249" s="17" t="b">
        <f t="shared" si="249"/>
        <v>0</v>
      </c>
      <c r="L249" s="17"/>
      <c r="M249" s="18" t="b">
        <v>1</v>
      </c>
      <c r="N249" s="18" t="b">
        <v>0</v>
      </c>
      <c r="O249" s="18" t="b">
        <v>1</v>
      </c>
      <c r="P249" s="18" t="b">
        <v>0</v>
      </c>
      <c r="Q249" s="16" t="str">
        <f t="shared" si="3"/>
        <v>mudel | Museum van Deinze en de Leiestreek</v>
      </c>
      <c r="R249" s="19">
        <v>10.0</v>
      </c>
      <c r="S249" s="18" t="b">
        <v>1</v>
      </c>
      <c r="T249" s="18" t="b">
        <v>0</v>
      </c>
      <c r="U249" s="33"/>
      <c r="Y249" s="23"/>
    </row>
    <row r="250">
      <c r="A250" s="16" t="s">
        <v>521</v>
      </c>
      <c r="B250" s="16" t="s">
        <v>522</v>
      </c>
      <c r="C250" s="17" t="s">
        <v>55</v>
      </c>
      <c r="D250" s="16" t="s">
        <v>9</v>
      </c>
      <c r="E250" s="17" t="b">
        <f t="shared" ref="E250:K250" si="250">If(IFERROR(SEARCH(E$1, $D250),0) &gt;= 1, true,false)</f>
        <v>0</v>
      </c>
      <c r="F250" s="17" t="b">
        <f t="shared" si="250"/>
        <v>0</v>
      </c>
      <c r="G250" s="17" t="b">
        <f t="shared" si="250"/>
        <v>0</v>
      </c>
      <c r="H250" s="17" t="b">
        <f t="shared" si="250"/>
        <v>0</v>
      </c>
      <c r="I250" s="17" t="b">
        <f t="shared" si="250"/>
        <v>0</v>
      </c>
      <c r="J250" s="17" t="b">
        <f t="shared" si="250"/>
        <v>1</v>
      </c>
      <c r="K250" s="17" t="b">
        <f t="shared" si="250"/>
        <v>0</v>
      </c>
      <c r="L250" s="17"/>
      <c r="M250" s="18" t="b">
        <v>1</v>
      </c>
      <c r="N250" s="18" t="b">
        <v>0</v>
      </c>
      <c r="O250" s="18" t="b">
        <v>1</v>
      </c>
      <c r="P250" s="18" t="b">
        <v>0</v>
      </c>
      <c r="Q250" s="16" t="str">
        <f t="shared" si="3"/>
        <v>Museum Dhondt-Dhaenens</v>
      </c>
      <c r="R250" s="19">
        <v>12.0</v>
      </c>
      <c r="S250" s="18" t="b">
        <v>0</v>
      </c>
      <c r="T250" s="18" t="b">
        <v>0</v>
      </c>
      <c r="U250" s="32"/>
      <c r="Y250" s="23"/>
    </row>
    <row r="251">
      <c r="A251" s="16" t="s">
        <v>523</v>
      </c>
      <c r="B251" s="16" t="s">
        <v>524</v>
      </c>
      <c r="C251" s="17" t="s">
        <v>55</v>
      </c>
      <c r="D251" s="16" t="s">
        <v>163</v>
      </c>
      <c r="E251" s="17" t="b">
        <f t="shared" ref="E251:K251" si="251">If(IFERROR(SEARCH(E$1, $D251),0) &gt;= 1, true,false)</f>
        <v>1</v>
      </c>
      <c r="F251" s="17" t="b">
        <f t="shared" si="251"/>
        <v>1</v>
      </c>
      <c r="G251" s="17" t="b">
        <f t="shared" si="251"/>
        <v>0</v>
      </c>
      <c r="H251" s="17" t="b">
        <f t="shared" si="251"/>
        <v>0</v>
      </c>
      <c r="I251" s="17" t="b">
        <f t="shared" si="251"/>
        <v>1</v>
      </c>
      <c r="J251" s="17" t="b">
        <f t="shared" si="251"/>
        <v>1</v>
      </c>
      <c r="K251" s="17" t="b">
        <f t="shared" si="251"/>
        <v>0</v>
      </c>
      <c r="L251" s="17"/>
      <c r="M251" s="18" t="b">
        <v>1</v>
      </c>
      <c r="N251" s="18" t="b">
        <v>1</v>
      </c>
      <c r="O251" s="18" t="b">
        <v>1</v>
      </c>
      <c r="P251" s="18" t="b">
        <v>0</v>
      </c>
      <c r="Q251" s="16" t="str">
        <f t="shared" si="3"/>
        <v>Museum Dr. Guislain</v>
      </c>
      <c r="R251" s="19">
        <v>10.0</v>
      </c>
      <c r="S251" s="18" t="b">
        <v>0</v>
      </c>
      <c r="T251" s="18" t="b">
        <v>1</v>
      </c>
      <c r="U251" s="31">
        <v>10.0</v>
      </c>
      <c r="Y251" s="23"/>
    </row>
    <row r="252">
      <c r="A252" s="16" t="s">
        <v>525</v>
      </c>
      <c r="B252" s="16" t="s">
        <v>526</v>
      </c>
      <c r="C252" s="17" t="s">
        <v>55</v>
      </c>
      <c r="D252" s="16" t="s">
        <v>9</v>
      </c>
      <c r="E252" s="17" t="b">
        <f t="shared" ref="E252:K252" si="252">If(IFERROR(SEARCH(E$1, $D252),0) &gt;= 1, true,false)</f>
        <v>0</v>
      </c>
      <c r="F252" s="17" t="b">
        <f t="shared" si="252"/>
        <v>0</v>
      </c>
      <c r="G252" s="17" t="b">
        <f t="shared" si="252"/>
        <v>0</v>
      </c>
      <c r="H252" s="17" t="b">
        <f t="shared" si="252"/>
        <v>0</v>
      </c>
      <c r="I252" s="17" t="b">
        <f t="shared" si="252"/>
        <v>0</v>
      </c>
      <c r="J252" s="17" t="b">
        <f t="shared" si="252"/>
        <v>1</v>
      </c>
      <c r="K252" s="17" t="b">
        <f t="shared" si="252"/>
        <v>0</v>
      </c>
      <c r="L252" s="17"/>
      <c r="M252" s="18" t="b">
        <v>1</v>
      </c>
      <c r="N252" s="18" t="b">
        <v>0</v>
      </c>
      <c r="O252" s="18" t="b">
        <v>0</v>
      </c>
      <c r="P252" s="18" t="b">
        <v>0</v>
      </c>
      <c r="Q252" s="16" t="str">
        <f t="shared" si="3"/>
        <v>Gemeentelijk museum Gevaert-Minne</v>
      </c>
      <c r="R252" s="19">
        <v>5.0</v>
      </c>
      <c r="S252" s="18" t="b">
        <v>0</v>
      </c>
      <c r="T252" s="18" t="b">
        <v>1</v>
      </c>
      <c r="U252" s="31">
        <v>5.0</v>
      </c>
      <c r="Y252" s="23"/>
    </row>
    <row r="253">
      <c r="A253" s="16" t="s">
        <v>527</v>
      </c>
      <c r="B253" s="16" t="s">
        <v>528</v>
      </c>
      <c r="C253" s="17" t="s">
        <v>55</v>
      </c>
      <c r="D253" s="16" t="s">
        <v>9</v>
      </c>
      <c r="E253" s="17" t="b">
        <f t="shared" ref="E253:K253" si="253">If(IFERROR(SEARCH(E$1, $D253),0) &gt;= 1, true,false)</f>
        <v>0</v>
      </c>
      <c r="F253" s="17" t="b">
        <f t="shared" si="253"/>
        <v>0</v>
      </c>
      <c r="G253" s="17" t="b">
        <f t="shared" si="253"/>
        <v>0</v>
      </c>
      <c r="H253" s="17" t="b">
        <f t="shared" si="253"/>
        <v>0</v>
      </c>
      <c r="I253" s="17" t="b">
        <f t="shared" si="253"/>
        <v>0</v>
      </c>
      <c r="J253" s="17" t="b">
        <f t="shared" si="253"/>
        <v>1</v>
      </c>
      <c r="K253" s="17" t="b">
        <f t="shared" si="253"/>
        <v>0</v>
      </c>
      <c r="L253" s="17"/>
      <c r="M253" s="18" t="b">
        <v>1</v>
      </c>
      <c r="N253" s="18" t="b">
        <v>0</v>
      </c>
      <c r="O253" s="18" t="b">
        <v>0</v>
      </c>
      <c r="P253" s="18" t="b">
        <v>0</v>
      </c>
      <c r="Q253" s="16" t="str">
        <f t="shared" si="3"/>
        <v>Gemeentelijk museum Gust De Smet</v>
      </c>
      <c r="R253" s="19">
        <v>5.0</v>
      </c>
      <c r="S253" s="18" t="b">
        <v>0</v>
      </c>
      <c r="T253" s="18" t="b">
        <v>0</v>
      </c>
      <c r="U253" s="33"/>
      <c r="Y253" s="23"/>
    </row>
    <row r="254">
      <c r="A254" s="16" t="s">
        <v>529</v>
      </c>
      <c r="B254" s="16" t="s">
        <v>530</v>
      </c>
      <c r="C254" s="17" t="s">
        <v>55</v>
      </c>
      <c r="D254" s="16" t="s">
        <v>4</v>
      </c>
      <c r="E254" s="17" t="b">
        <f t="shared" ref="E254:K254" si="254">If(IFERROR(SEARCH(E$1, $D254),0) &gt;= 1, true,false)</f>
        <v>1</v>
      </c>
      <c r="F254" s="17" t="b">
        <f t="shared" si="254"/>
        <v>0</v>
      </c>
      <c r="G254" s="17" t="b">
        <f t="shared" si="254"/>
        <v>0</v>
      </c>
      <c r="H254" s="17" t="b">
        <f t="shared" si="254"/>
        <v>0</v>
      </c>
      <c r="I254" s="17" t="b">
        <f t="shared" si="254"/>
        <v>0</v>
      </c>
      <c r="J254" s="17" t="b">
        <f t="shared" si="254"/>
        <v>0</v>
      </c>
      <c r="K254" s="17" t="b">
        <f t="shared" si="254"/>
        <v>0</v>
      </c>
      <c r="L254" s="17"/>
      <c r="M254" s="18" t="b">
        <v>1</v>
      </c>
      <c r="N254" s="18" t="b">
        <v>1</v>
      </c>
      <c r="O254" s="18" t="b">
        <v>1</v>
      </c>
      <c r="P254" s="18" t="b">
        <v>0</v>
      </c>
      <c r="Q254" s="16" t="str">
        <f t="shared" si="3"/>
        <v>Provinciale Erfgoedsite Ename</v>
      </c>
      <c r="R254" s="19">
        <v>8.0</v>
      </c>
      <c r="S254" s="18" t="b">
        <v>0</v>
      </c>
      <c r="T254" s="18" t="b">
        <v>0</v>
      </c>
      <c r="U254" s="16"/>
      <c r="Y254" s="23"/>
    </row>
    <row r="255">
      <c r="A255" s="16" t="s">
        <v>531</v>
      </c>
      <c r="B255" s="16" t="s">
        <v>532</v>
      </c>
      <c r="C255" s="17" t="s">
        <v>55</v>
      </c>
      <c r="D255" s="16" t="s">
        <v>4</v>
      </c>
      <c r="E255" s="17" t="b">
        <f t="shared" ref="E255:K255" si="255">If(IFERROR(SEARCH(E$1, $D255),0) &gt;= 1, true,false)</f>
        <v>1</v>
      </c>
      <c r="F255" s="17" t="b">
        <f t="shared" si="255"/>
        <v>0</v>
      </c>
      <c r="G255" s="17" t="b">
        <f t="shared" si="255"/>
        <v>0</v>
      </c>
      <c r="H255" s="17" t="b">
        <f t="shared" si="255"/>
        <v>0</v>
      </c>
      <c r="I255" s="17" t="b">
        <f t="shared" si="255"/>
        <v>0</v>
      </c>
      <c r="J255" s="17" t="b">
        <f t="shared" si="255"/>
        <v>0</v>
      </c>
      <c r="K255" s="17" t="b">
        <f t="shared" si="255"/>
        <v>0</v>
      </c>
      <c r="L255" s="17"/>
      <c r="M255" s="18" t="b">
        <v>0</v>
      </c>
      <c r="N255" s="18" t="b">
        <v>1</v>
      </c>
      <c r="O255" s="18" t="b">
        <v>1</v>
      </c>
      <c r="P255" s="18" t="b">
        <v>0</v>
      </c>
      <c r="Q255" s="16" t="str">
        <f t="shared" si="3"/>
        <v>Provinciale Erfgoedsite Scheepswerven Baasrode</v>
      </c>
      <c r="R255" s="19">
        <v>8.0</v>
      </c>
      <c r="S255" s="18" t="b">
        <v>0</v>
      </c>
      <c r="T255" s="18" t="b">
        <v>0</v>
      </c>
      <c r="U255" s="16"/>
      <c r="Y255" s="23"/>
    </row>
    <row r="256">
      <c r="A256" s="16" t="s">
        <v>533</v>
      </c>
      <c r="B256" s="16" t="s">
        <v>534</v>
      </c>
      <c r="C256" s="17" t="s">
        <v>55</v>
      </c>
      <c r="D256" s="16" t="s">
        <v>4</v>
      </c>
      <c r="E256" s="17" t="b">
        <f t="shared" ref="E256:K256" si="256">If(IFERROR(SEARCH(E$1, $D256),0) &gt;= 1, true,false)</f>
        <v>1</v>
      </c>
      <c r="F256" s="17" t="b">
        <f t="shared" si="256"/>
        <v>0</v>
      </c>
      <c r="G256" s="17" t="b">
        <f t="shared" si="256"/>
        <v>0</v>
      </c>
      <c r="H256" s="17" t="b">
        <f t="shared" si="256"/>
        <v>0</v>
      </c>
      <c r="I256" s="17" t="b">
        <f t="shared" si="256"/>
        <v>0</v>
      </c>
      <c r="J256" s="17" t="b">
        <f t="shared" si="256"/>
        <v>0</v>
      </c>
      <c r="K256" s="17" t="b">
        <f t="shared" si="256"/>
        <v>0</v>
      </c>
      <c r="L256" s="17"/>
      <c r="M256" s="18" t="b">
        <v>0</v>
      </c>
      <c r="N256" s="18" t="b">
        <v>0</v>
      </c>
      <c r="O256" s="18" t="b">
        <v>1</v>
      </c>
      <c r="P256" s="18" t="b">
        <v>0</v>
      </c>
      <c r="Q256" s="16" t="str">
        <f t="shared" si="3"/>
        <v>Provinciale Erfgoedsite Archeocentrum Velzeke</v>
      </c>
      <c r="R256" s="19">
        <v>8.0</v>
      </c>
      <c r="S256" s="18" t="b">
        <v>0</v>
      </c>
      <c r="T256" s="18" t="b">
        <v>1</v>
      </c>
      <c r="U256" s="29">
        <v>8.0</v>
      </c>
      <c r="Y256" s="23"/>
    </row>
    <row r="257">
      <c r="A257" s="16" t="s">
        <v>535</v>
      </c>
      <c r="B257" s="16" t="s">
        <v>536</v>
      </c>
      <c r="C257" s="17" t="s">
        <v>55</v>
      </c>
      <c r="D257" s="16" t="s">
        <v>9</v>
      </c>
      <c r="E257" s="17" t="b">
        <f t="shared" ref="E257:K257" si="257">If(IFERROR(SEARCH(E$1, $D257),0) &gt;= 1, true,false)</f>
        <v>0</v>
      </c>
      <c r="F257" s="17" t="b">
        <f t="shared" si="257"/>
        <v>0</v>
      </c>
      <c r="G257" s="17" t="b">
        <f t="shared" si="257"/>
        <v>0</v>
      </c>
      <c r="H257" s="17" t="b">
        <f t="shared" si="257"/>
        <v>0</v>
      </c>
      <c r="I257" s="17" t="b">
        <f t="shared" si="257"/>
        <v>0</v>
      </c>
      <c r="J257" s="17" t="b">
        <f t="shared" si="257"/>
        <v>1</v>
      </c>
      <c r="K257" s="17" t="b">
        <f t="shared" si="257"/>
        <v>0</v>
      </c>
      <c r="L257" s="17"/>
      <c r="M257" s="18" t="b">
        <v>1</v>
      </c>
      <c r="N257" s="18" t="b">
        <v>0</v>
      </c>
      <c r="O257" s="18" t="b">
        <v>1</v>
      </c>
      <c r="P257" s="18" t="b">
        <v>0</v>
      </c>
      <c r="Q257" s="16" t="str">
        <f t="shared" si="3"/>
        <v>Roger Raveelmuseum</v>
      </c>
      <c r="R257" s="19">
        <v>10.0</v>
      </c>
      <c r="S257" s="18" t="b">
        <v>1</v>
      </c>
      <c r="T257" s="18" t="b">
        <v>0</v>
      </c>
      <c r="U257" s="21"/>
      <c r="Y257" s="23"/>
    </row>
    <row r="258">
      <c r="A258" s="16" t="s">
        <v>537</v>
      </c>
      <c r="B258" s="16" t="s">
        <v>538</v>
      </c>
      <c r="C258" s="17" t="s">
        <v>55</v>
      </c>
      <c r="D258" s="16" t="s">
        <v>156</v>
      </c>
      <c r="E258" s="17" t="b">
        <f t="shared" ref="E258:K258" si="258">If(IFERROR(SEARCH(E$1, $D258),0) &gt;= 1, true,false)</f>
        <v>1</v>
      </c>
      <c r="F258" s="17" t="b">
        <f t="shared" si="258"/>
        <v>0</v>
      </c>
      <c r="G258" s="17" t="b">
        <f t="shared" si="258"/>
        <v>0</v>
      </c>
      <c r="H258" s="17" t="b">
        <f t="shared" si="258"/>
        <v>1</v>
      </c>
      <c r="I258" s="17" t="b">
        <f t="shared" si="258"/>
        <v>0</v>
      </c>
      <c r="J258" s="17" t="b">
        <f t="shared" si="258"/>
        <v>0</v>
      </c>
      <c r="K258" s="17" t="b">
        <f t="shared" si="258"/>
        <v>0</v>
      </c>
      <c r="L258" s="17"/>
      <c r="M258" s="18" t="b">
        <v>1</v>
      </c>
      <c r="N258" s="18" t="b">
        <v>1</v>
      </c>
      <c r="O258" s="18" t="b">
        <v>1</v>
      </c>
      <c r="P258" s="18" t="b">
        <v>0</v>
      </c>
      <c r="Q258" s="16" t="str">
        <f t="shared" si="3"/>
        <v>Sint-Pietersabdij Gent</v>
      </c>
      <c r="R258" s="19">
        <v>0.0</v>
      </c>
      <c r="S258" s="18" t="b">
        <v>0</v>
      </c>
      <c r="T258" s="18" t="b">
        <v>1</v>
      </c>
      <c r="U258" s="27">
        <v>13.0</v>
      </c>
      <c r="Y258" s="23"/>
    </row>
    <row r="259">
      <c r="A259" s="16" t="s">
        <v>539</v>
      </c>
      <c r="B259" s="16"/>
      <c r="C259" s="17" t="s">
        <v>55</v>
      </c>
      <c r="D259" s="16" t="s">
        <v>9</v>
      </c>
      <c r="E259" s="17" t="b">
        <f t="shared" ref="E259:K259" si="259">If(IFERROR(SEARCH(E$1, $D259),0) &gt;= 1, true,false)</f>
        <v>0</v>
      </c>
      <c r="F259" s="17" t="b">
        <f t="shared" si="259"/>
        <v>0</v>
      </c>
      <c r="G259" s="17" t="b">
        <f t="shared" si="259"/>
        <v>0</v>
      </c>
      <c r="H259" s="17" t="b">
        <f t="shared" si="259"/>
        <v>0</v>
      </c>
      <c r="I259" s="17" t="b">
        <f t="shared" si="259"/>
        <v>0</v>
      </c>
      <c r="J259" s="17" t="b">
        <f t="shared" si="259"/>
        <v>1</v>
      </c>
      <c r="K259" s="17" t="b">
        <f t="shared" si="259"/>
        <v>0</v>
      </c>
      <c r="L259" s="17"/>
      <c r="M259" s="18" t="b">
        <v>1</v>
      </c>
      <c r="N259" s="18" t="b">
        <v>1</v>
      </c>
      <c r="O259" s="18" t="b">
        <v>1</v>
      </c>
      <c r="P259" s="18" t="b">
        <v>1</v>
      </c>
      <c r="Q259" s="16" t="str">
        <f t="shared" si="3"/>
        <v>S.M.A.K.</v>
      </c>
      <c r="R259" s="19">
        <v>15.0</v>
      </c>
      <c r="S259" s="18" t="b">
        <v>0</v>
      </c>
      <c r="T259" s="18" t="b">
        <v>1</v>
      </c>
      <c r="U259" s="31">
        <v>18.0</v>
      </c>
      <c r="Y259" s="23"/>
    </row>
    <row r="260">
      <c r="A260" s="16" t="s">
        <v>540</v>
      </c>
      <c r="B260" s="16" t="s">
        <v>541</v>
      </c>
      <c r="C260" s="17" t="s">
        <v>55</v>
      </c>
      <c r="D260" s="16" t="s">
        <v>4</v>
      </c>
      <c r="E260" s="17" t="b">
        <f t="shared" ref="E260:K260" si="260">If(IFERROR(SEARCH(E$1, $D260),0) &gt;= 1, true,false)</f>
        <v>1</v>
      </c>
      <c r="F260" s="17" t="b">
        <f t="shared" si="260"/>
        <v>0</v>
      </c>
      <c r="G260" s="17" t="b">
        <f t="shared" si="260"/>
        <v>0</v>
      </c>
      <c r="H260" s="17" t="b">
        <f t="shared" si="260"/>
        <v>0</v>
      </c>
      <c r="I260" s="17" t="b">
        <f t="shared" si="260"/>
        <v>0</v>
      </c>
      <c r="J260" s="17" t="b">
        <f t="shared" si="260"/>
        <v>0</v>
      </c>
      <c r="K260" s="17" t="b">
        <f t="shared" si="260"/>
        <v>0</v>
      </c>
      <c r="L260" s="17"/>
      <c r="M260" s="18" t="b">
        <v>1</v>
      </c>
      <c r="N260" s="18" t="b">
        <v>1</v>
      </c>
      <c r="O260" s="18" t="b">
        <v>0</v>
      </c>
      <c r="P260" s="18" t="b">
        <v>1</v>
      </c>
      <c r="Q260" s="16" t="str">
        <f t="shared" si="3"/>
        <v>STAM | Stadsmuseum Gent</v>
      </c>
      <c r="R260" s="19">
        <v>11.0</v>
      </c>
      <c r="S260" s="18" t="b">
        <v>0</v>
      </c>
      <c r="T260" s="18" t="b">
        <v>1</v>
      </c>
      <c r="U260" s="27">
        <v>11.0</v>
      </c>
      <c r="Y260" s="23"/>
    </row>
    <row r="261">
      <c r="A261" s="16" t="s">
        <v>542</v>
      </c>
      <c r="B261" s="16" t="s">
        <v>543</v>
      </c>
      <c r="C261" s="17" t="s">
        <v>55</v>
      </c>
      <c r="D261" s="16" t="s">
        <v>95</v>
      </c>
      <c r="E261" s="17" t="b">
        <f t="shared" ref="E261:K261" si="261">If(IFERROR(SEARCH(E$1, $D261),0) &gt;= 1, true,false)</f>
        <v>1</v>
      </c>
      <c r="F261" s="17" t="b">
        <f t="shared" si="261"/>
        <v>0</v>
      </c>
      <c r="G261" s="17" t="b">
        <f t="shared" si="261"/>
        <v>0</v>
      </c>
      <c r="H261" s="17" t="b">
        <f t="shared" si="261"/>
        <v>0</v>
      </c>
      <c r="I261" s="17" t="b">
        <f t="shared" si="261"/>
        <v>0</v>
      </c>
      <c r="J261" s="17" t="b">
        <f t="shared" si="261"/>
        <v>1</v>
      </c>
      <c r="K261" s="17" t="b">
        <f t="shared" si="261"/>
        <v>0</v>
      </c>
      <c r="L261" s="17"/>
      <c r="M261" s="18" t="b">
        <v>0</v>
      </c>
      <c r="N261" s="18" t="b">
        <v>0</v>
      </c>
      <c r="O261" s="18" t="b">
        <v>0</v>
      </c>
      <c r="P261" s="18" t="b">
        <v>0</v>
      </c>
      <c r="Q261" s="16" t="str">
        <f t="shared" si="3"/>
        <v>‘t Gasthuys | Stedelijk Museum Aalst</v>
      </c>
      <c r="R261" s="19">
        <v>0.0</v>
      </c>
      <c r="S261" s="18" t="b">
        <v>0</v>
      </c>
      <c r="T261" s="18" t="b">
        <v>0</v>
      </c>
      <c r="U261" s="33"/>
      <c r="Y261" s="23"/>
    </row>
    <row r="262">
      <c r="C262" s="17"/>
      <c r="R262" s="41"/>
      <c r="U262" s="23"/>
      <c r="Y262" s="23"/>
    </row>
    <row r="263">
      <c r="C263" s="42"/>
      <c r="R263" s="41"/>
      <c r="U263" s="23"/>
      <c r="Y263" s="23"/>
    </row>
    <row r="264">
      <c r="A264" s="13"/>
      <c r="C264" s="42"/>
      <c r="R264" s="41"/>
      <c r="U264" s="23"/>
      <c r="Y264" s="23"/>
    </row>
    <row r="265">
      <c r="C265" s="42"/>
      <c r="R265" s="41"/>
      <c r="U265" s="23"/>
      <c r="Y265" s="23"/>
    </row>
    <row r="266">
      <c r="C266" s="42"/>
      <c r="R266" s="41"/>
      <c r="U266" s="23"/>
      <c r="Y266" s="23"/>
    </row>
    <row r="267">
      <c r="C267" s="42"/>
      <c r="R267" s="41"/>
      <c r="U267" s="23"/>
      <c r="Y267" s="23"/>
    </row>
    <row r="268">
      <c r="C268" s="42"/>
      <c r="R268" s="41"/>
      <c r="U268" s="23"/>
      <c r="Y268" s="23"/>
    </row>
    <row r="269">
      <c r="C269" s="42"/>
      <c r="R269" s="41"/>
      <c r="U269" s="23"/>
      <c r="Y269" s="23"/>
    </row>
    <row r="270">
      <c r="C270" s="42"/>
      <c r="R270" s="41"/>
      <c r="U270" s="23"/>
      <c r="Y270" s="23"/>
    </row>
    <row r="271">
      <c r="C271" s="42"/>
      <c r="R271" s="41"/>
      <c r="U271" s="23"/>
      <c r="Y271" s="23"/>
    </row>
    <row r="272">
      <c r="C272" s="42"/>
      <c r="R272" s="41"/>
      <c r="U272" s="23"/>
      <c r="Y272" s="23"/>
    </row>
    <row r="273">
      <c r="C273" s="42"/>
      <c r="R273" s="41"/>
      <c r="U273" s="23"/>
      <c r="Y273" s="23"/>
    </row>
    <row r="274">
      <c r="C274" s="42"/>
      <c r="R274" s="41"/>
      <c r="U274" s="23"/>
      <c r="Y274" s="23"/>
    </row>
    <row r="275">
      <c r="C275" s="42"/>
      <c r="R275" s="41"/>
      <c r="U275" s="23"/>
      <c r="Y275" s="23"/>
    </row>
    <row r="276">
      <c r="C276" s="42"/>
      <c r="R276" s="41"/>
      <c r="U276" s="23"/>
      <c r="Y276" s="23"/>
    </row>
    <row r="277">
      <c r="C277" s="42"/>
      <c r="R277" s="41"/>
      <c r="U277" s="23"/>
      <c r="Y277" s="23"/>
    </row>
    <row r="278">
      <c r="C278" s="42"/>
      <c r="R278" s="41"/>
      <c r="U278" s="23"/>
      <c r="Y278" s="23"/>
    </row>
    <row r="279">
      <c r="C279" s="42"/>
      <c r="R279" s="41"/>
      <c r="U279" s="23"/>
      <c r="Y279" s="23"/>
    </row>
    <row r="280">
      <c r="C280" s="42"/>
      <c r="R280" s="41"/>
      <c r="U280" s="23"/>
      <c r="Y280" s="23"/>
    </row>
    <row r="281">
      <c r="C281" s="42"/>
      <c r="R281" s="41"/>
      <c r="U281" s="23"/>
      <c r="Y281" s="23"/>
    </row>
    <row r="282">
      <c r="C282" s="42"/>
      <c r="R282" s="41"/>
      <c r="U282" s="23"/>
      <c r="Y282" s="23"/>
    </row>
    <row r="283">
      <c r="C283" s="42"/>
      <c r="R283" s="41"/>
      <c r="U283" s="23"/>
      <c r="Y283" s="23"/>
    </row>
    <row r="284">
      <c r="C284" s="42"/>
      <c r="R284" s="41"/>
      <c r="U284" s="23"/>
      <c r="Y284" s="23"/>
    </row>
    <row r="285">
      <c r="C285" s="42"/>
      <c r="R285" s="41"/>
      <c r="U285" s="23"/>
      <c r="Y285" s="23"/>
    </row>
    <row r="286">
      <c r="C286" s="42"/>
      <c r="R286" s="41"/>
      <c r="U286" s="23"/>
      <c r="Y286" s="23"/>
    </row>
    <row r="287">
      <c r="C287" s="42"/>
      <c r="R287" s="41"/>
      <c r="U287" s="23"/>
      <c r="Y287" s="23"/>
    </row>
    <row r="288">
      <c r="C288" s="42"/>
      <c r="R288" s="41"/>
      <c r="U288" s="23"/>
      <c r="Y288" s="23"/>
    </row>
    <row r="289">
      <c r="C289" s="42"/>
      <c r="R289" s="41"/>
      <c r="U289" s="23"/>
      <c r="Y289" s="23"/>
    </row>
    <row r="290">
      <c r="C290" s="42"/>
      <c r="R290" s="41"/>
      <c r="U290" s="23"/>
      <c r="Y290" s="23"/>
    </row>
    <row r="291">
      <c r="C291" s="42"/>
      <c r="R291" s="41"/>
      <c r="U291" s="23"/>
      <c r="Y291" s="23"/>
    </row>
    <row r="292">
      <c r="C292" s="42"/>
      <c r="R292" s="41"/>
      <c r="U292" s="23"/>
      <c r="Y292" s="23"/>
    </row>
    <row r="293">
      <c r="C293" s="42"/>
      <c r="R293" s="41"/>
      <c r="U293" s="23"/>
      <c r="Y293" s="23"/>
    </row>
    <row r="294">
      <c r="C294" s="42"/>
      <c r="R294" s="41"/>
      <c r="U294" s="23"/>
      <c r="Y294" s="23"/>
    </row>
    <row r="295">
      <c r="C295" s="42"/>
      <c r="R295" s="41"/>
      <c r="U295" s="23"/>
      <c r="Y295" s="23"/>
    </row>
    <row r="296">
      <c r="C296" s="42"/>
      <c r="R296" s="41"/>
      <c r="U296" s="23"/>
      <c r="Y296" s="23"/>
    </row>
    <row r="297">
      <c r="C297" s="42"/>
      <c r="R297" s="41"/>
      <c r="U297" s="23"/>
      <c r="Y297" s="23"/>
    </row>
    <row r="298">
      <c r="C298" s="42"/>
      <c r="R298" s="41"/>
      <c r="U298" s="23"/>
      <c r="Y298" s="23"/>
    </row>
    <row r="299">
      <c r="C299" s="42"/>
      <c r="R299" s="41"/>
      <c r="U299" s="23"/>
      <c r="Y299" s="23"/>
    </row>
    <row r="300">
      <c r="C300" s="42"/>
      <c r="R300" s="41"/>
      <c r="U300" s="23"/>
      <c r="Y300" s="23"/>
    </row>
    <row r="301">
      <c r="C301" s="42"/>
      <c r="R301" s="41"/>
      <c r="U301" s="23"/>
      <c r="Y301" s="23"/>
    </row>
    <row r="302">
      <c r="C302" s="42"/>
      <c r="R302" s="41"/>
      <c r="U302" s="23"/>
      <c r="Y302" s="23"/>
    </row>
    <row r="303">
      <c r="C303" s="42"/>
      <c r="R303" s="41"/>
      <c r="U303" s="23"/>
      <c r="Y303" s="23"/>
    </row>
    <row r="304">
      <c r="C304" s="42"/>
      <c r="R304" s="41"/>
      <c r="U304" s="23"/>
      <c r="Y304" s="23"/>
    </row>
    <row r="305">
      <c r="C305" s="42"/>
      <c r="R305" s="41"/>
      <c r="U305" s="23"/>
      <c r="Y305" s="23"/>
    </row>
    <row r="306">
      <c r="C306" s="42"/>
      <c r="R306" s="41"/>
      <c r="U306" s="23"/>
      <c r="Y306" s="23"/>
    </row>
    <row r="307">
      <c r="C307" s="42"/>
      <c r="R307" s="41"/>
      <c r="U307" s="23"/>
      <c r="Y307" s="23"/>
    </row>
    <row r="308">
      <c r="C308" s="42"/>
      <c r="R308" s="41"/>
      <c r="U308" s="23"/>
      <c r="Y308" s="23"/>
    </row>
    <row r="309">
      <c r="C309" s="42"/>
      <c r="R309" s="41"/>
      <c r="U309" s="23"/>
      <c r="Y309" s="23"/>
    </row>
    <row r="310">
      <c r="C310" s="42"/>
      <c r="R310" s="41"/>
      <c r="U310" s="23"/>
      <c r="Y310" s="23"/>
    </row>
    <row r="311">
      <c r="C311" s="42"/>
      <c r="R311" s="41"/>
      <c r="U311" s="23"/>
      <c r="Y311" s="23"/>
    </row>
    <row r="312">
      <c r="C312" s="42"/>
      <c r="R312" s="41"/>
      <c r="U312" s="23"/>
      <c r="Y312" s="23"/>
    </row>
    <row r="313">
      <c r="C313" s="42"/>
      <c r="R313" s="41"/>
      <c r="U313" s="23"/>
      <c r="Y313" s="23"/>
    </row>
    <row r="314">
      <c r="C314" s="42"/>
      <c r="R314" s="41"/>
      <c r="U314" s="23"/>
      <c r="Y314" s="23"/>
    </row>
    <row r="315">
      <c r="C315" s="42"/>
      <c r="R315" s="41"/>
      <c r="U315" s="23"/>
      <c r="Y315" s="23"/>
    </row>
    <row r="316">
      <c r="C316" s="42"/>
      <c r="R316" s="41"/>
      <c r="U316" s="23"/>
      <c r="Y316" s="23"/>
    </row>
    <row r="317">
      <c r="C317" s="42"/>
      <c r="R317" s="41"/>
      <c r="U317" s="23"/>
      <c r="Y317" s="23"/>
    </row>
    <row r="318">
      <c r="C318" s="42"/>
      <c r="R318" s="41"/>
      <c r="U318" s="23"/>
      <c r="Y318" s="23"/>
    </row>
    <row r="319">
      <c r="C319" s="42"/>
      <c r="R319" s="41"/>
      <c r="U319" s="23"/>
      <c r="Y319" s="23"/>
    </row>
    <row r="320">
      <c r="C320" s="42"/>
      <c r="R320" s="41"/>
      <c r="U320" s="23"/>
      <c r="Y320" s="23"/>
    </row>
    <row r="321">
      <c r="C321" s="42"/>
      <c r="R321" s="41"/>
      <c r="U321" s="23"/>
      <c r="Y321" s="23"/>
    </row>
    <row r="322">
      <c r="C322" s="42"/>
      <c r="R322" s="41"/>
      <c r="U322" s="23"/>
      <c r="Y322" s="23"/>
    </row>
    <row r="323">
      <c r="C323" s="42"/>
      <c r="R323" s="41"/>
      <c r="U323" s="23"/>
      <c r="Y323" s="23"/>
    </row>
    <row r="324">
      <c r="C324" s="42"/>
      <c r="R324" s="41"/>
      <c r="U324" s="23"/>
      <c r="Y324" s="23"/>
    </row>
    <row r="325">
      <c r="C325" s="42"/>
      <c r="R325" s="41"/>
      <c r="U325" s="23"/>
      <c r="Y325" s="23"/>
    </row>
    <row r="326">
      <c r="C326" s="42"/>
      <c r="R326" s="41"/>
      <c r="U326" s="23"/>
      <c r="Y326" s="23"/>
    </row>
    <row r="327">
      <c r="C327" s="42"/>
      <c r="R327" s="41"/>
      <c r="U327" s="23"/>
      <c r="Y327" s="23"/>
    </row>
    <row r="328">
      <c r="C328" s="42"/>
      <c r="R328" s="41"/>
      <c r="U328" s="23"/>
      <c r="Y328" s="23"/>
    </row>
    <row r="329">
      <c r="C329" s="42"/>
      <c r="R329" s="41"/>
      <c r="U329" s="23"/>
      <c r="Y329" s="23"/>
    </row>
    <row r="330">
      <c r="C330" s="42"/>
      <c r="R330" s="41"/>
      <c r="U330" s="23"/>
      <c r="Y330" s="23"/>
    </row>
    <row r="331">
      <c r="C331" s="42"/>
      <c r="R331" s="41"/>
      <c r="U331" s="23"/>
      <c r="Y331" s="23"/>
    </row>
    <row r="332">
      <c r="C332" s="42"/>
      <c r="R332" s="41"/>
      <c r="U332" s="23"/>
      <c r="Y332" s="23"/>
    </row>
    <row r="333">
      <c r="C333" s="42"/>
      <c r="R333" s="41"/>
      <c r="U333" s="23"/>
      <c r="Y333" s="23"/>
    </row>
    <row r="334">
      <c r="C334" s="42"/>
      <c r="R334" s="41"/>
      <c r="U334" s="23"/>
      <c r="Y334" s="23"/>
    </row>
    <row r="335">
      <c r="C335" s="42"/>
      <c r="R335" s="41"/>
      <c r="U335" s="23"/>
      <c r="Y335" s="23"/>
    </row>
    <row r="336">
      <c r="C336" s="42"/>
      <c r="R336" s="41"/>
      <c r="U336" s="23"/>
      <c r="Y336" s="23"/>
    </row>
    <row r="337">
      <c r="C337" s="42"/>
      <c r="R337" s="41"/>
      <c r="U337" s="23"/>
      <c r="Y337" s="23"/>
    </row>
    <row r="338">
      <c r="C338" s="42"/>
      <c r="R338" s="41"/>
      <c r="U338" s="23"/>
      <c r="Y338" s="23"/>
    </row>
    <row r="339">
      <c r="C339" s="42"/>
      <c r="R339" s="41"/>
      <c r="U339" s="23"/>
      <c r="Y339" s="23"/>
    </row>
    <row r="340">
      <c r="C340" s="42"/>
      <c r="R340" s="41"/>
      <c r="U340" s="23"/>
      <c r="Y340" s="23"/>
    </row>
    <row r="341">
      <c r="C341" s="42"/>
      <c r="R341" s="41"/>
      <c r="U341" s="23"/>
      <c r="Y341" s="23"/>
    </row>
    <row r="342">
      <c r="C342" s="42"/>
      <c r="R342" s="41"/>
      <c r="U342" s="23"/>
      <c r="Y342" s="23"/>
    </row>
    <row r="343">
      <c r="C343" s="42"/>
      <c r="R343" s="41"/>
      <c r="U343" s="23"/>
      <c r="Y343" s="23"/>
    </row>
    <row r="344">
      <c r="C344" s="42"/>
      <c r="R344" s="41"/>
      <c r="U344" s="23"/>
      <c r="Y344" s="23"/>
    </row>
    <row r="345">
      <c r="C345" s="42"/>
      <c r="R345" s="41"/>
      <c r="U345" s="23"/>
      <c r="Y345" s="23"/>
    </row>
    <row r="346">
      <c r="C346" s="42"/>
      <c r="R346" s="41"/>
      <c r="U346" s="23"/>
      <c r="Y346" s="23"/>
    </row>
    <row r="347">
      <c r="C347" s="42"/>
      <c r="R347" s="41"/>
      <c r="U347" s="23"/>
      <c r="Y347" s="23"/>
    </row>
    <row r="348">
      <c r="C348" s="42"/>
      <c r="R348" s="41"/>
      <c r="U348" s="23"/>
      <c r="Y348" s="23"/>
    </row>
    <row r="349">
      <c r="C349" s="42"/>
      <c r="R349" s="41"/>
      <c r="U349" s="23"/>
      <c r="Y349" s="23"/>
    </row>
    <row r="350">
      <c r="C350" s="42"/>
      <c r="R350" s="41"/>
      <c r="U350" s="23"/>
      <c r="Y350" s="23"/>
    </row>
    <row r="351">
      <c r="C351" s="42"/>
      <c r="R351" s="41"/>
      <c r="U351" s="23"/>
      <c r="Y351" s="23"/>
    </row>
    <row r="352">
      <c r="C352" s="42"/>
      <c r="R352" s="41"/>
      <c r="U352" s="23"/>
      <c r="Y352" s="23"/>
    </row>
    <row r="353">
      <c r="C353" s="42"/>
      <c r="R353" s="41"/>
      <c r="U353" s="23"/>
      <c r="Y353" s="23"/>
    </row>
    <row r="354">
      <c r="C354" s="42"/>
      <c r="R354" s="41"/>
      <c r="U354" s="23"/>
      <c r="Y354" s="23"/>
    </row>
    <row r="355">
      <c r="C355" s="42"/>
      <c r="R355" s="41"/>
      <c r="U355" s="23"/>
      <c r="Y355" s="23"/>
    </row>
    <row r="356">
      <c r="C356" s="42"/>
      <c r="R356" s="41"/>
      <c r="U356" s="23"/>
      <c r="Y356" s="23"/>
    </row>
    <row r="357">
      <c r="C357" s="42"/>
      <c r="R357" s="41"/>
      <c r="U357" s="23"/>
      <c r="Y357" s="23"/>
    </row>
    <row r="358">
      <c r="C358" s="42"/>
      <c r="R358" s="41"/>
      <c r="U358" s="23"/>
      <c r="Y358" s="23"/>
    </row>
    <row r="359">
      <c r="C359" s="42"/>
      <c r="R359" s="41"/>
      <c r="U359" s="23"/>
      <c r="Y359" s="23"/>
    </row>
    <row r="360">
      <c r="C360" s="42"/>
      <c r="R360" s="41"/>
      <c r="U360" s="23"/>
      <c r="Y360" s="23"/>
    </row>
    <row r="361">
      <c r="C361" s="42"/>
      <c r="R361" s="41"/>
      <c r="U361" s="23"/>
      <c r="Y361" s="23"/>
    </row>
    <row r="362">
      <c r="C362" s="42"/>
      <c r="R362" s="41"/>
      <c r="U362" s="23"/>
      <c r="Y362" s="23"/>
    </row>
    <row r="363">
      <c r="C363" s="42"/>
      <c r="R363" s="41"/>
      <c r="U363" s="23"/>
      <c r="Y363" s="23"/>
    </row>
    <row r="364">
      <c r="C364" s="42"/>
      <c r="R364" s="41"/>
      <c r="U364" s="23"/>
      <c r="Y364" s="23"/>
    </row>
    <row r="365">
      <c r="C365" s="42"/>
      <c r="R365" s="41"/>
      <c r="U365" s="23"/>
      <c r="Y365" s="23"/>
    </row>
    <row r="366">
      <c r="C366" s="42"/>
      <c r="R366" s="41"/>
      <c r="U366" s="23"/>
      <c r="Y366" s="23"/>
    </row>
    <row r="367">
      <c r="C367" s="42"/>
      <c r="R367" s="41"/>
      <c r="U367" s="23"/>
      <c r="Y367" s="23"/>
    </row>
    <row r="368">
      <c r="C368" s="42"/>
      <c r="R368" s="41"/>
      <c r="U368" s="23"/>
      <c r="Y368" s="23"/>
    </row>
    <row r="369">
      <c r="C369" s="42"/>
      <c r="R369" s="41"/>
      <c r="U369" s="23"/>
      <c r="Y369" s="23"/>
    </row>
    <row r="370">
      <c r="C370" s="42"/>
      <c r="R370" s="41"/>
      <c r="U370" s="23"/>
      <c r="Y370" s="23"/>
    </row>
    <row r="371">
      <c r="C371" s="42"/>
      <c r="R371" s="41"/>
      <c r="U371" s="23"/>
      <c r="Y371" s="23"/>
    </row>
    <row r="372">
      <c r="C372" s="42"/>
      <c r="R372" s="41"/>
      <c r="U372" s="23"/>
      <c r="Y372" s="23"/>
    </row>
    <row r="373">
      <c r="C373" s="42"/>
      <c r="R373" s="41"/>
      <c r="U373" s="23"/>
      <c r="Y373" s="23"/>
    </row>
    <row r="374">
      <c r="C374" s="42"/>
      <c r="R374" s="41"/>
      <c r="U374" s="23"/>
      <c r="Y374" s="23"/>
    </row>
    <row r="375">
      <c r="C375" s="42"/>
      <c r="R375" s="41"/>
      <c r="U375" s="23"/>
      <c r="Y375" s="23"/>
    </row>
    <row r="376">
      <c r="C376" s="42"/>
      <c r="R376" s="41"/>
      <c r="U376" s="23"/>
      <c r="Y376" s="23"/>
    </row>
    <row r="377">
      <c r="C377" s="42"/>
      <c r="R377" s="41"/>
      <c r="U377" s="23"/>
      <c r="Y377" s="23"/>
    </row>
    <row r="378">
      <c r="C378" s="42"/>
      <c r="R378" s="41"/>
      <c r="U378" s="23"/>
      <c r="Y378" s="23"/>
    </row>
    <row r="379">
      <c r="C379" s="42"/>
      <c r="R379" s="41"/>
      <c r="U379" s="23"/>
      <c r="Y379" s="23"/>
    </row>
    <row r="380">
      <c r="C380" s="42"/>
      <c r="R380" s="41"/>
      <c r="U380" s="23"/>
      <c r="Y380" s="23"/>
    </row>
    <row r="381">
      <c r="C381" s="42"/>
      <c r="R381" s="41"/>
      <c r="U381" s="23"/>
      <c r="Y381" s="23"/>
    </row>
    <row r="382">
      <c r="C382" s="42"/>
      <c r="R382" s="41"/>
      <c r="U382" s="23"/>
      <c r="Y382" s="23"/>
    </row>
    <row r="383">
      <c r="C383" s="42"/>
      <c r="R383" s="41"/>
      <c r="U383" s="23"/>
      <c r="Y383" s="23"/>
    </row>
    <row r="384">
      <c r="C384" s="42"/>
      <c r="R384" s="41"/>
      <c r="U384" s="23"/>
      <c r="Y384" s="23"/>
    </row>
    <row r="385">
      <c r="C385" s="42"/>
      <c r="R385" s="41"/>
      <c r="U385" s="23"/>
      <c r="Y385" s="23"/>
    </row>
    <row r="386">
      <c r="C386" s="42"/>
      <c r="R386" s="41"/>
      <c r="U386" s="23"/>
      <c r="Y386" s="23"/>
    </row>
    <row r="387">
      <c r="C387" s="42"/>
      <c r="R387" s="41"/>
      <c r="U387" s="23"/>
      <c r="Y387" s="23"/>
    </row>
    <row r="388">
      <c r="C388" s="42"/>
      <c r="R388" s="41"/>
      <c r="U388" s="23"/>
      <c r="Y388" s="23"/>
    </row>
    <row r="389">
      <c r="C389" s="42"/>
      <c r="R389" s="41"/>
      <c r="U389" s="23"/>
      <c r="Y389" s="23"/>
    </row>
    <row r="390">
      <c r="C390" s="42"/>
      <c r="R390" s="41"/>
      <c r="U390" s="23"/>
      <c r="Y390" s="23"/>
    </row>
    <row r="391">
      <c r="C391" s="42"/>
      <c r="R391" s="41"/>
      <c r="U391" s="23"/>
      <c r="Y391" s="23"/>
    </row>
    <row r="392">
      <c r="C392" s="42"/>
      <c r="R392" s="41"/>
      <c r="U392" s="23"/>
      <c r="Y392" s="23"/>
    </row>
    <row r="393">
      <c r="C393" s="42"/>
      <c r="R393" s="41"/>
      <c r="U393" s="23"/>
      <c r="Y393" s="23"/>
    </row>
    <row r="394">
      <c r="C394" s="42"/>
      <c r="R394" s="41"/>
      <c r="U394" s="23"/>
      <c r="Y394" s="23"/>
    </row>
    <row r="395">
      <c r="C395" s="42"/>
      <c r="R395" s="41"/>
      <c r="U395" s="23"/>
      <c r="Y395" s="23"/>
    </row>
    <row r="396">
      <c r="C396" s="42"/>
      <c r="R396" s="41"/>
      <c r="U396" s="23"/>
      <c r="Y396" s="23"/>
    </row>
    <row r="397">
      <c r="C397" s="42"/>
      <c r="R397" s="41"/>
      <c r="U397" s="23"/>
      <c r="Y397" s="23"/>
    </row>
    <row r="398">
      <c r="C398" s="42"/>
      <c r="R398" s="41"/>
      <c r="U398" s="23"/>
      <c r="Y398" s="23"/>
    </row>
    <row r="399">
      <c r="C399" s="42"/>
      <c r="R399" s="41"/>
      <c r="U399" s="23"/>
      <c r="Y399" s="23"/>
    </row>
    <row r="400">
      <c r="C400" s="42"/>
      <c r="R400" s="41"/>
      <c r="U400" s="23"/>
      <c r="Y400" s="23"/>
    </row>
    <row r="401">
      <c r="C401" s="42"/>
      <c r="R401" s="41"/>
      <c r="U401" s="23"/>
      <c r="Y401" s="23"/>
    </row>
    <row r="402">
      <c r="C402" s="42"/>
      <c r="R402" s="41"/>
      <c r="U402" s="23"/>
      <c r="Y402" s="23"/>
    </row>
    <row r="403">
      <c r="C403" s="42"/>
      <c r="R403" s="41"/>
      <c r="U403" s="23"/>
      <c r="Y403" s="23"/>
    </row>
    <row r="404">
      <c r="C404" s="42"/>
      <c r="R404" s="41"/>
      <c r="U404" s="23"/>
      <c r="Y404" s="23"/>
    </row>
    <row r="405">
      <c r="C405" s="42"/>
      <c r="R405" s="41"/>
      <c r="U405" s="23"/>
      <c r="Y405" s="23"/>
    </row>
    <row r="406">
      <c r="C406" s="42"/>
      <c r="R406" s="41"/>
      <c r="U406" s="23"/>
      <c r="Y406" s="23"/>
    </row>
    <row r="407">
      <c r="C407" s="42"/>
      <c r="R407" s="41"/>
      <c r="U407" s="23"/>
      <c r="Y407" s="23"/>
    </row>
    <row r="408">
      <c r="C408" s="42"/>
      <c r="R408" s="41"/>
      <c r="U408" s="23"/>
      <c r="Y408" s="23"/>
    </row>
    <row r="409">
      <c r="C409" s="42"/>
      <c r="R409" s="41"/>
      <c r="U409" s="23"/>
      <c r="Y409" s="23"/>
    </row>
    <row r="410">
      <c r="C410" s="42"/>
      <c r="R410" s="41"/>
      <c r="U410" s="23"/>
      <c r="Y410" s="23"/>
    </row>
    <row r="411">
      <c r="C411" s="42"/>
      <c r="R411" s="41"/>
      <c r="U411" s="23"/>
      <c r="Y411" s="23"/>
    </row>
    <row r="412">
      <c r="C412" s="42"/>
      <c r="R412" s="41"/>
      <c r="U412" s="23"/>
      <c r="Y412" s="23"/>
    </row>
    <row r="413">
      <c r="C413" s="42"/>
      <c r="R413" s="41"/>
      <c r="U413" s="23"/>
      <c r="Y413" s="23"/>
    </row>
    <row r="414">
      <c r="C414" s="42"/>
      <c r="R414" s="41"/>
      <c r="U414" s="23"/>
      <c r="Y414" s="23"/>
    </row>
    <row r="415">
      <c r="C415" s="42"/>
      <c r="R415" s="41"/>
      <c r="U415" s="23"/>
      <c r="Y415" s="23"/>
    </row>
    <row r="416">
      <c r="C416" s="42"/>
      <c r="R416" s="41"/>
      <c r="U416" s="23"/>
      <c r="Y416" s="23"/>
    </row>
    <row r="417">
      <c r="C417" s="42"/>
      <c r="R417" s="41"/>
      <c r="U417" s="23"/>
      <c r="Y417" s="23"/>
    </row>
    <row r="418">
      <c r="C418" s="42"/>
      <c r="R418" s="41"/>
      <c r="U418" s="23"/>
      <c r="Y418" s="23"/>
    </row>
    <row r="419">
      <c r="C419" s="42"/>
      <c r="R419" s="41"/>
      <c r="U419" s="23"/>
      <c r="Y419" s="23"/>
    </row>
    <row r="420">
      <c r="C420" s="42"/>
      <c r="R420" s="41"/>
      <c r="U420" s="23"/>
      <c r="Y420" s="23"/>
    </row>
    <row r="421">
      <c r="C421" s="42"/>
      <c r="R421" s="41"/>
      <c r="U421" s="23"/>
      <c r="Y421" s="23"/>
    </row>
    <row r="422">
      <c r="C422" s="42"/>
      <c r="R422" s="41"/>
      <c r="U422" s="23"/>
      <c r="Y422" s="23"/>
    </row>
    <row r="423">
      <c r="C423" s="42"/>
      <c r="R423" s="41"/>
      <c r="U423" s="23"/>
      <c r="Y423" s="23"/>
    </row>
    <row r="424">
      <c r="C424" s="42"/>
      <c r="R424" s="41"/>
      <c r="U424" s="23"/>
      <c r="Y424" s="23"/>
    </row>
    <row r="425">
      <c r="C425" s="42"/>
      <c r="R425" s="41"/>
      <c r="U425" s="23"/>
      <c r="Y425" s="23"/>
    </row>
    <row r="426">
      <c r="C426" s="42"/>
      <c r="R426" s="41"/>
      <c r="U426" s="23"/>
      <c r="Y426" s="23"/>
    </row>
    <row r="427">
      <c r="C427" s="42"/>
      <c r="R427" s="41"/>
      <c r="U427" s="23"/>
      <c r="Y427" s="23"/>
    </row>
    <row r="428">
      <c r="C428" s="42"/>
      <c r="R428" s="41"/>
      <c r="U428" s="23"/>
      <c r="Y428" s="23"/>
    </row>
    <row r="429">
      <c r="C429" s="42"/>
      <c r="R429" s="41"/>
      <c r="U429" s="23"/>
      <c r="Y429" s="23"/>
    </row>
    <row r="430">
      <c r="C430" s="42"/>
      <c r="R430" s="41"/>
      <c r="U430" s="23"/>
      <c r="Y430" s="23"/>
    </row>
    <row r="431">
      <c r="C431" s="42"/>
      <c r="R431" s="41"/>
      <c r="U431" s="23"/>
      <c r="Y431" s="23"/>
    </row>
    <row r="432">
      <c r="C432" s="42"/>
      <c r="R432" s="41"/>
      <c r="U432" s="23"/>
      <c r="Y432" s="23"/>
    </row>
    <row r="433">
      <c r="C433" s="42"/>
      <c r="R433" s="41"/>
      <c r="U433" s="23"/>
      <c r="Y433" s="23"/>
    </row>
    <row r="434">
      <c r="C434" s="42"/>
      <c r="R434" s="41"/>
      <c r="U434" s="23"/>
      <c r="Y434" s="23"/>
    </row>
    <row r="435">
      <c r="C435" s="42"/>
      <c r="R435" s="41"/>
      <c r="U435" s="23"/>
      <c r="Y435" s="23"/>
    </row>
    <row r="436">
      <c r="C436" s="42"/>
      <c r="R436" s="41"/>
      <c r="U436" s="23"/>
      <c r="Y436" s="23"/>
    </row>
    <row r="437">
      <c r="C437" s="42"/>
      <c r="R437" s="41"/>
      <c r="U437" s="23"/>
      <c r="Y437" s="23"/>
    </row>
    <row r="438">
      <c r="C438" s="42"/>
      <c r="R438" s="41"/>
      <c r="U438" s="23"/>
      <c r="Y438" s="23"/>
    </row>
    <row r="439">
      <c r="C439" s="42"/>
      <c r="R439" s="41"/>
      <c r="U439" s="23"/>
      <c r="Y439" s="23"/>
    </row>
    <row r="440">
      <c r="C440" s="42"/>
      <c r="R440" s="41"/>
      <c r="U440" s="23"/>
      <c r="Y440" s="23"/>
    </row>
    <row r="441">
      <c r="C441" s="42"/>
      <c r="R441" s="41"/>
      <c r="U441" s="23"/>
      <c r="Y441" s="23"/>
    </row>
    <row r="442">
      <c r="C442" s="42"/>
      <c r="R442" s="41"/>
      <c r="U442" s="23"/>
      <c r="Y442" s="23"/>
    </row>
    <row r="443">
      <c r="C443" s="42"/>
      <c r="R443" s="41"/>
      <c r="U443" s="23"/>
      <c r="Y443" s="23"/>
    </row>
    <row r="444">
      <c r="C444" s="42"/>
      <c r="R444" s="41"/>
      <c r="U444" s="23"/>
      <c r="Y444" s="23"/>
    </row>
    <row r="445">
      <c r="C445" s="42"/>
      <c r="R445" s="41"/>
      <c r="U445" s="23"/>
      <c r="Y445" s="23"/>
    </row>
    <row r="446">
      <c r="C446" s="42"/>
      <c r="R446" s="41"/>
      <c r="U446" s="23"/>
      <c r="Y446" s="23"/>
    </row>
    <row r="447">
      <c r="C447" s="42"/>
      <c r="R447" s="41"/>
      <c r="U447" s="23"/>
      <c r="Y447" s="23"/>
    </row>
    <row r="448">
      <c r="C448" s="42"/>
      <c r="R448" s="41"/>
      <c r="U448" s="23"/>
      <c r="Y448" s="23"/>
    </row>
    <row r="449">
      <c r="C449" s="42"/>
      <c r="R449" s="41"/>
      <c r="U449" s="23"/>
      <c r="Y449" s="23"/>
    </row>
    <row r="450">
      <c r="C450" s="42"/>
      <c r="R450" s="41"/>
      <c r="U450" s="23"/>
      <c r="Y450" s="23"/>
    </row>
    <row r="451">
      <c r="C451" s="42"/>
      <c r="R451" s="41"/>
      <c r="U451" s="23"/>
      <c r="Y451" s="23"/>
    </row>
    <row r="452">
      <c r="C452" s="42"/>
      <c r="R452" s="41"/>
      <c r="U452" s="23"/>
      <c r="Y452" s="23"/>
    </row>
    <row r="453">
      <c r="C453" s="42"/>
      <c r="R453" s="41"/>
      <c r="U453" s="23"/>
      <c r="Y453" s="23"/>
    </row>
    <row r="454">
      <c r="C454" s="42"/>
      <c r="R454" s="41"/>
      <c r="U454" s="23"/>
      <c r="Y454" s="23"/>
    </row>
    <row r="455">
      <c r="C455" s="42"/>
      <c r="R455" s="41"/>
      <c r="U455" s="23"/>
      <c r="Y455" s="23"/>
    </row>
    <row r="456">
      <c r="C456" s="42"/>
      <c r="R456" s="41"/>
      <c r="U456" s="23"/>
      <c r="Y456" s="23"/>
    </row>
    <row r="457">
      <c r="C457" s="42"/>
      <c r="R457" s="41"/>
      <c r="U457" s="23"/>
      <c r="Y457" s="23"/>
    </row>
    <row r="458">
      <c r="C458" s="42"/>
      <c r="R458" s="41"/>
      <c r="U458" s="23"/>
      <c r="Y458" s="23"/>
    </row>
    <row r="459">
      <c r="C459" s="42"/>
      <c r="R459" s="41"/>
      <c r="U459" s="23"/>
      <c r="Y459" s="23"/>
    </row>
    <row r="460">
      <c r="C460" s="42"/>
      <c r="R460" s="41"/>
      <c r="U460" s="23"/>
      <c r="Y460" s="23"/>
    </row>
    <row r="461">
      <c r="C461" s="42"/>
      <c r="R461" s="41"/>
      <c r="U461" s="23"/>
      <c r="Y461" s="23"/>
    </row>
    <row r="462">
      <c r="C462" s="42"/>
      <c r="R462" s="41"/>
      <c r="U462" s="23"/>
      <c r="Y462" s="23"/>
    </row>
    <row r="463">
      <c r="C463" s="42"/>
      <c r="R463" s="41"/>
      <c r="U463" s="23"/>
      <c r="Y463" s="23"/>
    </row>
    <row r="464">
      <c r="C464" s="42"/>
      <c r="R464" s="41"/>
      <c r="U464" s="23"/>
      <c r="Y464" s="23"/>
    </row>
    <row r="465">
      <c r="C465" s="42"/>
      <c r="R465" s="41"/>
      <c r="U465" s="23"/>
      <c r="Y465" s="23"/>
    </row>
    <row r="466">
      <c r="C466" s="42"/>
      <c r="R466" s="41"/>
      <c r="U466" s="23"/>
      <c r="Y466" s="23"/>
    </row>
    <row r="467">
      <c r="C467" s="42"/>
      <c r="R467" s="41"/>
      <c r="U467" s="23"/>
      <c r="Y467" s="23"/>
    </row>
    <row r="468">
      <c r="C468" s="42"/>
      <c r="R468" s="41"/>
      <c r="U468" s="23"/>
      <c r="Y468" s="23"/>
    </row>
    <row r="469">
      <c r="C469" s="42"/>
      <c r="R469" s="41"/>
      <c r="U469" s="23"/>
      <c r="Y469" s="23"/>
    </row>
    <row r="470">
      <c r="C470" s="42"/>
      <c r="R470" s="41"/>
      <c r="U470" s="23"/>
      <c r="Y470" s="23"/>
    </row>
    <row r="471">
      <c r="C471" s="42"/>
      <c r="R471" s="41"/>
      <c r="U471" s="23"/>
      <c r="Y471" s="23"/>
    </row>
    <row r="472">
      <c r="C472" s="42"/>
      <c r="R472" s="41"/>
      <c r="U472" s="23"/>
      <c r="Y472" s="23"/>
    </row>
    <row r="473">
      <c r="C473" s="42"/>
      <c r="R473" s="41"/>
      <c r="U473" s="23"/>
      <c r="Y473" s="23"/>
    </row>
    <row r="474">
      <c r="C474" s="42"/>
      <c r="R474" s="41"/>
      <c r="U474" s="23"/>
      <c r="Y474" s="23"/>
    </row>
    <row r="475">
      <c r="C475" s="42"/>
      <c r="R475" s="41"/>
      <c r="U475" s="23"/>
      <c r="Y475" s="23"/>
    </row>
    <row r="476">
      <c r="C476" s="42"/>
      <c r="R476" s="41"/>
      <c r="U476" s="23"/>
      <c r="Y476" s="23"/>
    </row>
    <row r="477">
      <c r="C477" s="42"/>
      <c r="R477" s="41"/>
      <c r="U477" s="23"/>
      <c r="Y477" s="23"/>
    </row>
    <row r="478">
      <c r="C478" s="42"/>
      <c r="R478" s="41"/>
      <c r="U478" s="23"/>
      <c r="Y478" s="23"/>
    </row>
    <row r="479">
      <c r="C479" s="42"/>
      <c r="R479" s="41"/>
      <c r="U479" s="23"/>
      <c r="Y479" s="23"/>
    </row>
    <row r="480">
      <c r="C480" s="42"/>
      <c r="R480" s="41"/>
      <c r="U480" s="23"/>
      <c r="Y480" s="23"/>
    </row>
    <row r="481">
      <c r="C481" s="42"/>
      <c r="R481" s="41"/>
      <c r="U481" s="23"/>
      <c r="Y481" s="23"/>
    </row>
    <row r="482">
      <c r="C482" s="42"/>
      <c r="R482" s="41"/>
      <c r="U482" s="23"/>
      <c r="Y482" s="23"/>
    </row>
    <row r="483">
      <c r="C483" s="42"/>
      <c r="R483" s="41"/>
      <c r="U483" s="23"/>
      <c r="Y483" s="23"/>
    </row>
    <row r="484">
      <c r="C484" s="42"/>
      <c r="R484" s="41"/>
      <c r="U484" s="23"/>
      <c r="Y484" s="23"/>
    </row>
    <row r="485">
      <c r="C485" s="42"/>
      <c r="R485" s="41"/>
      <c r="U485" s="23"/>
      <c r="Y485" s="23"/>
    </row>
    <row r="486">
      <c r="C486" s="42"/>
      <c r="R486" s="41"/>
      <c r="U486" s="23"/>
      <c r="Y486" s="23"/>
    </row>
    <row r="487">
      <c r="C487" s="42"/>
      <c r="R487" s="41"/>
      <c r="U487" s="23"/>
      <c r="Y487" s="23"/>
    </row>
    <row r="488">
      <c r="C488" s="42"/>
      <c r="R488" s="41"/>
      <c r="U488" s="23"/>
      <c r="Y488" s="23"/>
    </row>
    <row r="489">
      <c r="C489" s="42"/>
      <c r="R489" s="41"/>
      <c r="U489" s="23"/>
      <c r="Y489" s="23"/>
    </row>
    <row r="490">
      <c r="C490" s="42"/>
      <c r="R490" s="41"/>
      <c r="U490" s="23"/>
      <c r="Y490" s="23"/>
    </row>
    <row r="491">
      <c r="C491" s="42"/>
      <c r="R491" s="41"/>
      <c r="U491" s="23"/>
      <c r="Y491" s="23"/>
    </row>
    <row r="492">
      <c r="C492" s="42"/>
      <c r="R492" s="41"/>
      <c r="U492" s="23"/>
      <c r="Y492" s="23"/>
    </row>
    <row r="493">
      <c r="C493" s="42"/>
      <c r="R493" s="41"/>
      <c r="U493" s="23"/>
      <c r="Y493" s="23"/>
    </row>
    <row r="494">
      <c r="C494" s="42"/>
      <c r="R494" s="41"/>
      <c r="U494" s="23"/>
      <c r="Y494" s="23"/>
    </row>
    <row r="495">
      <c r="C495" s="42"/>
      <c r="R495" s="41"/>
      <c r="U495" s="23"/>
      <c r="Y495" s="23"/>
    </row>
    <row r="496">
      <c r="C496" s="42"/>
      <c r="R496" s="41"/>
      <c r="U496" s="23"/>
      <c r="Y496" s="23"/>
    </row>
    <row r="497">
      <c r="C497" s="42"/>
      <c r="R497" s="41"/>
      <c r="U497" s="23"/>
      <c r="Y497" s="23"/>
    </row>
    <row r="498">
      <c r="C498" s="42"/>
      <c r="R498" s="41"/>
      <c r="U498" s="23"/>
      <c r="Y498" s="23"/>
    </row>
    <row r="499">
      <c r="C499" s="42"/>
      <c r="R499" s="41"/>
      <c r="U499" s="23"/>
      <c r="Y499" s="23"/>
    </row>
    <row r="500">
      <c r="C500" s="42"/>
      <c r="R500" s="41"/>
      <c r="U500" s="23"/>
      <c r="Y500" s="23"/>
    </row>
    <row r="501">
      <c r="C501" s="42"/>
      <c r="R501" s="41"/>
      <c r="U501" s="23"/>
      <c r="Y501" s="23"/>
    </row>
    <row r="502">
      <c r="C502" s="42"/>
      <c r="R502" s="41"/>
      <c r="U502" s="23"/>
      <c r="Y502" s="23"/>
    </row>
    <row r="503">
      <c r="C503" s="42"/>
      <c r="R503" s="41"/>
      <c r="U503" s="23"/>
      <c r="Y503" s="23"/>
    </row>
    <row r="504">
      <c r="C504" s="42"/>
      <c r="R504" s="41"/>
      <c r="U504" s="23"/>
      <c r="Y504" s="23"/>
    </row>
    <row r="505">
      <c r="C505" s="42"/>
      <c r="R505" s="41"/>
      <c r="U505" s="23"/>
      <c r="Y505" s="23"/>
    </row>
    <row r="506">
      <c r="C506" s="42"/>
      <c r="R506" s="41"/>
      <c r="U506" s="23"/>
      <c r="Y506" s="23"/>
    </row>
    <row r="507">
      <c r="C507" s="42"/>
      <c r="R507" s="41"/>
      <c r="U507" s="23"/>
      <c r="Y507" s="23"/>
    </row>
    <row r="508">
      <c r="C508" s="42"/>
      <c r="R508" s="41"/>
      <c r="U508" s="23"/>
      <c r="Y508" s="23"/>
    </row>
    <row r="509">
      <c r="C509" s="42"/>
      <c r="R509" s="41"/>
      <c r="U509" s="23"/>
      <c r="Y509" s="23"/>
    </row>
    <row r="510">
      <c r="C510" s="42"/>
      <c r="R510" s="41"/>
      <c r="U510" s="23"/>
      <c r="Y510" s="23"/>
    </row>
    <row r="511">
      <c r="C511" s="42"/>
      <c r="R511" s="41"/>
      <c r="U511" s="23"/>
      <c r="Y511" s="23"/>
    </row>
    <row r="512">
      <c r="C512" s="42"/>
      <c r="R512" s="41"/>
      <c r="U512" s="23"/>
      <c r="Y512" s="23"/>
    </row>
    <row r="513">
      <c r="C513" s="42"/>
      <c r="R513" s="41"/>
      <c r="U513" s="23"/>
      <c r="Y513" s="23"/>
    </row>
    <row r="514">
      <c r="C514" s="42"/>
      <c r="R514" s="41"/>
      <c r="U514" s="23"/>
      <c r="Y514" s="23"/>
    </row>
    <row r="515">
      <c r="C515" s="42"/>
      <c r="R515" s="41"/>
      <c r="U515" s="23"/>
      <c r="Y515" s="23"/>
    </row>
    <row r="516">
      <c r="C516" s="42"/>
      <c r="R516" s="41"/>
      <c r="U516" s="23"/>
      <c r="Y516" s="23"/>
    </row>
    <row r="517">
      <c r="C517" s="42"/>
      <c r="R517" s="41"/>
      <c r="U517" s="23"/>
      <c r="Y517" s="23"/>
    </row>
    <row r="518">
      <c r="C518" s="42"/>
      <c r="R518" s="41"/>
      <c r="U518" s="23"/>
      <c r="Y518" s="23"/>
    </row>
    <row r="519">
      <c r="C519" s="42"/>
      <c r="R519" s="41"/>
      <c r="U519" s="23"/>
      <c r="Y519" s="23"/>
    </row>
    <row r="520">
      <c r="C520" s="42"/>
      <c r="R520" s="41"/>
      <c r="U520" s="23"/>
      <c r="Y520" s="23"/>
    </row>
    <row r="521">
      <c r="C521" s="42"/>
      <c r="R521" s="41"/>
      <c r="U521" s="23"/>
      <c r="Y521" s="23"/>
    </row>
    <row r="522">
      <c r="C522" s="42"/>
      <c r="R522" s="41"/>
      <c r="U522" s="23"/>
      <c r="Y522" s="23"/>
    </row>
    <row r="523">
      <c r="C523" s="42"/>
      <c r="R523" s="41"/>
      <c r="U523" s="23"/>
      <c r="Y523" s="23"/>
    </row>
    <row r="524">
      <c r="C524" s="42"/>
      <c r="R524" s="41"/>
      <c r="U524" s="23"/>
      <c r="Y524" s="23"/>
    </row>
    <row r="525">
      <c r="C525" s="42"/>
      <c r="R525" s="41"/>
      <c r="U525" s="23"/>
      <c r="Y525" s="23"/>
    </row>
    <row r="526">
      <c r="C526" s="42"/>
      <c r="R526" s="41"/>
      <c r="U526" s="23"/>
      <c r="Y526" s="23"/>
    </row>
    <row r="527">
      <c r="C527" s="42"/>
      <c r="R527" s="41"/>
      <c r="U527" s="23"/>
      <c r="Y527" s="23"/>
    </row>
    <row r="528">
      <c r="C528" s="42"/>
      <c r="R528" s="41"/>
      <c r="U528" s="23"/>
      <c r="Y528" s="23"/>
    </row>
    <row r="529">
      <c r="C529" s="42"/>
      <c r="R529" s="41"/>
      <c r="U529" s="23"/>
      <c r="Y529" s="23"/>
    </row>
    <row r="530">
      <c r="C530" s="42"/>
      <c r="R530" s="41"/>
      <c r="U530" s="23"/>
      <c r="Y530" s="23"/>
    </row>
    <row r="531">
      <c r="C531" s="42"/>
      <c r="R531" s="41"/>
      <c r="U531" s="23"/>
      <c r="Y531" s="23"/>
    </row>
    <row r="532">
      <c r="C532" s="42"/>
      <c r="R532" s="41"/>
      <c r="U532" s="23"/>
      <c r="Y532" s="23"/>
    </row>
    <row r="533">
      <c r="C533" s="42"/>
      <c r="R533" s="41"/>
      <c r="U533" s="23"/>
      <c r="Y533" s="23"/>
    </row>
    <row r="534">
      <c r="C534" s="42"/>
      <c r="R534" s="41"/>
      <c r="U534" s="23"/>
      <c r="Y534" s="23"/>
    </row>
    <row r="535">
      <c r="C535" s="42"/>
      <c r="R535" s="41"/>
      <c r="U535" s="23"/>
      <c r="Y535" s="23"/>
    </row>
    <row r="536">
      <c r="C536" s="42"/>
      <c r="R536" s="41"/>
      <c r="U536" s="23"/>
      <c r="Y536" s="23"/>
    </row>
    <row r="537">
      <c r="C537" s="42"/>
      <c r="R537" s="41"/>
      <c r="U537" s="23"/>
      <c r="Y537" s="23"/>
    </row>
    <row r="538">
      <c r="C538" s="42"/>
      <c r="R538" s="41"/>
      <c r="U538" s="23"/>
      <c r="Y538" s="23"/>
    </row>
    <row r="539">
      <c r="C539" s="42"/>
      <c r="R539" s="41"/>
      <c r="U539" s="23"/>
      <c r="Y539" s="23"/>
    </row>
    <row r="540">
      <c r="C540" s="42"/>
      <c r="R540" s="41"/>
      <c r="U540" s="23"/>
      <c r="Y540" s="23"/>
    </row>
    <row r="541">
      <c r="C541" s="42"/>
      <c r="R541" s="41"/>
      <c r="U541" s="23"/>
      <c r="Y541" s="23"/>
    </row>
    <row r="542">
      <c r="C542" s="42"/>
      <c r="R542" s="41"/>
      <c r="U542" s="23"/>
      <c r="Y542" s="23"/>
    </row>
    <row r="543">
      <c r="C543" s="42"/>
      <c r="R543" s="41"/>
      <c r="U543" s="23"/>
      <c r="Y543" s="23"/>
    </row>
    <row r="544">
      <c r="C544" s="42"/>
      <c r="R544" s="41"/>
      <c r="U544" s="23"/>
      <c r="Y544" s="23"/>
    </row>
    <row r="545">
      <c r="C545" s="42"/>
      <c r="R545" s="41"/>
      <c r="U545" s="23"/>
      <c r="Y545" s="23"/>
    </row>
    <row r="546">
      <c r="C546" s="42"/>
      <c r="R546" s="41"/>
      <c r="U546" s="23"/>
      <c r="Y546" s="23"/>
    </row>
    <row r="547">
      <c r="C547" s="42"/>
      <c r="R547" s="41"/>
      <c r="U547" s="23"/>
      <c r="Y547" s="23"/>
    </row>
    <row r="548">
      <c r="C548" s="42"/>
      <c r="R548" s="41"/>
      <c r="U548" s="23"/>
      <c r="Y548" s="23"/>
    </row>
    <row r="549">
      <c r="C549" s="42"/>
      <c r="R549" s="41"/>
      <c r="U549" s="23"/>
      <c r="Y549" s="23"/>
    </row>
    <row r="550">
      <c r="C550" s="42"/>
      <c r="R550" s="41"/>
      <c r="U550" s="23"/>
      <c r="Y550" s="23"/>
    </row>
    <row r="551">
      <c r="C551" s="42"/>
      <c r="R551" s="41"/>
      <c r="U551" s="23"/>
      <c r="Y551" s="23"/>
    </row>
    <row r="552">
      <c r="C552" s="42"/>
      <c r="R552" s="41"/>
      <c r="U552" s="23"/>
      <c r="Y552" s="23"/>
    </row>
    <row r="553">
      <c r="C553" s="42"/>
      <c r="R553" s="41"/>
      <c r="U553" s="23"/>
      <c r="Y553" s="23"/>
    </row>
    <row r="554">
      <c r="C554" s="42"/>
      <c r="R554" s="41"/>
      <c r="U554" s="23"/>
      <c r="Y554" s="23"/>
    </row>
    <row r="555">
      <c r="C555" s="42"/>
      <c r="R555" s="41"/>
      <c r="U555" s="23"/>
      <c r="Y555" s="23"/>
    </row>
    <row r="556">
      <c r="C556" s="42"/>
      <c r="R556" s="41"/>
      <c r="U556" s="23"/>
      <c r="Y556" s="23"/>
    </row>
    <row r="557">
      <c r="C557" s="42"/>
      <c r="R557" s="41"/>
      <c r="U557" s="23"/>
      <c r="Y557" s="23"/>
    </row>
    <row r="558">
      <c r="C558" s="42"/>
      <c r="R558" s="41"/>
      <c r="U558" s="23"/>
      <c r="Y558" s="23"/>
    </row>
    <row r="559">
      <c r="C559" s="42"/>
      <c r="R559" s="41"/>
      <c r="U559" s="23"/>
      <c r="Y559" s="23"/>
    </row>
    <row r="560">
      <c r="C560" s="42"/>
      <c r="R560" s="41"/>
      <c r="U560" s="23"/>
      <c r="Y560" s="23"/>
    </row>
    <row r="561">
      <c r="C561" s="42"/>
      <c r="R561" s="41"/>
      <c r="U561" s="23"/>
      <c r="Y561" s="23"/>
    </row>
    <row r="562">
      <c r="C562" s="42"/>
      <c r="R562" s="41"/>
      <c r="U562" s="23"/>
      <c r="Y562" s="23"/>
    </row>
    <row r="563">
      <c r="C563" s="42"/>
      <c r="R563" s="41"/>
      <c r="U563" s="23"/>
      <c r="Y563" s="23"/>
    </row>
    <row r="564">
      <c r="C564" s="42"/>
      <c r="R564" s="41"/>
      <c r="U564" s="23"/>
      <c r="Y564" s="23"/>
    </row>
    <row r="565">
      <c r="C565" s="42"/>
      <c r="R565" s="41"/>
      <c r="U565" s="23"/>
      <c r="Y565" s="23"/>
    </row>
    <row r="566">
      <c r="C566" s="42"/>
      <c r="R566" s="41"/>
      <c r="U566" s="23"/>
      <c r="Y566" s="23"/>
    </row>
    <row r="567">
      <c r="C567" s="42"/>
      <c r="R567" s="41"/>
      <c r="U567" s="23"/>
      <c r="Y567" s="23"/>
    </row>
    <row r="568">
      <c r="C568" s="42"/>
      <c r="R568" s="41"/>
      <c r="U568" s="23"/>
      <c r="Y568" s="23"/>
    </row>
    <row r="569">
      <c r="C569" s="42"/>
      <c r="R569" s="41"/>
      <c r="U569" s="23"/>
      <c r="Y569" s="23"/>
    </row>
    <row r="570">
      <c r="C570" s="42"/>
      <c r="R570" s="41"/>
      <c r="U570" s="23"/>
      <c r="Y570" s="23"/>
    </row>
    <row r="571">
      <c r="C571" s="42"/>
      <c r="R571" s="41"/>
      <c r="U571" s="23"/>
      <c r="Y571" s="23"/>
    </row>
    <row r="572">
      <c r="C572" s="42"/>
      <c r="R572" s="41"/>
      <c r="U572" s="23"/>
      <c r="Y572" s="23"/>
    </row>
    <row r="573">
      <c r="C573" s="42"/>
      <c r="R573" s="41"/>
      <c r="U573" s="23"/>
      <c r="Y573" s="23"/>
    </row>
    <row r="574">
      <c r="C574" s="42"/>
      <c r="R574" s="41"/>
      <c r="U574" s="23"/>
      <c r="Y574" s="23"/>
    </row>
    <row r="575">
      <c r="C575" s="42"/>
      <c r="R575" s="41"/>
      <c r="U575" s="23"/>
      <c r="Y575" s="23"/>
    </row>
    <row r="576">
      <c r="C576" s="42"/>
      <c r="R576" s="41"/>
      <c r="U576" s="23"/>
      <c r="Y576" s="23"/>
    </row>
    <row r="577">
      <c r="C577" s="42"/>
      <c r="R577" s="41"/>
      <c r="U577" s="23"/>
      <c r="Y577" s="23"/>
    </row>
    <row r="578">
      <c r="C578" s="42"/>
      <c r="R578" s="41"/>
      <c r="U578" s="23"/>
      <c r="Y578" s="23"/>
    </row>
    <row r="579">
      <c r="C579" s="42"/>
      <c r="R579" s="41"/>
      <c r="U579" s="23"/>
      <c r="Y579" s="23"/>
    </row>
    <row r="580">
      <c r="C580" s="42"/>
      <c r="R580" s="41"/>
      <c r="U580" s="23"/>
      <c r="Y580" s="23"/>
    </row>
    <row r="581">
      <c r="C581" s="42"/>
      <c r="R581" s="41"/>
      <c r="U581" s="23"/>
      <c r="Y581" s="23"/>
    </row>
    <row r="582">
      <c r="C582" s="42"/>
      <c r="R582" s="41"/>
      <c r="U582" s="23"/>
      <c r="Y582" s="23"/>
    </row>
    <row r="583">
      <c r="C583" s="42"/>
      <c r="R583" s="41"/>
      <c r="U583" s="23"/>
      <c r="Y583" s="23"/>
    </row>
    <row r="584">
      <c r="C584" s="42"/>
      <c r="R584" s="41"/>
      <c r="U584" s="23"/>
      <c r="Y584" s="23"/>
    </row>
    <row r="585">
      <c r="C585" s="42"/>
      <c r="R585" s="41"/>
      <c r="U585" s="23"/>
      <c r="Y585" s="23"/>
    </row>
    <row r="586">
      <c r="C586" s="42"/>
      <c r="R586" s="41"/>
      <c r="U586" s="23"/>
      <c r="Y586" s="23"/>
    </row>
    <row r="587">
      <c r="C587" s="42"/>
      <c r="R587" s="41"/>
      <c r="U587" s="23"/>
      <c r="Y587" s="23"/>
    </row>
    <row r="588">
      <c r="C588" s="42"/>
      <c r="R588" s="41"/>
      <c r="U588" s="23"/>
      <c r="Y588" s="23"/>
    </row>
    <row r="589">
      <c r="C589" s="42"/>
      <c r="R589" s="41"/>
      <c r="U589" s="23"/>
      <c r="Y589" s="23"/>
    </row>
    <row r="590">
      <c r="C590" s="42"/>
      <c r="R590" s="41"/>
      <c r="U590" s="23"/>
      <c r="Y590" s="23"/>
    </row>
    <row r="591">
      <c r="C591" s="42"/>
      <c r="R591" s="41"/>
      <c r="U591" s="23"/>
      <c r="Y591" s="23"/>
    </row>
    <row r="592">
      <c r="C592" s="42"/>
      <c r="R592" s="41"/>
      <c r="U592" s="23"/>
      <c r="Y592" s="23"/>
    </row>
    <row r="593">
      <c r="C593" s="42"/>
      <c r="R593" s="41"/>
      <c r="U593" s="23"/>
      <c r="Y593" s="23"/>
    </row>
    <row r="594">
      <c r="C594" s="42"/>
      <c r="R594" s="41"/>
      <c r="U594" s="23"/>
      <c r="Y594" s="23"/>
    </row>
    <row r="595">
      <c r="C595" s="42"/>
      <c r="R595" s="41"/>
      <c r="U595" s="23"/>
      <c r="Y595" s="23"/>
    </row>
    <row r="596">
      <c r="C596" s="42"/>
      <c r="R596" s="41"/>
      <c r="U596" s="23"/>
      <c r="Y596" s="23"/>
    </row>
    <row r="597">
      <c r="C597" s="42"/>
      <c r="R597" s="41"/>
      <c r="U597" s="23"/>
      <c r="Y597" s="23"/>
    </row>
    <row r="598">
      <c r="C598" s="42"/>
      <c r="R598" s="41"/>
      <c r="U598" s="23"/>
      <c r="Y598" s="23"/>
    </row>
    <row r="599">
      <c r="C599" s="42"/>
      <c r="R599" s="41"/>
      <c r="U599" s="23"/>
      <c r="Y599" s="23"/>
    </row>
    <row r="600">
      <c r="C600" s="42"/>
      <c r="R600" s="41"/>
      <c r="U600" s="23"/>
      <c r="Y600" s="23"/>
    </row>
    <row r="601">
      <c r="C601" s="42"/>
      <c r="R601" s="41"/>
      <c r="U601" s="23"/>
      <c r="Y601" s="23"/>
    </row>
    <row r="602">
      <c r="C602" s="42"/>
      <c r="R602" s="41"/>
      <c r="U602" s="23"/>
      <c r="Y602" s="23"/>
    </row>
    <row r="603">
      <c r="C603" s="42"/>
      <c r="R603" s="41"/>
      <c r="U603" s="23"/>
      <c r="Y603" s="23"/>
    </row>
    <row r="604">
      <c r="C604" s="42"/>
      <c r="R604" s="41"/>
      <c r="U604" s="23"/>
      <c r="Y604" s="23"/>
    </row>
    <row r="605">
      <c r="C605" s="42"/>
      <c r="R605" s="41"/>
      <c r="U605" s="23"/>
      <c r="Y605" s="23"/>
    </row>
    <row r="606">
      <c r="C606" s="42"/>
      <c r="R606" s="41"/>
      <c r="U606" s="23"/>
      <c r="Y606" s="23"/>
    </row>
    <row r="607">
      <c r="C607" s="42"/>
      <c r="R607" s="41"/>
      <c r="U607" s="23"/>
      <c r="Y607" s="23"/>
    </row>
    <row r="608">
      <c r="C608" s="42"/>
      <c r="R608" s="41"/>
      <c r="U608" s="23"/>
      <c r="Y608" s="23"/>
    </row>
    <row r="609">
      <c r="C609" s="42"/>
      <c r="R609" s="41"/>
      <c r="U609" s="23"/>
      <c r="Y609" s="23"/>
    </row>
    <row r="610">
      <c r="C610" s="42"/>
      <c r="R610" s="41"/>
      <c r="U610" s="23"/>
      <c r="Y610" s="23"/>
    </row>
    <row r="611">
      <c r="C611" s="42"/>
      <c r="R611" s="41"/>
      <c r="U611" s="23"/>
      <c r="Y611" s="23"/>
    </row>
    <row r="612">
      <c r="C612" s="42"/>
      <c r="R612" s="41"/>
      <c r="U612" s="23"/>
      <c r="Y612" s="23"/>
    </row>
    <row r="613">
      <c r="C613" s="42"/>
      <c r="R613" s="41"/>
      <c r="U613" s="23"/>
      <c r="Y613" s="23"/>
    </row>
    <row r="614">
      <c r="C614" s="42"/>
      <c r="R614" s="41"/>
      <c r="U614" s="23"/>
      <c r="Y614" s="23"/>
    </row>
    <row r="615">
      <c r="C615" s="42"/>
      <c r="R615" s="41"/>
      <c r="U615" s="23"/>
      <c r="Y615" s="23"/>
    </row>
    <row r="616">
      <c r="C616" s="42"/>
      <c r="R616" s="41"/>
      <c r="U616" s="23"/>
      <c r="Y616" s="23"/>
    </row>
    <row r="617">
      <c r="C617" s="42"/>
      <c r="R617" s="41"/>
      <c r="U617" s="23"/>
      <c r="Y617" s="23"/>
    </row>
    <row r="618">
      <c r="C618" s="42"/>
      <c r="R618" s="41"/>
      <c r="U618" s="23"/>
      <c r="Y618" s="23"/>
    </row>
    <row r="619">
      <c r="C619" s="42"/>
      <c r="R619" s="41"/>
      <c r="U619" s="23"/>
      <c r="Y619" s="23"/>
    </row>
    <row r="620">
      <c r="C620" s="42"/>
      <c r="R620" s="41"/>
      <c r="U620" s="23"/>
      <c r="Y620" s="23"/>
    </row>
    <row r="621">
      <c r="C621" s="42"/>
      <c r="R621" s="41"/>
      <c r="U621" s="23"/>
      <c r="Y621" s="23"/>
    </row>
    <row r="622">
      <c r="C622" s="42"/>
      <c r="R622" s="41"/>
      <c r="U622" s="23"/>
      <c r="Y622" s="23"/>
    </row>
    <row r="623">
      <c r="C623" s="42"/>
      <c r="R623" s="41"/>
      <c r="U623" s="23"/>
      <c r="Y623" s="23"/>
    </row>
    <row r="624">
      <c r="C624" s="42"/>
      <c r="R624" s="41"/>
      <c r="U624" s="23"/>
      <c r="Y624" s="23"/>
    </row>
    <row r="625">
      <c r="C625" s="42"/>
      <c r="R625" s="41"/>
      <c r="U625" s="23"/>
      <c r="Y625" s="23"/>
    </row>
    <row r="626">
      <c r="C626" s="42"/>
      <c r="R626" s="41"/>
      <c r="U626" s="23"/>
      <c r="Y626" s="23"/>
    </row>
    <row r="627">
      <c r="C627" s="42"/>
      <c r="R627" s="41"/>
      <c r="U627" s="23"/>
      <c r="Y627" s="23"/>
    </row>
    <row r="628">
      <c r="C628" s="42"/>
      <c r="R628" s="41"/>
      <c r="U628" s="23"/>
      <c r="Y628" s="23"/>
    </row>
    <row r="629">
      <c r="C629" s="42"/>
      <c r="R629" s="41"/>
      <c r="U629" s="23"/>
      <c r="Y629" s="23"/>
    </row>
    <row r="630">
      <c r="C630" s="42"/>
      <c r="R630" s="41"/>
      <c r="U630" s="23"/>
      <c r="Y630" s="23"/>
    </row>
    <row r="631">
      <c r="C631" s="42"/>
      <c r="R631" s="41"/>
      <c r="U631" s="23"/>
      <c r="Y631" s="23"/>
    </row>
    <row r="632">
      <c r="C632" s="42"/>
      <c r="R632" s="41"/>
      <c r="U632" s="23"/>
      <c r="Y632" s="23"/>
    </row>
    <row r="633">
      <c r="C633" s="42"/>
      <c r="R633" s="41"/>
      <c r="U633" s="23"/>
      <c r="Y633" s="23"/>
    </row>
    <row r="634">
      <c r="C634" s="42"/>
      <c r="R634" s="41"/>
      <c r="U634" s="23"/>
      <c r="Y634" s="23"/>
    </row>
    <row r="635">
      <c r="C635" s="42"/>
      <c r="R635" s="41"/>
      <c r="U635" s="23"/>
      <c r="Y635" s="23"/>
    </row>
    <row r="636">
      <c r="C636" s="42"/>
      <c r="R636" s="41"/>
      <c r="U636" s="23"/>
      <c r="Y636" s="23"/>
    </row>
    <row r="637">
      <c r="C637" s="42"/>
      <c r="R637" s="41"/>
      <c r="U637" s="23"/>
      <c r="Y637" s="23"/>
    </row>
    <row r="638">
      <c r="C638" s="42"/>
      <c r="R638" s="41"/>
      <c r="U638" s="23"/>
      <c r="Y638" s="23"/>
    </row>
    <row r="639">
      <c r="C639" s="42"/>
      <c r="R639" s="41"/>
      <c r="U639" s="23"/>
      <c r="Y639" s="23"/>
    </row>
    <row r="640">
      <c r="C640" s="42"/>
      <c r="R640" s="41"/>
      <c r="U640" s="23"/>
      <c r="Y640" s="23"/>
    </row>
    <row r="641">
      <c r="C641" s="42"/>
      <c r="R641" s="41"/>
      <c r="U641" s="23"/>
      <c r="Y641" s="23"/>
    </row>
    <row r="642">
      <c r="C642" s="42"/>
      <c r="R642" s="41"/>
      <c r="U642" s="23"/>
      <c r="Y642" s="23"/>
    </row>
    <row r="643">
      <c r="C643" s="42"/>
      <c r="R643" s="41"/>
      <c r="U643" s="23"/>
      <c r="Y643" s="23"/>
    </row>
    <row r="644">
      <c r="C644" s="42"/>
      <c r="R644" s="41"/>
      <c r="U644" s="23"/>
      <c r="Y644" s="23"/>
    </row>
    <row r="645">
      <c r="C645" s="42"/>
      <c r="R645" s="41"/>
      <c r="U645" s="23"/>
      <c r="Y645" s="23"/>
    </row>
    <row r="646">
      <c r="C646" s="42"/>
      <c r="R646" s="41"/>
      <c r="U646" s="23"/>
      <c r="Y646" s="23"/>
    </row>
    <row r="647">
      <c r="C647" s="42"/>
      <c r="R647" s="41"/>
      <c r="U647" s="23"/>
      <c r="Y647" s="23"/>
    </row>
    <row r="648">
      <c r="C648" s="42"/>
      <c r="R648" s="41"/>
      <c r="U648" s="23"/>
      <c r="Y648" s="23"/>
    </row>
    <row r="649">
      <c r="C649" s="42"/>
      <c r="R649" s="41"/>
      <c r="U649" s="23"/>
      <c r="Y649" s="23"/>
    </row>
    <row r="650">
      <c r="C650" s="42"/>
      <c r="R650" s="41"/>
      <c r="U650" s="23"/>
      <c r="Y650" s="23"/>
    </row>
    <row r="651">
      <c r="C651" s="42"/>
      <c r="R651" s="41"/>
      <c r="U651" s="23"/>
      <c r="Y651" s="23"/>
    </row>
    <row r="652">
      <c r="C652" s="42"/>
      <c r="R652" s="41"/>
      <c r="U652" s="23"/>
      <c r="Y652" s="23"/>
    </row>
    <row r="653">
      <c r="C653" s="42"/>
      <c r="R653" s="41"/>
      <c r="U653" s="23"/>
      <c r="Y653" s="23"/>
    </row>
    <row r="654">
      <c r="C654" s="42"/>
      <c r="R654" s="41"/>
      <c r="U654" s="23"/>
      <c r="Y654" s="23"/>
    </row>
    <row r="655">
      <c r="C655" s="42"/>
      <c r="R655" s="41"/>
      <c r="U655" s="23"/>
      <c r="Y655" s="23"/>
    </row>
    <row r="656">
      <c r="C656" s="42"/>
      <c r="R656" s="41"/>
      <c r="U656" s="23"/>
      <c r="Y656" s="23"/>
    </row>
    <row r="657">
      <c r="C657" s="42"/>
      <c r="R657" s="41"/>
      <c r="U657" s="23"/>
      <c r="Y657" s="23"/>
    </row>
    <row r="658">
      <c r="C658" s="42"/>
      <c r="R658" s="41"/>
      <c r="U658" s="23"/>
      <c r="Y658" s="23"/>
    </row>
    <row r="659">
      <c r="C659" s="42"/>
      <c r="R659" s="41"/>
      <c r="U659" s="23"/>
      <c r="Y659" s="23"/>
    </row>
    <row r="660">
      <c r="C660" s="42"/>
      <c r="R660" s="41"/>
      <c r="U660" s="23"/>
      <c r="Y660" s="23"/>
    </row>
    <row r="661">
      <c r="C661" s="42"/>
      <c r="R661" s="41"/>
      <c r="U661" s="23"/>
      <c r="Y661" s="23"/>
    </row>
    <row r="662">
      <c r="C662" s="42"/>
      <c r="R662" s="41"/>
      <c r="U662" s="23"/>
      <c r="Y662" s="23"/>
    </row>
    <row r="663">
      <c r="C663" s="42"/>
      <c r="R663" s="41"/>
      <c r="U663" s="23"/>
      <c r="Y663" s="23"/>
    </row>
    <row r="664">
      <c r="C664" s="42"/>
      <c r="R664" s="41"/>
      <c r="U664" s="23"/>
      <c r="Y664" s="23"/>
    </row>
    <row r="665">
      <c r="C665" s="42"/>
      <c r="R665" s="41"/>
      <c r="U665" s="23"/>
      <c r="Y665" s="23"/>
    </row>
    <row r="666">
      <c r="C666" s="42"/>
      <c r="R666" s="41"/>
      <c r="U666" s="23"/>
      <c r="Y666" s="23"/>
    </row>
    <row r="667">
      <c r="C667" s="42"/>
      <c r="R667" s="41"/>
      <c r="U667" s="23"/>
      <c r="Y667" s="23"/>
    </row>
    <row r="668">
      <c r="C668" s="42"/>
      <c r="R668" s="41"/>
      <c r="U668" s="23"/>
      <c r="Y668" s="23"/>
    </row>
    <row r="669">
      <c r="C669" s="42"/>
      <c r="R669" s="41"/>
      <c r="U669" s="23"/>
      <c r="Y669" s="23"/>
    </row>
    <row r="670">
      <c r="C670" s="42"/>
      <c r="R670" s="41"/>
      <c r="U670" s="23"/>
      <c r="Y670" s="23"/>
    </row>
    <row r="671">
      <c r="C671" s="42"/>
      <c r="R671" s="41"/>
      <c r="U671" s="23"/>
      <c r="Y671" s="23"/>
    </row>
    <row r="672">
      <c r="C672" s="42"/>
      <c r="R672" s="41"/>
      <c r="U672" s="23"/>
      <c r="Y672" s="23"/>
    </row>
    <row r="673">
      <c r="C673" s="42"/>
      <c r="R673" s="41"/>
      <c r="U673" s="23"/>
      <c r="Y673" s="23"/>
    </row>
    <row r="674">
      <c r="C674" s="42"/>
      <c r="R674" s="41"/>
      <c r="U674" s="23"/>
      <c r="Y674" s="23"/>
    </row>
    <row r="675">
      <c r="C675" s="42"/>
      <c r="R675" s="41"/>
      <c r="U675" s="23"/>
      <c r="Y675" s="23"/>
    </row>
    <row r="676">
      <c r="C676" s="42"/>
      <c r="R676" s="41"/>
      <c r="U676" s="23"/>
      <c r="Y676" s="23"/>
    </row>
    <row r="677">
      <c r="C677" s="42"/>
      <c r="R677" s="41"/>
      <c r="U677" s="23"/>
      <c r="Y677" s="23"/>
    </row>
    <row r="678">
      <c r="C678" s="42"/>
      <c r="R678" s="41"/>
      <c r="U678" s="23"/>
      <c r="Y678" s="23"/>
    </row>
    <row r="679">
      <c r="C679" s="42"/>
      <c r="R679" s="41"/>
      <c r="U679" s="23"/>
      <c r="Y679" s="23"/>
    </row>
    <row r="680">
      <c r="C680" s="42"/>
      <c r="R680" s="41"/>
      <c r="U680" s="23"/>
      <c r="Y680" s="23"/>
    </row>
    <row r="681">
      <c r="C681" s="42"/>
      <c r="R681" s="41"/>
      <c r="U681" s="23"/>
      <c r="Y681" s="23"/>
    </row>
    <row r="682">
      <c r="C682" s="42"/>
      <c r="R682" s="41"/>
      <c r="U682" s="23"/>
      <c r="Y682" s="23"/>
    </row>
    <row r="683">
      <c r="C683" s="42"/>
      <c r="R683" s="41"/>
      <c r="U683" s="23"/>
      <c r="Y683" s="23"/>
    </row>
    <row r="684">
      <c r="C684" s="42"/>
      <c r="R684" s="41"/>
      <c r="U684" s="23"/>
      <c r="Y684" s="23"/>
    </row>
    <row r="685">
      <c r="C685" s="42"/>
      <c r="R685" s="41"/>
      <c r="U685" s="23"/>
      <c r="Y685" s="23"/>
    </row>
    <row r="686">
      <c r="C686" s="42"/>
      <c r="R686" s="41"/>
      <c r="U686" s="23"/>
      <c r="Y686" s="23"/>
    </row>
    <row r="687">
      <c r="C687" s="42"/>
      <c r="R687" s="41"/>
      <c r="U687" s="23"/>
      <c r="Y687" s="23"/>
    </row>
    <row r="688">
      <c r="C688" s="42"/>
      <c r="R688" s="41"/>
      <c r="U688" s="23"/>
      <c r="Y688" s="23"/>
    </row>
    <row r="689">
      <c r="C689" s="42"/>
      <c r="R689" s="41"/>
      <c r="U689" s="23"/>
      <c r="Y689" s="23"/>
    </row>
    <row r="690">
      <c r="C690" s="42"/>
      <c r="R690" s="41"/>
      <c r="U690" s="23"/>
      <c r="Y690" s="23"/>
    </row>
    <row r="691">
      <c r="C691" s="42"/>
      <c r="R691" s="41"/>
      <c r="U691" s="23"/>
      <c r="Y691" s="23"/>
    </row>
    <row r="692">
      <c r="C692" s="42"/>
      <c r="R692" s="41"/>
      <c r="U692" s="23"/>
      <c r="Y692" s="23"/>
    </row>
    <row r="693">
      <c r="C693" s="42"/>
      <c r="R693" s="41"/>
      <c r="U693" s="23"/>
      <c r="Y693" s="23"/>
    </row>
    <row r="694">
      <c r="C694" s="42"/>
      <c r="R694" s="41"/>
      <c r="U694" s="23"/>
      <c r="Y694" s="23"/>
    </row>
    <row r="695">
      <c r="C695" s="42"/>
      <c r="R695" s="41"/>
      <c r="U695" s="23"/>
      <c r="Y695" s="23"/>
    </row>
    <row r="696">
      <c r="C696" s="42"/>
      <c r="R696" s="41"/>
      <c r="U696" s="23"/>
      <c r="Y696" s="23"/>
    </row>
    <row r="697">
      <c r="C697" s="42"/>
      <c r="R697" s="41"/>
      <c r="U697" s="23"/>
      <c r="Y697" s="23"/>
    </row>
    <row r="698">
      <c r="C698" s="42"/>
      <c r="R698" s="41"/>
      <c r="U698" s="23"/>
      <c r="Y698" s="23"/>
    </row>
    <row r="699">
      <c r="C699" s="42"/>
      <c r="R699" s="41"/>
      <c r="U699" s="23"/>
      <c r="Y699" s="23"/>
    </row>
    <row r="700">
      <c r="C700" s="42"/>
      <c r="R700" s="41"/>
      <c r="U700" s="23"/>
      <c r="Y700" s="23"/>
    </row>
    <row r="701">
      <c r="C701" s="42"/>
      <c r="R701" s="41"/>
      <c r="U701" s="23"/>
      <c r="Y701" s="23"/>
    </row>
    <row r="702">
      <c r="C702" s="42"/>
      <c r="R702" s="41"/>
      <c r="U702" s="23"/>
      <c r="Y702" s="23"/>
    </row>
    <row r="703">
      <c r="C703" s="42"/>
      <c r="R703" s="41"/>
      <c r="U703" s="23"/>
      <c r="Y703" s="23"/>
    </row>
    <row r="704">
      <c r="C704" s="42"/>
      <c r="R704" s="41"/>
      <c r="U704" s="23"/>
      <c r="Y704" s="23"/>
    </row>
    <row r="705">
      <c r="C705" s="42"/>
      <c r="R705" s="41"/>
      <c r="U705" s="23"/>
      <c r="Y705" s="23"/>
    </row>
    <row r="706">
      <c r="C706" s="42"/>
      <c r="R706" s="41"/>
      <c r="U706" s="23"/>
      <c r="Y706" s="23"/>
    </row>
    <row r="707">
      <c r="C707" s="42"/>
      <c r="R707" s="41"/>
      <c r="U707" s="23"/>
      <c r="Y707" s="23"/>
    </row>
    <row r="708">
      <c r="C708" s="42"/>
      <c r="R708" s="41"/>
      <c r="U708" s="23"/>
      <c r="Y708" s="23"/>
    </row>
    <row r="709">
      <c r="C709" s="42"/>
      <c r="R709" s="41"/>
      <c r="U709" s="23"/>
      <c r="Y709" s="23"/>
    </row>
    <row r="710">
      <c r="C710" s="42"/>
      <c r="R710" s="41"/>
      <c r="U710" s="23"/>
      <c r="Y710" s="23"/>
    </row>
    <row r="711">
      <c r="C711" s="42"/>
      <c r="R711" s="41"/>
      <c r="U711" s="23"/>
      <c r="Y711" s="23"/>
    </row>
    <row r="712">
      <c r="C712" s="42"/>
      <c r="R712" s="41"/>
      <c r="U712" s="23"/>
      <c r="Y712" s="23"/>
    </row>
    <row r="713">
      <c r="C713" s="42"/>
      <c r="R713" s="41"/>
      <c r="U713" s="23"/>
      <c r="Y713" s="23"/>
    </row>
    <row r="714">
      <c r="C714" s="42"/>
      <c r="R714" s="41"/>
      <c r="U714" s="23"/>
      <c r="Y714" s="23"/>
    </row>
    <row r="715">
      <c r="C715" s="42"/>
      <c r="R715" s="41"/>
      <c r="U715" s="23"/>
      <c r="Y715" s="23"/>
    </row>
    <row r="716">
      <c r="C716" s="42"/>
      <c r="R716" s="41"/>
      <c r="U716" s="23"/>
      <c r="Y716" s="23"/>
    </row>
    <row r="717">
      <c r="C717" s="42"/>
      <c r="R717" s="41"/>
      <c r="U717" s="23"/>
      <c r="Y717" s="23"/>
    </row>
    <row r="718">
      <c r="C718" s="42"/>
      <c r="R718" s="41"/>
      <c r="U718" s="23"/>
      <c r="Y718" s="23"/>
    </row>
    <row r="719">
      <c r="C719" s="42"/>
      <c r="R719" s="41"/>
      <c r="U719" s="23"/>
      <c r="Y719" s="23"/>
    </row>
    <row r="720">
      <c r="C720" s="42"/>
      <c r="R720" s="41"/>
      <c r="U720" s="23"/>
      <c r="Y720" s="23"/>
    </row>
    <row r="721">
      <c r="C721" s="42"/>
      <c r="R721" s="41"/>
      <c r="U721" s="23"/>
      <c r="Y721" s="23"/>
    </row>
    <row r="722">
      <c r="C722" s="42"/>
      <c r="R722" s="41"/>
      <c r="U722" s="23"/>
      <c r="Y722" s="23"/>
    </row>
    <row r="723">
      <c r="C723" s="42"/>
      <c r="R723" s="41"/>
      <c r="U723" s="23"/>
      <c r="Y723" s="23"/>
    </row>
    <row r="724">
      <c r="C724" s="42"/>
      <c r="R724" s="41"/>
      <c r="U724" s="23"/>
      <c r="Y724" s="23"/>
    </row>
    <row r="725">
      <c r="C725" s="42"/>
      <c r="R725" s="41"/>
      <c r="U725" s="23"/>
      <c r="Y725" s="23"/>
    </row>
    <row r="726">
      <c r="C726" s="42"/>
      <c r="R726" s="41"/>
      <c r="U726" s="23"/>
      <c r="Y726" s="23"/>
    </row>
    <row r="727">
      <c r="C727" s="42"/>
      <c r="R727" s="41"/>
      <c r="U727" s="23"/>
      <c r="Y727" s="23"/>
    </row>
    <row r="728">
      <c r="C728" s="42"/>
      <c r="R728" s="41"/>
      <c r="U728" s="23"/>
      <c r="Y728" s="23"/>
    </row>
    <row r="729">
      <c r="C729" s="42"/>
      <c r="R729" s="41"/>
      <c r="U729" s="23"/>
      <c r="Y729" s="23"/>
    </row>
    <row r="730">
      <c r="C730" s="42"/>
      <c r="R730" s="41"/>
      <c r="U730" s="23"/>
      <c r="Y730" s="23"/>
    </row>
    <row r="731">
      <c r="C731" s="42"/>
      <c r="R731" s="41"/>
      <c r="U731" s="23"/>
      <c r="Y731" s="23"/>
    </row>
    <row r="732">
      <c r="C732" s="42"/>
      <c r="R732" s="41"/>
      <c r="U732" s="23"/>
      <c r="Y732" s="23"/>
    </row>
    <row r="733">
      <c r="C733" s="42"/>
      <c r="R733" s="41"/>
      <c r="U733" s="23"/>
      <c r="Y733" s="23"/>
    </row>
    <row r="734">
      <c r="C734" s="42"/>
      <c r="R734" s="41"/>
      <c r="U734" s="23"/>
      <c r="Y734" s="23"/>
    </row>
    <row r="735">
      <c r="C735" s="42"/>
      <c r="R735" s="41"/>
      <c r="U735" s="23"/>
      <c r="Y735" s="23"/>
    </row>
    <row r="736">
      <c r="C736" s="42"/>
      <c r="R736" s="41"/>
      <c r="U736" s="23"/>
      <c r="Y736" s="23"/>
    </row>
    <row r="737">
      <c r="C737" s="42"/>
      <c r="R737" s="41"/>
      <c r="U737" s="23"/>
      <c r="Y737" s="23"/>
    </row>
    <row r="738">
      <c r="C738" s="42"/>
      <c r="R738" s="41"/>
      <c r="U738" s="23"/>
      <c r="Y738" s="23"/>
    </row>
    <row r="739">
      <c r="C739" s="42"/>
      <c r="R739" s="41"/>
      <c r="U739" s="23"/>
      <c r="Y739" s="23"/>
    </row>
    <row r="740">
      <c r="C740" s="42"/>
      <c r="R740" s="41"/>
      <c r="U740" s="23"/>
      <c r="Y740" s="23"/>
    </row>
    <row r="741">
      <c r="C741" s="42"/>
      <c r="R741" s="41"/>
      <c r="U741" s="23"/>
      <c r="Y741" s="23"/>
    </row>
    <row r="742">
      <c r="C742" s="42"/>
      <c r="R742" s="41"/>
      <c r="U742" s="23"/>
      <c r="Y742" s="23"/>
    </row>
    <row r="743">
      <c r="C743" s="42"/>
      <c r="R743" s="41"/>
      <c r="U743" s="23"/>
      <c r="Y743" s="23"/>
    </row>
    <row r="744">
      <c r="C744" s="42"/>
      <c r="R744" s="41"/>
      <c r="U744" s="23"/>
      <c r="Y744" s="23"/>
    </row>
    <row r="745">
      <c r="C745" s="42"/>
      <c r="R745" s="41"/>
      <c r="U745" s="23"/>
      <c r="Y745" s="23"/>
    </row>
    <row r="746">
      <c r="C746" s="42"/>
      <c r="R746" s="41"/>
      <c r="U746" s="23"/>
      <c r="Y746" s="23"/>
    </row>
    <row r="747">
      <c r="C747" s="42"/>
      <c r="R747" s="41"/>
      <c r="U747" s="23"/>
      <c r="Y747" s="23"/>
    </row>
    <row r="748">
      <c r="C748" s="42"/>
      <c r="R748" s="41"/>
      <c r="U748" s="23"/>
      <c r="Y748" s="23"/>
    </row>
    <row r="749">
      <c r="C749" s="42"/>
      <c r="R749" s="41"/>
      <c r="U749" s="23"/>
      <c r="Y749" s="23"/>
    </row>
    <row r="750">
      <c r="C750" s="42"/>
      <c r="R750" s="41"/>
      <c r="U750" s="23"/>
      <c r="Y750" s="23"/>
    </row>
    <row r="751">
      <c r="C751" s="42"/>
      <c r="R751" s="41"/>
      <c r="U751" s="23"/>
      <c r="Y751" s="23"/>
    </row>
    <row r="752">
      <c r="C752" s="42"/>
      <c r="R752" s="41"/>
      <c r="U752" s="23"/>
      <c r="Y752" s="23"/>
    </row>
    <row r="753">
      <c r="C753" s="42"/>
      <c r="R753" s="41"/>
      <c r="U753" s="23"/>
      <c r="Y753" s="23"/>
    </row>
    <row r="754">
      <c r="C754" s="42"/>
      <c r="R754" s="41"/>
      <c r="U754" s="23"/>
      <c r="Y754" s="23"/>
    </row>
    <row r="755">
      <c r="C755" s="42"/>
      <c r="R755" s="41"/>
      <c r="U755" s="23"/>
      <c r="Y755" s="23"/>
    </row>
    <row r="756">
      <c r="C756" s="42"/>
      <c r="R756" s="41"/>
      <c r="U756" s="23"/>
      <c r="Y756" s="23"/>
    </row>
    <row r="757">
      <c r="C757" s="42"/>
      <c r="R757" s="41"/>
      <c r="U757" s="23"/>
      <c r="Y757" s="23"/>
    </row>
    <row r="758">
      <c r="C758" s="42"/>
      <c r="R758" s="41"/>
      <c r="U758" s="23"/>
      <c r="Y758" s="23"/>
    </row>
    <row r="759">
      <c r="C759" s="42"/>
      <c r="R759" s="41"/>
      <c r="U759" s="23"/>
      <c r="Y759" s="23"/>
    </row>
    <row r="760">
      <c r="C760" s="42"/>
      <c r="R760" s="41"/>
      <c r="U760" s="23"/>
      <c r="Y760" s="23"/>
    </row>
    <row r="761">
      <c r="C761" s="42"/>
      <c r="R761" s="41"/>
      <c r="U761" s="23"/>
      <c r="Y761" s="23"/>
    </row>
    <row r="762">
      <c r="C762" s="42"/>
      <c r="R762" s="41"/>
      <c r="U762" s="23"/>
      <c r="Y762" s="23"/>
    </row>
    <row r="763">
      <c r="C763" s="42"/>
      <c r="R763" s="41"/>
      <c r="U763" s="23"/>
      <c r="Y763" s="23"/>
    </row>
    <row r="764">
      <c r="C764" s="42"/>
      <c r="R764" s="41"/>
      <c r="U764" s="23"/>
      <c r="Y764" s="23"/>
    </row>
    <row r="765">
      <c r="C765" s="42"/>
      <c r="R765" s="41"/>
      <c r="U765" s="23"/>
      <c r="Y765" s="23"/>
    </row>
    <row r="766">
      <c r="C766" s="42"/>
      <c r="R766" s="41"/>
      <c r="U766" s="23"/>
      <c r="Y766" s="23"/>
    </row>
    <row r="767">
      <c r="C767" s="42"/>
      <c r="R767" s="41"/>
      <c r="U767" s="23"/>
      <c r="Y767" s="23"/>
    </row>
    <row r="768">
      <c r="C768" s="42"/>
      <c r="R768" s="41"/>
      <c r="U768" s="23"/>
      <c r="Y768" s="23"/>
    </row>
    <row r="769">
      <c r="C769" s="42"/>
      <c r="R769" s="41"/>
      <c r="U769" s="23"/>
      <c r="Y769" s="23"/>
    </row>
    <row r="770">
      <c r="C770" s="42"/>
      <c r="R770" s="41"/>
      <c r="U770" s="23"/>
      <c r="Y770" s="23"/>
    </row>
    <row r="771">
      <c r="C771" s="42"/>
      <c r="R771" s="41"/>
      <c r="U771" s="23"/>
      <c r="Y771" s="23"/>
    </row>
    <row r="772">
      <c r="C772" s="42"/>
      <c r="R772" s="41"/>
      <c r="U772" s="23"/>
      <c r="Y772" s="23"/>
    </row>
    <row r="773">
      <c r="C773" s="42"/>
      <c r="R773" s="41"/>
      <c r="U773" s="23"/>
      <c r="Y773" s="23"/>
    </row>
    <row r="774">
      <c r="C774" s="42"/>
      <c r="R774" s="41"/>
      <c r="U774" s="23"/>
      <c r="Y774" s="23"/>
    </row>
    <row r="775">
      <c r="C775" s="42"/>
      <c r="R775" s="41"/>
      <c r="U775" s="23"/>
      <c r="Y775" s="23"/>
    </row>
    <row r="776">
      <c r="C776" s="42"/>
      <c r="R776" s="41"/>
      <c r="U776" s="23"/>
      <c r="Y776" s="23"/>
    </row>
    <row r="777">
      <c r="C777" s="42"/>
      <c r="R777" s="41"/>
      <c r="U777" s="23"/>
      <c r="Y777" s="23"/>
    </row>
    <row r="778">
      <c r="C778" s="42"/>
      <c r="R778" s="41"/>
      <c r="U778" s="23"/>
      <c r="Y778" s="23"/>
    </row>
    <row r="779">
      <c r="C779" s="42"/>
      <c r="R779" s="41"/>
      <c r="U779" s="23"/>
      <c r="Y779" s="23"/>
    </row>
    <row r="780">
      <c r="C780" s="42"/>
      <c r="R780" s="41"/>
      <c r="U780" s="23"/>
      <c r="Y780" s="23"/>
    </row>
    <row r="781">
      <c r="C781" s="42"/>
      <c r="R781" s="41"/>
      <c r="U781" s="23"/>
      <c r="Y781" s="23"/>
    </row>
    <row r="782">
      <c r="C782" s="42"/>
      <c r="R782" s="41"/>
      <c r="U782" s="23"/>
      <c r="Y782" s="23"/>
    </row>
    <row r="783">
      <c r="C783" s="42"/>
      <c r="R783" s="41"/>
      <c r="U783" s="23"/>
      <c r="Y783" s="23"/>
    </row>
    <row r="784">
      <c r="C784" s="42"/>
      <c r="R784" s="41"/>
      <c r="U784" s="23"/>
      <c r="Y784" s="23"/>
    </row>
    <row r="785">
      <c r="C785" s="42"/>
      <c r="R785" s="41"/>
      <c r="U785" s="23"/>
      <c r="Y785" s="23"/>
    </row>
    <row r="786">
      <c r="C786" s="42"/>
      <c r="R786" s="41"/>
      <c r="U786" s="23"/>
      <c r="Y786" s="23"/>
    </row>
    <row r="787">
      <c r="C787" s="42"/>
      <c r="R787" s="41"/>
      <c r="U787" s="23"/>
      <c r="Y787" s="23"/>
    </row>
    <row r="788">
      <c r="C788" s="42"/>
      <c r="R788" s="41"/>
      <c r="U788" s="23"/>
      <c r="Y788" s="23"/>
    </row>
    <row r="789">
      <c r="C789" s="42"/>
      <c r="R789" s="41"/>
      <c r="U789" s="23"/>
      <c r="Y789" s="23"/>
    </row>
    <row r="790">
      <c r="C790" s="42"/>
      <c r="R790" s="41"/>
      <c r="U790" s="23"/>
      <c r="Y790" s="23"/>
    </row>
    <row r="791">
      <c r="C791" s="42"/>
      <c r="R791" s="41"/>
      <c r="U791" s="23"/>
      <c r="Y791" s="23"/>
    </row>
    <row r="792">
      <c r="C792" s="42"/>
      <c r="R792" s="41"/>
      <c r="U792" s="23"/>
      <c r="Y792" s="23"/>
    </row>
    <row r="793">
      <c r="C793" s="42"/>
      <c r="R793" s="41"/>
      <c r="U793" s="23"/>
      <c r="Y793" s="23"/>
    </row>
    <row r="794">
      <c r="C794" s="42"/>
      <c r="R794" s="41"/>
      <c r="U794" s="23"/>
      <c r="Y794" s="23"/>
    </row>
    <row r="795">
      <c r="C795" s="42"/>
      <c r="R795" s="41"/>
      <c r="U795" s="23"/>
      <c r="Y795" s="23"/>
    </row>
    <row r="796">
      <c r="C796" s="42"/>
      <c r="R796" s="41"/>
      <c r="U796" s="23"/>
      <c r="Y796" s="23"/>
    </row>
    <row r="797">
      <c r="C797" s="42"/>
      <c r="R797" s="41"/>
      <c r="U797" s="23"/>
      <c r="Y797" s="23"/>
    </row>
    <row r="798">
      <c r="C798" s="42"/>
      <c r="R798" s="41"/>
      <c r="U798" s="23"/>
      <c r="Y798" s="23"/>
    </row>
    <row r="799">
      <c r="C799" s="42"/>
      <c r="R799" s="41"/>
      <c r="U799" s="23"/>
      <c r="Y799" s="23"/>
    </row>
    <row r="800">
      <c r="C800" s="42"/>
      <c r="R800" s="41"/>
      <c r="U800" s="23"/>
      <c r="Y800" s="23"/>
    </row>
    <row r="801">
      <c r="C801" s="42"/>
      <c r="R801" s="41"/>
      <c r="U801" s="23"/>
      <c r="Y801" s="23"/>
    </row>
    <row r="802">
      <c r="C802" s="42"/>
      <c r="R802" s="41"/>
      <c r="U802" s="23"/>
      <c r="Y802" s="23"/>
    </row>
    <row r="803">
      <c r="C803" s="42"/>
      <c r="R803" s="41"/>
      <c r="U803" s="23"/>
      <c r="Y803" s="23"/>
    </row>
    <row r="804">
      <c r="C804" s="42"/>
      <c r="R804" s="41"/>
      <c r="U804" s="23"/>
      <c r="Y804" s="23"/>
    </row>
    <row r="805">
      <c r="C805" s="42"/>
      <c r="R805" s="41"/>
      <c r="U805" s="23"/>
      <c r="Y805" s="23"/>
    </row>
    <row r="806">
      <c r="C806" s="42"/>
      <c r="R806" s="41"/>
      <c r="U806" s="23"/>
      <c r="Y806" s="23"/>
    </row>
    <row r="807">
      <c r="C807" s="42"/>
      <c r="R807" s="41"/>
      <c r="U807" s="23"/>
      <c r="Y807" s="23"/>
    </row>
    <row r="808">
      <c r="C808" s="42"/>
      <c r="R808" s="41"/>
      <c r="U808" s="23"/>
      <c r="Y808" s="23"/>
    </row>
    <row r="809">
      <c r="C809" s="42"/>
      <c r="R809" s="41"/>
      <c r="U809" s="23"/>
      <c r="Y809" s="23"/>
    </row>
    <row r="810">
      <c r="C810" s="42"/>
      <c r="R810" s="41"/>
      <c r="U810" s="23"/>
      <c r="Y810" s="23"/>
    </row>
    <row r="811">
      <c r="C811" s="42"/>
      <c r="R811" s="41"/>
      <c r="U811" s="23"/>
      <c r="Y811" s="23"/>
    </row>
    <row r="812">
      <c r="C812" s="42"/>
      <c r="R812" s="41"/>
      <c r="U812" s="23"/>
      <c r="Y812" s="23"/>
    </row>
    <row r="813">
      <c r="C813" s="42"/>
      <c r="R813" s="41"/>
      <c r="U813" s="23"/>
      <c r="Y813" s="23"/>
    </row>
    <row r="814">
      <c r="C814" s="42"/>
      <c r="R814" s="41"/>
      <c r="U814" s="23"/>
      <c r="Y814" s="23"/>
    </row>
    <row r="815">
      <c r="C815" s="42"/>
      <c r="R815" s="41"/>
      <c r="U815" s="23"/>
      <c r="Y815" s="23"/>
    </row>
    <row r="816">
      <c r="C816" s="42"/>
      <c r="R816" s="41"/>
      <c r="U816" s="23"/>
      <c r="Y816" s="23"/>
    </row>
    <row r="817">
      <c r="C817" s="42"/>
      <c r="R817" s="41"/>
      <c r="U817" s="23"/>
      <c r="Y817" s="23"/>
    </row>
    <row r="818">
      <c r="C818" s="42"/>
      <c r="R818" s="41"/>
      <c r="U818" s="23"/>
      <c r="Y818" s="23"/>
    </row>
    <row r="819">
      <c r="C819" s="42"/>
      <c r="R819" s="41"/>
      <c r="U819" s="23"/>
      <c r="Y819" s="23"/>
    </row>
    <row r="820">
      <c r="C820" s="42"/>
      <c r="R820" s="41"/>
      <c r="U820" s="23"/>
      <c r="Y820" s="23"/>
    </row>
    <row r="821">
      <c r="C821" s="42"/>
      <c r="R821" s="41"/>
      <c r="U821" s="23"/>
      <c r="Y821" s="23"/>
    </row>
    <row r="822">
      <c r="C822" s="42"/>
      <c r="R822" s="41"/>
      <c r="U822" s="23"/>
      <c r="Y822" s="23"/>
    </row>
    <row r="823">
      <c r="C823" s="42"/>
      <c r="R823" s="41"/>
      <c r="U823" s="23"/>
      <c r="Y823" s="23"/>
    </row>
    <row r="824">
      <c r="C824" s="42"/>
      <c r="R824" s="41"/>
      <c r="U824" s="23"/>
      <c r="Y824" s="23"/>
    </row>
    <row r="825">
      <c r="C825" s="42"/>
      <c r="R825" s="41"/>
      <c r="U825" s="23"/>
      <c r="Y825" s="23"/>
    </row>
    <row r="826">
      <c r="C826" s="42"/>
      <c r="R826" s="41"/>
      <c r="U826" s="23"/>
      <c r="Y826" s="23"/>
    </row>
    <row r="827">
      <c r="C827" s="42"/>
      <c r="R827" s="41"/>
      <c r="U827" s="23"/>
      <c r="Y827" s="23"/>
    </row>
    <row r="828">
      <c r="C828" s="42"/>
      <c r="R828" s="41"/>
      <c r="U828" s="23"/>
      <c r="Y828" s="23"/>
    </row>
    <row r="829">
      <c r="C829" s="42"/>
      <c r="R829" s="41"/>
      <c r="U829" s="23"/>
      <c r="Y829" s="23"/>
    </row>
    <row r="830">
      <c r="C830" s="42"/>
      <c r="R830" s="41"/>
      <c r="U830" s="23"/>
      <c r="Y830" s="23"/>
    </row>
    <row r="831">
      <c r="C831" s="42"/>
      <c r="R831" s="41"/>
      <c r="U831" s="23"/>
      <c r="Y831" s="23"/>
    </row>
    <row r="832">
      <c r="C832" s="42"/>
      <c r="R832" s="41"/>
      <c r="U832" s="23"/>
      <c r="Y832" s="23"/>
    </row>
    <row r="833">
      <c r="C833" s="42"/>
      <c r="R833" s="41"/>
      <c r="U833" s="23"/>
      <c r="Y833" s="23"/>
    </row>
    <row r="834">
      <c r="C834" s="42"/>
      <c r="R834" s="41"/>
      <c r="U834" s="23"/>
      <c r="Y834" s="23"/>
    </row>
    <row r="835">
      <c r="C835" s="42"/>
      <c r="R835" s="41"/>
      <c r="U835" s="23"/>
      <c r="Y835" s="23"/>
    </row>
    <row r="836">
      <c r="C836" s="42"/>
      <c r="R836" s="41"/>
      <c r="U836" s="23"/>
      <c r="Y836" s="23"/>
    </row>
    <row r="837">
      <c r="C837" s="42"/>
      <c r="R837" s="41"/>
      <c r="U837" s="23"/>
      <c r="Y837" s="23"/>
    </row>
    <row r="838">
      <c r="C838" s="42"/>
      <c r="R838" s="41"/>
      <c r="U838" s="23"/>
      <c r="Y838" s="23"/>
    </row>
    <row r="839">
      <c r="C839" s="42"/>
      <c r="R839" s="41"/>
      <c r="U839" s="23"/>
      <c r="Y839" s="23"/>
    </row>
    <row r="840">
      <c r="C840" s="42"/>
      <c r="R840" s="41"/>
      <c r="U840" s="23"/>
      <c r="Y840" s="23"/>
    </row>
    <row r="841">
      <c r="C841" s="42"/>
      <c r="R841" s="41"/>
      <c r="U841" s="23"/>
      <c r="Y841" s="23"/>
    </row>
    <row r="842">
      <c r="C842" s="42"/>
      <c r="R842" s="41"/>
      <c r="U842" s="23"/>
      <c r="Y842" s="23"/>
    </row>
    <row r="843">
      <c r="C843" s="42"/>
      <c r="R843" s="41"/>
      <c r="U843" s="23"/>
      <c r="Y843" s="23"/>
    </row>
    <row r="844">
      <c r="C844" s="42"/>
      <c r="R844" s="41"/>
      <c r="U844" s="23"/>
      <c r="Y844" s="23"/>
    </row>
    <row r="845">
      <c r="C845" s="42"/>
      <c r="R845" s="41"/>
      <c r="U845" s="23"/>
      <c r="Y845" s="23"/>
    </row>
    <row r="846">
      <c r="C846" s="42"/>
      <c r="R846" s="41"/>
      <c r="U846" s="23"/>
      <c r="Y846" s="23"/>
    </row>
    <row r="847">
      <c r="C847" s="42"/>
      <c r="R847" s="41"/>
      <c r="U847" s="23"/>
      <c r="Y847" s="23"/>
    </row>
    <row r="848">
      <c r="C848" s="42"/>
      <c r="R848" s="41"/>
      <c r="U848" s="23"/>
      <c r="Y848" s="23"/>
    </row>
    <row r="849">
      <c r="C849" s="42"/>
      <c r="R849" s="41"/>
      <c r="U849" s="23"/>
      <c r="Y849" s="23"/>
    </row>
    <row r="850">
      <c r="C850" s="42"/>
      <c r="R850" s="41"/>
      <c r="U850" s="23"/>
      <c r="Y850" s="23"/>
    </row>
    <row r="851">
      <c r="C851" s="42"/>
      <c r="R851" s="41"/>
      <c r="U851" s="23"/>
      <c r="Y851" s="23"/>
    </row>
    <row r="852">
      <c r="C852" s="42"/>
      <c r="R852" s="41"/>
      <c r="U852" s="23"/>
      <c r="Y852" s="23"/>
    </row>
    <row r="853">
      <c r="C853" s="42"/>
      <c r="R853" s="41"/>
      <c r="U853" s="23"/>
      <c r="Y853" s="23"/>
    </row>
    <row r="854">
      <c r="C854" s="42"/>
      <c r="R854" s="41"/>
      <c r="U854" s="23"/>
      <c r="Y854" s="23"/>
    </row>
    <row r="855">
      <c r="C855" s="42"/>
      <c r="R855" s="41"/>
      <c r="U855" s="23"/>
      <c r="Y855" s="23"/>
    </row>
    <row r="856">
      <c r="C856" s="42"/>
      <c r="R856" s="41"/>
      <c r="U856" s="23"/>
      <c r="Y856" s="23"/>
    </row>
    <row r="857">
      <c r="C857" s="42"/>
      <c r="R857" s="41"/>
      <c r="U857" s="23"/>
      <c r="Y857" s="23"/>
    </row>
    <row r="858">
      <c r="C858" s="42"/>
      <c r="R858" s="41"/>
      <c r="U858" s="23"/>
      <c r="Y858" s="23"/>
    </row>
    <row r="859">
      <c r="C859" s="42"/>
      <c r="R859" s="41"/>
      <c r="U859" s="23"/>
      <c r="Y859" s="23"/>
    </row>
    <row r="860">
      <c r="C860" s="42"/>
      <c r="R860" s="41"/>
      <c r="U860" s="23"/>
      <c r="Y860" s="23"/>
    </row>
    <row r="861">
      <c r="C861" s="42"/>
      <c r="R861" s="41"/>
      <c r="U861" s="23"/>
      <c r="Y861" s="23"/>
    </row>
    <row r="862">
      <c r="C862" s="42"/>
      <c r="R862" s="41"/>
      <c r="U862" s="23"/>
      <c r="Y862" s="23"/>
    </row>
    <row r="863">
      <c r="C863" s="42"/>
      <c r="R863" s="41"/>
      <c r="U863" s="23"/>
      <c r="Y863" s="23"/>
    </row>
    <row r="864">
      <c r="C864" s="42"/>
      <c r="R864" s="41"/>
      <c r="U864" s="23"/>
      <c r="Y864" s="23"/>
    </row>
    <row r="865">
      <c r="C865" s="42"/>
      <c r="R865" s="41"/>
      <c r="U865" s="23"/>
      <c r="Y865" s="23"/>
    </row>
    <row r="866">
      <c r="C866" s="42"/>
      <c r="R866" s="41"/>
      <c r="U866" s="23"/>
      <c r="Y866" s="23"/>
    </row>
    <row r="867">
      <c r="C867" s="42"/>
      <c r="R867" s="41"/>
      <c r="U867" s="23"/>
      <c r="Y867" s="23"/>
    </row>
    <row r="868">
      <c r="C868" s="42"/>
      <c r="R868" s="41"/>
      <c r="U868" s="23"/>
      <c r="Y868" s="23"/>
    </row>
    <row r="869">
      <c r="C869" s="42"/>
      <c r="R869" s="41"/>
      <c r="U869" s="23"/>
      <c r="Y869" s="23"/>
    </row>
    <row r="870">
      <c r="C870" s="42"/>
      <c r="R870" s="41"/>
      <c r="U870" s="23"/>
      <c r="Y870" s="23"/>
    </row>
    <row r="871">
      <c r="C871" s="42"/>
      <c r="R871" s="41"/>
      <c r="U871" s="23"/>
      <c r="Y871" s="23"/>
    </row>
    <row r="872">
      <c r="C872" s="42"/>
      <c r="R872" s="41"/>
      <c r="U872" s="23"/>
      <c r="Y872" s="23"/>
    </row>
    <row r="873">
      <c r="C873" s="42"/>
      <c r="R873" s="41"/>
      <c r="U873" s="23"/>
      <c r="Y873" s="23"/>
    </row>
    <row r="874">
      <c r="C874" s="42"/>
      <c r="R874" s="41"/>
      <c r="U874" s="23"/>
      <c r="Y874" s="23"/>
    </row>
    <row r="875">
      <c r="C875" s="42"/>
      <c r="R875" s="41"/>
      <c r="U875" s="23"/>
      <c r="Y875" s="23"/>
    </row>
    <row r="876">
      <c r="C876" s="42"/>
      <c r="R876" s="41"/>
      <c r="U876" s="23"/>
      <c r="Y876" s="23"/>
    </row>
    <row r="877">
      <c r="C877" s="42"/>
      <c r="R877" s="41"/>
      <c r="U877" s="23"/>
      <c r="Y877" s="23"/>
    </row>
    <row r="878">
      <c r="C878" s="42"/>
      <c r="R878" s="41"/>
      <c r="U878" s="23"/>
      <c r="Y878" s="23"/>
    </row>
    <row r="879">
      <c r="C879" s="42"/>
      <c r="R879" s="41"/>
      <c r="U879" s="23"/>
      <c r="Y879" s="23"/>
    </row>
    <row r="880">
      <c r="C880" s="42"/>
      <c r="R880" s="41"/>
      <c r="U880" s="23"/>
      <c r="Y880" s="23"/>
    </row>
    <row r="881">
      <c r="C881" s="42"/>
      <c r="R881" s="41"/>
      <c r="U881" s="23"/>
      <c r="Y881" s="23"/>
    </row>
    <row r="882">
      <c r="C882" s="42"/>
      <c r="R882" s="41"/>
      <c r="U882" s="23"/>
      <c r="Y882" s="23"/>
    </row>
    <row r="883">
      <c r="C883" s="42"/>
      <c r="R883" s="41"/>
      <c r="U883" s="23"/>
      <c r="Y883" s="23"/>
    </row>
    <row r="884">
      <c r="C884" s="42"/>
      <c r="R884" s="41"/>
      <c r="U884" s="23"/>
      <c r="Y884" s="23"/>
    </row>
    <row r="885">
      <c r="C885" s="42"/>
      <c r="R885" s="41"/>
      <c r="U885" s="23"/>
      <c r="Y885" s="23"/>
    </row>
    <row r="886">
      <c r="C886" s="42"/>
      <c r="R886" s="41"/>
      <c r="U886" s="23"/>
      <c r="Y886" s="23"/>
    </row>
    <row r="887">
      <c r="C887" s="42"/>
      <c r="R887" s="41"/>
      <c r="U887" s="23"/>
      <c r="Y887" s="23"/>
    </row>
    <row r="888">
      <c r="C888" s="42"/>
      <c r="R888" s="41"/>
      <c r="U888" s="23"/>
      <c r="Y888" s="23"/>
    </row>
    <row r="889">
      <c r="C889" s="42"/>
      <c r="R889" s="41"/>
      <c r="U889" s="23"/>
      <c r="Y889" s="23"/>
    </row>
    <row r="890">
      <c r="C890" s="42"/>
      <c r="R890" s="41"/>
      <c r="U890" s="23"/>
      <c r="Y890" s="23"/>
    </row>
    <row r="891">
      <c r="C891" s="42"/>
      <c r="R891" s="41"/>
      <c r="U891" s="23"/>
      <c r="Y891" s="23"/>
    </row>
    <row r="892">
      <c r="C892" s="42"/>
      <c r="R892" s="41"/>
      <c r="U892" s="23"/>
      <c r="Y892" s="23"/>
    </row>
    <row r="893">
      <c r="C893" s="42"/>
      <c r="R893" s="41"/>
      <c r="U893" s="23"/>
      <c r="Y893" s="23"/>
    </row>
    <row r="894">
      <c r="C894" s="42"/>
      <c r="R894" s="41"/>
      <c r="U894" s="23"/>
      <c r="Y894" s="23"/>
    </row>
    <row r="895">
      <c r="C895" s="42"/>
      <c r="R895" s="41"/>
      <c r="U895" s="23"/>
      <c r="Y895" s="23"/>
    </row>
    <row r="896">
      <c r="C896" s="42"/>
      <c r="R896" s="41"/>
      <c r="U896" s="23"/>
      <c r="Y896" s="23"/>
    </row>
    <row r="897">
      <c r="C897" s="42"/>
      <c r="R897" s="41"/>
      <c r="U897" s="23"/>
      <c r="Y897" s="23"/>
    </row>
    <row r="898">
      <c r="C898" s="42"/>
      <c r="R898" s="41"/>
      <c r="U898" s="23"/>
      <c r="Y898" s="23"/>
    </row>
    <row r="899">
      <c r="C899" s="42"/>
      <c r="R899" s="41"/>
      <c r="U899" s="23"/>
      <c r="Y899" s="23"/>
    </row>
    <row r="900">
      <c r="C900" s="42"/>
      <c r="R900" s="41"/>
      <c r="U900" s="23"/>
      <c r="Y900" s="23"/>
    </row>
    <row r="901">
      <c r="C901" s="42"/>
      <c r="R901" s="41"/>
      <c r="U901" s="23"/>
      <c r="Y901" s="23"/>
    </row>
    <row r="902">
      <c r="C902" s="42"/>
      <c r="R902" s="41"/>
      <c r="U902" s="23"/>
      <c r="Y902" s="23"/>
    </row>
    <row r="903">
      <c r="C903" s="42"/>
      <c r="R903" s="41"/>
      <c r="U903" s="23"/>
      <c r="Y903" s="23"/>
    </row>
    <row r="904">
      <c r="C904" s="42"/>
      <c r="R904" s="41"/>
      <c r="U904" s="23"/>
      <c r="Y904" s="23"/>
    </row>
    <row r="905">
      <c r="C905" s="42"/>
      <c r="R905" s="41"/>
      <c r="U905" s="23"/>
      <c r="Y905" s="23"/>
    </row>
    <row r="906">
      <c r="C906" s="42"/>
      <c r="R906" s="41"/>
      <c r="U906" s="23"/>
      <c r="Y906" s="23"/>
    </row>
    <row r="907">
      <c r="C907" s="42"/>
      <c r="R907" s="41"/>
      <c r="U907" s="23"/>
      <c r="Y907" s="23"/>
    </row>
    <row r="908">
      <c r="C908" s="42"/>
      <c r="R908" s="41"/>
      <c r="U908" s="23"/>
      <c r="Y908" s="23"/>
    </row>
    <row r="909">
      <c r="C909" s="42"/>
      <c r="R909" s="41"/>
      <c r="U909" s="23"/>
      <c r="Y909" s="23"/>
    </row>
    <row r="910">
      <c r="C910" s="42"/>
      <c r="R910" s="41"/>
      <c r="U910" s="23"/>
      <c r="Y910" s="23"/>
    </row>
    <row r="911">
      <c r="C911" s="42"/>
      <c r="R911" s="41"/>
      <c r="U911" s="23"/>
      <c r="Y911" s="23"/>
    </row>
    <row r="912">
      <c r="C912" s="42"/>
      <c r="R912" s="41"/>
      <c r="U912" s="23"/>
      <c r="Y912" s="23"/>
    </row>
    <row r="913">
      <c r="C913" s="42"/>
      <c r="R913" s="41"/>
      <c r="U913" s="23"/>
      <c r="Y913" s="23"/>
    </row>
    <row r="914">
      <c r="C914" s="42"/>
      <c r="R914" s="41"/>
      <c r="U914" s="23"/>
      <c r="Y914" s="23"/>
    </row>
    <row r="915">
      <c r="C915" s="42"/>
      <c r="R915" s="41"/>
      <c r="U915" s="23"/>
      <c r="Y915" s="23"/>
    </row>
    <row r="916">
      <c r="C916" s="42"/>
      <c r="R916" s="41"/>
      <c r="U916" s="23"/>
      <c r="Y916" s="23"/>
    </row>
    <row r="917">
      <c r="C917" s="42"/>
      <c r="R917" s="41"/>
      <c r="U917" s="23"/>
      <c r="Y917" s="23"/>
    </row>
    <row r="918">
      <c r="C918" s="42"/>
      <c r="R918" s="41"/>
      <c r="U918" s="23"/>
      <c r="Y918" s="23"/>
    </row>
    <row r="919">
      <c r="C919" s="42"/>
      <c r="R919" s="41"/>
      <c r="U919" s="23"/>
      <c r="Y919" s="23"/>
    </row>
    <row r="920">
      <c r="C920" s="42"/>
      <c r="R920" s="41"/>
      <c r="U920" s="23"/>
      <c r="Y920" s="23"/>
    </row>
    <row r="921">
      <c r="C921" s="42"/>
      <c r="R921" s="41"/>
      <c r="U921" s="23"/>
      <c r="Y921" s="23"/>
    </row>
    <row r="922">
      <c r="C922" s="42"/>
      <c r="R922" s="41"/>
      <c r="U922" s="23"/>
      <c r="Y922" s="23"/>
    </row>
    <row r="923">
      <c r="C923" s="42"/>
      <c r="R923" s="41"/>
      <c r="U923" s="23"/>
      <c r="Y923" s="23"/>
    </row>
    <row r="924">
      <c r="C924" s="42"/>
      <c r="R924" s="41"/>
      <c r="U924" s="23"/>
      <c r="Y924" s="23"/>
    </row>
    <row r="925">
      <c r="C925" s="42"/>
      <c r="R925" s="41"/>
      <c r="U925" s="23"/>
      <c r="Y925" s="23"/>
    </row>
    <row r="926">
      <c r="C926" s="42"/>
      <c r="R926" s="41"/>
      <c r="U926" s="23"/>
      <c r="Y926" s="23"/>
    </row>
    <row r="927">
      <c r="C927" s="42"/>
      <c r="R927" s="41"/>
      <c r="U927" s="23"/>
      <c r="Y927" s="23"/>
    </row>
    <row r="928">
      <c r="C928" s="42"/>
      <c r="R928" s="41"/>
      <c r="U928" s="23"/>
      <c r="Y928" s="23"/>
    </row>
    <row r="929">
      <c r="C929" s="42"/>
      <c r="R929" s="41"/>
      <c r="U929" s="23"/>
      <c r="Y929" s="23"/>
    </row>
    <row r="930">
      <c r="C930" s="42"/>
      <c r="R930" s="41"/>
      <c r="U930" s="23"/>
      <c r="Y930" s="23"/>
    </row>
    <row r="931">
      <c r="C931" s="42"/>
      <c r="R931" s="41"/>
      <c r="U931" s="23"/>
      <c r="Y931" s="23"/>
    </row>
    <row r="932">
      <c r="C932" s="42"/>
      <c r="R932" s="41"/>
      <c r="U932" s="23"/>
      <c r="Y932" s="23"/>
    </row>
    <row r="933">
      <c r="C933" s="42"/>
      <c r="R933" s="41"/>
      <c r="U933" s="23"/>
      <c r="Y933" s="23"/>
    </row>
    <row r="934">
      <c r="C934" s="42"/>
      <c r="R934" s="41"/>
      <c r="U934" s="23"/>
      <c r="Y934" s="23"/>
    </row>
    <row r="935">
      <c r="C935" s="42"/>
      <c r="R935" s="41"/>
      <c r="U935" s="23"/>
      <c r="Y935" s="23"/>
    </row>
    <row r="936">
      <c r="C936" s="42"/>
      <c r="R936" s="41"/>
      <c r="U936" s="23"/>
      <c r="Y936" s="23"/>
    </row>
    <row r="937">
      <c r="C937" s="42"/>
      <c r="R937" s="41"/>
      <c r="U937" s="23"/>
      <c r="Y937" s="23"/>
    </row>
    <row r="938">
      <c r="C938" s="42"/>
      <c r="R938" s="41"/>
      <c r="U938" s="23"/>
      <c r="Y938" s="23"/>
    </row>
    <row r="939">
      <c r="C939" s="42"/>
      <c r="R939" s="41"/>
      <c r="U939" s="23"/>
      <c r="Y939" s="23"/>
    </row>
    <row r="940">
      <c r="C940" s="42"/>
      <c r="R940" s="41"/>
      <c r="U940" s="23"/>
      <c r="Y940" s="23"/>
    </row>
    <row r="941">
      <c r="C941" s="42"/>
      <c r="R941" s="41"/>
      <c r="U941" s="23"/>
      <c r="Y941" s="23"/>
    </row>
    <row r="942">
      <c r="C942" s="42"/>
      <c r="R942" s="41"/>
      <c r="U942" s="23"/>
      <c r="Y942" s="23"/>
    </row>
    <row r="943">
      <c r="C943" s="42"/>
      <c r="R943" s="41"/>
      <c r="U943" s="23"/>
      <c r="Y943" s="23"/>
    </row>
    <row r="944">
      <c r="C944" s="42"/>
      <c r="R944" s="41"/>
      <c r="U944" s="23"/>
      <c r="Y944" s="23"/>
    </row>
    <row r="945">
      <c r="C945" s="42"/>
      <c r="R945" s="41"/>
      <c r="U945" s="23"/>
      <c r="Y945" s="23"/>
    </row>
    <row r="946">
      <c r="C946" s="42"/>
      <c r="R946" s="41"/>
      <c r="U946" s="23"/>
      <c r="Y946" s="23"/>
    </row>
    <row r="947">
      <c r="C947" s="42"/>
      <c r="R947" s="41"/>
      <c r="U947" s="23"/>
      <c r="Y947" s="23"/>
    </row>
    <row r="948">
      <c r="C948" s="42"/>
      <c r="R948" s="41"/>
      <c r="U948" s="23"/>
      <c r="Y948" s="23"/>
    </row>
    <row r="949">
      <c r="C949" s="42"/>
      <c r="R949" s="41"/>
      <c r="U949" s="23"/>
      <c r="Y949" s="23"/>
    </row>
    <row r="950">
      <c r="C950" s="42"/>
      <c r="R950" s="41"/>
      <c r="U950" s="23"/>
      <c r="Y950" s="23"/>
    </row>
    <row r="951">
      <c r="C951" s="42"/>
      <c r="R951" s="41"/>
      <c r="U951" s="23"/>
      <c r="Y951" s="23"/>
    </row>
    <row r="952">
      <c r="C952" s="42"/>
      <c r="R952" s="41"/>
      <c r="U952" s="23"/>
      <c r="Y952" s="23"/>
    </row>
    <row r="953">
      <c r="C953" s="42"/>
      <c r="R953" s="41"/>
      <c r="U953" s="23"/>
      <c r="Y953" s="23"/>
    </row>
    <row r="954">
      <c r="C954" s="42"/>
      <c r="R954" s="41"/>
      <c r="U954" s="23"/>
      <c r="Y954" s="23"/>
    </row>
    <row r="955">
      <c r="C955" s="42"/>
      <c r="R955" s="41"/>
      <c r="U955" s="23"/>
      <c r="Y955" s="23"/>
    </row>
    <row r="956">
      <c r="C956" s="42"/>
      <c r="R956" s="41"/>
      <c r="U956" s="23"/>
      <c r="Y956" s="23"/>
    </row>
    <row r="957">
      <c r="C957" s="42"/>
      <c r="R957" s="41"/>
      <c r="U957" s="23"/>
      <c r="Y957" s="23"/>
    </row>
    <row r="958">
      <c r="C958" s="42"/>
      <c r="R958" s="41"/>
      <c r="U958" s="23"/>
      <c r="Y958" s="23"/>
    </row>
    <row r="959">
      <c r="C959" s="42"/>
      <c r="R959" s="41"/>
      <c r="U959" s="23"/>
      <c r="Y959" s="23"/>
    </row>
    <row r="960">
      <c r="C960" s="42"/>
      <c r="R960" s="41"/>
      <c r="U960" s="23"/>
      <c r="Y960" s="23"/>
    </row>
    <row r="961">
      <c r="C961" s="42"/>
      <c r="R961" s="41"/>
      <c r="U961" s="23"/>
      <c r="Y961" s="23"/>
    </row>
    <row r="962">
      <c r="C962" s="42"/>
      <c r="R962" s="41"/>
      <c r="U962" s="23"/>
      <c r="Y962" s="23"/>
    </row>
    <row r="963">
      <c r="C963" s="42"/>
      <c r="R963" s="41"/>
      <c r="U963" s="23"/>
      <c r="Y963" s="23"/>
    </row>
    <row r="964">
      <c r="C964" s="42"/>
      <c r="R964" s="41"/>
      <c r="U964" s="23"/>
      <c r="Y964" s="23"/>
    </row>
    <row r="965">
      <c r="C965" s="42"/>
      <c r="R965" s="41"/>
      <c r="U965" s="23"/>
      <c r="Y965" s="23"/>
    </row>
    <row r="966">
      <c r="C966" s="42"/>
      <c r="R966" s="41"/>
      <c r="U966" s="23"/>
      <c r="Y966" s="23"/>
    </row>
    <row r="967">
      <c r="C967" s="42"/>
      <c r="R967" s="41"/>
      <c r="U967" s="23"/>
      <c r="Y967" s="23"/>
    </row>
    <row r="968">
      <c r="C968" s="42"/>
      <c r="R968" s="41"/>
      <c r="U968" s="23"/>
      <c r="Y968" s="23"/>
    </row>
    <row r="969">
      <c r="C969" s="42"/>
      <c r="R969" s="41"/>
      <c r="U969" s="23"/>
      <c r="Y969" s="23"/>
    </row>
    <row r="970">
      <c r="C970" s="42"/>
      <c r="R970" s="41"/>
      <c r="U970" s="23"/>
      <c r="Y970" s="23"/>
    </row>
    <row r="971">
      <c r="C971" s="42"/>
      <c r="R971" s="41"/>
      <c r="U971" s="23"/>
      <c r="Y971" s="23"/>
    </row>
    <row r="972">
      <c r="C972" s="42"/>
      <c r="R972" s="41"/>
      <c r="U972" s="23"/>
      <c r="Y972" s="23"/>
    </row>
    <row r="973">
      <c r="C973" s="42"/>
      <c r="R973" s="41"/>
      <c r="U973" s="23"/>
      <c r="Y973" s="23"/>
    </row>
    <row r="974">
      <c r="C974" s="42"/>
      <c r="R974" s="41"/>
      <c r="U974" s="23"/>
      <c r="Y974" s="23"/>
    </row>
    <row r="975">
      <c r="C975" s="42"/>
      <c r="R975" s="41"/>
      <c r="U975" s="23"/>
      <c r="Y975" s="23"/>
    </row>
    <row r="976">
      <c r="C976" s="42"/>
      <c r="R976" s="41"/>
      <c r="U976" s="23"/>
      <c r="Y976" s="23"/>
    </row>
    <row r="977">
      <c r="C977" s="42"/>
      <c r="R977" s="41"/>
      <c r="U977" s="23"/>
      <c r="Y977" s="23"/>
    </row>
    <row r="978">
      <c r="C978" s="42"/>
      <c r="R978" s="41"/>
      <c r="U978" s="23"/>
      <c r="Y978" s="23"/>
    </row>
    <row r="979">
      <c r="C979" s="42"/>
      <c r="R979" s="41"/>
      <c r="U979" s="23"/>
      <c r="Y979" s="23"/>
    </row>
    <row r="980">
      <c r="C980" s="42"/>
      <c r="R980" s="41"/>
      <c r="U980" s="23"/>
      <c r="Y980" s="23"/>
    </row>
    <row r="981">
      <c r="C981" s="42"/>
      <c r="R981" s="41"/>
      <c r="U981" s="23"/>
      <c r="Y981" s="23"/>
    </row>
    <row r="982">
      <c r="C982" s="42"/>
      <c r="R982" s="41"/>
      <c r="U982" s="23"/>
      <c r="Y982" s="23"/>
    </row>
    <row r="983">
      <c r="C983" s="42"/>
      <c r="R983" s="41"/>
      <c r="U983" s="23"/>
      <c r="Y983" s="23"/>
    </row>
    <row r="984">
      <c r="C984" s="42"/>
      <c r="R984" s="41"/>
      <c r="U984" s="23"/>
      <c r="Y984" s="23"/>
    </row>
    <row r="985">
      <c r="C985" s="42"/>
      <c r="R985" s="41"/>
      <c r="U985" s="23"/>
      <c r="Y985" s="23"/>
    </row>
    <row r="986">
      <c r="C986" s="42"/>
      <c r="R986" s="41"/>
      <c r="U986" s="23"/>
      <c r="Y986" s="23"/>
    </row>
    <row r="987">
      <c r="C987" s="42"/>
      <c r="R987" s="41"/>
      <c r="U987" s="23"/>
      <c r="Y987" s="23"/>
    </row>
    <row r="988">
      <c r="C988" s="42"/>
      <c r="R988" s="41"/>
      <c r="U988" s="23"/>
      <c r="Y988" s="23"/>
    </row>
    <row r="989">
      <c r="C989" s="42"/>
      <c r="R989" s="41"/>
      <c r="U989" s="23"/>
      <c r="Y989" s="23"/>
    </row>
    <row r="990">
      <c r="C990" s="42"/>
      <c r="R990" s="41"/>
      <c r="U990" s="23"/>
      <c r="Y990" s="23"/>
    </row>
    <row r="991">
      <c r="C991" s="42"/>
      <c r="R991" s="41"/>
      <c r="U991" s="23"/>
      <c r="Y991" s="23"/>
    </row>
    <row r="992">
      <c r="C992" s="42"/>
      <c r="R992" s="41"/>
      <c r="U992" s="23"/>
      <c r="Y992" s="23"/>
    </row>
    <row r="993">
      <c r="C993" s="42"/>
      <c r="R993" s="41"/>
      <c r="U993" s="23"/>
      <c r="Y993" s="23"/>
    </row>
  </sheetData>
  <autoFilter ref="$A$1:$U$993"/>
  <customSheetViews>
    <customSheetView guid="{BF889CC1-4C99-4ECA-95EC-355DC7109648}" filter="1" showAutoFilter="1">
      <autoFilter ref="$A$1:$U$261"/>
    </customSheetView>
  </customSheetView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24.13"/>
  </cols>
  <sheetData>
    <row r="1">
      <c r="A1" s="3" t="s">
        <v>0</v>
      </c>
      <c r="B1" s="3" t="s">
        <v>1</v>
      </c>
      <c r="C1" s="3" t="s">
        <v>544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3"/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44" t="s">
        <v>17</v>
      </c>
      <c r="S1" s="3" t="s">
        <v>18</v>
      </c>
      <c r="T1" s="3" t="s">
        <v>19</v>
      </c>
      <c r="U1" s="44" t="s">
        <v>20</v>
      </c>
      <c r="V1" s="16"/>
      <c r="W1" s="16"/>
      <c r="X1" s="45" t="s">
        <v>21</v>
      </c>
      <c r="Y1" s="46" t="s">
        <v>22</v>
      </c>
      <c r="Z1" s="45" t="s">
        <v>23</v>
      </c>
      <c r="AA1" s="16"/>
      <c r="AB1" s="16"/>
      <c r="AC1" s="16"/>
    </row>
    <row r="2">
      <c r="A2" s="16" t="s">
        <v>24</v>
      </c>
      <c r="B2" s="16" t="s">
        <v>25</v>
      </c>
      <c r="C2" s="16" t="s">
        <v>26</v>
      </c>
      <c r="D2" s="16" t="s">
        <v>4</v>
      </c>
      <c r="E2" s="17" t="b">
        <f t="shared" ref="E2:K2" si="1">IF(IFERROR(SEARCH(E$1, $D2),0) &gt;= 1, TRUE,FALSE)</f>
        <v>1</v>
      </c>
      <c r="F2" s="17" t="b">
        <f t="shared" si="1"/>
        <v>0</v>
      </c>
      <c r="G2" s="17" t="b">
        <f t="shared" si="1"/>
        <v>0</v>
      </c>
      <c r="H2" s="17" t="b">
        <f t="shared" si="1"/>
        <v>0</v>
      </c>
      <c r="I2" s="17" t="b">
        <f t="shared" si="1"/>
        <v>0</v>
      </c>
      <c r="J2" s="17" t="b">
        <f t="shared" si="1"/>
        <v>0</v>
      </c>
      <c r="K2" s="17" t="b">
        <f t="shared" si="1"/>
        <v>0</v>
      </c>
      <c r="L2" s="17"/>
      <c r="M2" s="47" t="b">
        <v>1</v>
      </c>
      <c r="N2" s="47" t="b">
        <v>0</v>
      </c>
      <c r="O2" s="47" t="b">
        <v>1</v>
      </c>
      <c r="P2" s="47" t="b">
        <v>0</v>
      </c>
      <c r="Q2" s="16" t="str">
        <f t="shared" ref="Q2:Q261" si="3">IF(ISBLANK(A2),B2,A2)</f>
        <v>Archeologisch museum van de Boven-Maas</v>
      </c>
      <c r="R2" s="48">
        <v>3.5</v>
      </c>
      <c r="S2" s="47" t="b">
        <v>0</v>
      </c>
      <c r="T2" s="47" t="b">
        <v>0</v>
      </c>
      <c r="U2" s="16"/>
      <c r="V2" s="16"/>
      <c r="W2" s="45" t="s">
        <v>26</v>
      </c>
      <c r="X2" s="21">
        <f>COUNTIF(C:C, "Namen")</f>
        <v>15</v>
      </c>
      <c r="Y2" s="49">
        <f>AVERAGEIF(C:C, "Namen",R:R)</f>
        <v>5.966666667</v>
      </c>
      <c r="Z2" s="48">
        <f>MEDIAN(R2:R16)</f>
        <v>6</v>
      </c>
      <c r="AA2" s="16"/>
      <c r="AB2" s="16"/>
      <c r="AC2" s="16"/>
    </row>
    <row r="3">
      <c r="A3" s="16" t="s">
        <v>27</v>
      </c>
      <c r="B3" s="16" t="str">
        <f>IFERROR(__xludf.DUMMYFUNCTION("SPLIT(A3, "" - "", FALSE,FALSE)"),"Citadel van Namen / Bezoekerscentrum Terra Nova en toeristentreintje")</f>
        <v>Citadel van Namen / Bezoekerscentrum Terra Nova en toeristentreintje</v>
      </c>
      <c r="C3" s="16" t="s">
        <v>26</v>
      </c>
      <c r="D3" s="16" t="s">
        <v>4</v>
      </c>
      <c r="E3" s="17" t="b">
        <f t="shared" ref="E3:K3" si="2">IF(IFERROR(SEARCH(E$1, $D3),0) &gt;= 1, TRUE,FALSE)</f>
        <v>1</v>
      </c>
      <c r="F3" s="17" t="b">
        <f t="shared" si="2"/>
        <v>0</v>
      </c>
      <c r="G3" s="17" t="b">
        <f t="shared" si="2"/>
        <v>0</v>
      </c>
      <c r="H3" s="17" t="b">
        <f t="shared" si="2"/>
        <v>0</v>
      </c>
      <c r="I3" s="17" t="b">
        <f t="shared" si="2"/>
        <v>0</v>
      </c>
      <c r="J3" s="17" t="b">
        <f t="shared" si="2"/>
        <v>0</v>
      </c>
      <c r="K3" s="17" t="b">
        <f t="shared" si="2"/>
        <v>0</v>
      </c>
      <c r="L3" s="17"/>
      <c r="M3" s="47" t="b">
        <v>1</v>
      </c>
      <c r="N3" s="47" t="b">
        <v>1</v>
      </c>
      <c r="O3" s="47" t="b">
        <v>0</v>
      </c>
      <c r="P3" s="47" t="b">
        <v>0</v>
      </c>
      <c r="Q3" s="16" t="str">
        <f t="shared" si="3"/>
        <v>Citadel van Namen / Bezoekerscentrum Terra Nova en toeristentreintje</v>
      </c>
      <c r="R3" s="48">
        <v>6.0</v>
      </c>
      <c r="S3" s="47" t="b">
        <v>0</v>
      </c>
      <c r="T3" s="47" t="b">
        <v>0</v>
      </c>
      <c r="U3" s="16"/>
      <c r="V3" s="16"/>
      <c r="W3" s="45" t="s">
        <v>28</v>
      </c>
      <c r="X3" s="21">
        <f>COUNTIF(C:C, "West-Vlaanderen")</f>
        <v>41</v>
      </c>
      <c r="Y3" s="49">
        <f>AVERAGEIF(C:C, "West-Vlaanderen",R:R)</f>
        <v>9.146341463</v>
      </c>
      <c r="Z3" s="48">
        <f>MEDIAN(R17:R57)</f>
        <v>9</v>
      </c>
      <c r="AA3" s="16"/>
      <c r="AB3" s="16"/>
      <c r="AC3" s="16"/>
    </row>
    <row r="4">
      <c r="A4" s="16" t="s">
        <v>29</v>
      </c>
      <c r="B4" s="16" t="s">
        <v>30</v>
      </c>
      <c r="C4" s="16" t="s">
        <v>26</v>
      </c>
      <c r="D4" s="16" t="s">
        <v>5</v>
      </c>
      <c r="E4" s="17" t="b">
        <f t="shared" ref="E4:K4" si="4">IF(IFERROR(SEARCH(E$1, $D4),0) &gt;= 1, TRUE,FALSE)</f>
        <v>0</v>
      </c>
      <c r="F4" s="17" t="b">
        <f t="shared" si="4"/>
        <v>1</v>
      </c>
      <c r="G4" s="17" t="b">
        <f t="shared" si="4"/>
        <v>0</v>
      </c>
      <c r="H4" s="17" t="b">
        <f t="shared" si="4"/>
        <v>0</v>
      </c>
      <c r="I4" s="17" t="b">
        <f t="shared" si="4"/>
        <v>0</v>
      </c>
      <c r="J4" s="17" t="b">
        <f t="shared" si="4"/>
        <v>0</v>
      </c>
      <c r="K4" s="17" t="b">
        <f t="shared" si="4"/>
        <v>0</v>
      </c>
      <c r="L4" s="17"/>
      <c r="M4" s="47" t="b">
        <v>1</v>
      </c>
      <c r="N4" s="47" t="b">
        <v>1</v>
      </c>
      <c r="O4" s="47" t="b">
        <v>1</v>
      </c>
      <c r="P4" s="47" t="b">
        <v>0</v>
      </c>
      <c r="Q4" s="16" t="str">
        <f t="shared" si="3"/>
        <v>NAM-IP Computermuseum</v>
      </c>
      <c r="R4" s="50">
        <v>8.0</v>
      </c>
      <c r="S4" s="47" t="b">
        <v>0</v>
      </c>
      <c r="T4" s="47" t="b">
        <v>0</v>
      </c>
      <c r="U4" s="16"/>
      <c r="V4" s="16"/>
      <c r="W4" s="45" t="s">
        <v>31</v>
      </c>
      <c r="X4" s="21">
        <v>35.0</v>
      </c>
      <c r="Y4" s="49">
        <f>AVERAGE($R$58:$R$91)</f>
        <v>9.25</v>
      </c>
      <c r="Z4" s="49">
        <f>MEDIAN($R$58:$R$91)</f>
        <v>10</v>
      </c>
      <c r="AA4" s="16"/>
      <c r="AB4" s="16"/>
      <c r="AC4" s="16"/>
    </row>
    <row r="5">
      <c r="A5" s="16" t="s">
        <v>32</v>
      </c>
      <c r="B5" s="16" t="s">
        <v>33</v>
      </c>
      <c r="C5" s="16" t="s">
        <v>26</v>
      </c>
      <c r="D5" s="16" t="s">
        <v>4</v>
      </c>
      <c r="E5" s="17" t="b">
        <f t="shared" ref="E5:K5" si="5">IF(IFERROR(SEARCH(E$1, $D5),0) &gt;= 1, TRUE,FALSE)</f>
        <v>1</v>
      </c>
      <c r="F5" s="17" t="b">
        <f t="shared" si="5"/>
        <v>0</v>
      </c>
      <c r="G5" s="17" t="b">
        <f t="shared" si="5"/>
        <v>0</v>
      </c>
      <c r="H5" s="17" t="b">
        <f t="shared" si="5"/>
        <v>0</v>
      </c>
      <c r="I5" s="17" t="b">
        <f t="shared" si="5"/>
        <v>0</v>
      </c>
      <c r="J5" s="17" t="b">
        <f t="shared" si="5"/>
        <v>0</v>
      </c>
      <c r="K5" s="17" t="b">
        <f t="shared" si="5"/>
        <v>0</v>
      </c>
      <c r="L5" s="17"/>
      <c r="M5" s="47" t="b">
        <v>1</v>
      </c>
      <c r="N5" s="47" t="b">
        <v>0</v>
      </c>
      <c r="O5" s="47" t="b">
        <v>0</v>
      </c>
      <c r="P5" s="47" t="b">
        <v>0</v>
      </c>
      <c r="Q5" s="16" t="str">
        <f t="shared" si="3"/>
        <v>Ecomuseum van de Viroin</v>
      </c>
      <c r="R5" s="48">
        <v>4.0</v>
      </c>
      <c r="S5" s="47" t="b">
        <v>0</v>
      </c>
      <c r="T5" s="47" t="b">
        <v>1</v>
      </c>
      <c r="U5" s="48">
        <v>4.0</v>
      </c>
      <c r="V5" s="16"/>
      <c r="W5" s="45" t="s">
        <v>34</v>
      </c>
      <c r="X5" s="21">
        <v>5.0</v>
      </c>
      <c r="Y5" s="49">
        <f>AVERAGE($R$93:$R$97)</f>
        <v>8.8</v>
      </c>
      <c r="Z5" s="49">
        <f>MEDIAN($R$93:$R$97)</f>
        <v>10</v>
      </c>
      <c r="AA5" s="16"/>
      <c r="AB5" s="16"/>
      <c r="AC5" s="16"/>
    </row>
    <row r="6">
      <c r="A6" s="16" t="s">
        <v>35</v>
      </c>
      <c r="B6" s="16" t="s">
        <v>36</v>
      </c>
      <c r="C6" s="16" t="s">
        <v>26</v>
      </c>
      <c r="D6" s="16" t="s">
        <v>37</v>
      </c>
      <c r="E6" s="17" t="b">
        <f t="shared" ref="E6:K6" si="6">IF(IFERROR(SEARCH(E$1, $D6),0) &gt;= 1, TRUE,FALSE)</f>
        <v>1</v>
      </c>
      <c r="F6" s="17" t="b">
        <f t="shared" si="6"/>
        <v>0</v>
      </c>
      <c r="G6" s="17" t="b">
        <f t="shared" si="6"/>
        <v>0</v>
      </c>
      <c r="H6" s="17" t="b">
        <f t="shared" si="6"/>
        <v>0</v>
      </c>
      <c r="I6" s="17" t="b">
        <f t="shared" si="6"/>
        <v>0</v>
      </c>
      <c r="J6" s="17" t="b">
        <f t="shared" si="6"/>
        <v>0</v>
      </c>
      <c r="K6" s="17" t="b">
        <f t="shared" si="6"/>
        <v>1</v>
      </c>
      <c r="L6" s="17"/>
      <c r="M6" s="47" t="b">
        <v>1</v>
      </c>
      <c r="N6" s="47" t="b">
        <v>0</v>
      </c>
      <c r="O6" s="47" t="b">
        <v>0</v>
      </c>
      <c r="P6" s="47" t="b">
        <v>0</v>
      </c>
      <c r="Q6" s="16" t="str">
        <f t="shared" si="3"/>
        <v>Andenne Museum</v>
      </c>
      <c r="R6" s="48">
        <v>10.0</v>
      </c>
      <c r="S6" s="47" t="b">
        <v>0</v>
      </c>
      <c r="T6" s="47" t="b">
        <v>0</v>
      </c>
      <c r="U6" s="16"/>
      <c r="V6" s="16"/>
      <c r="W6" s="45" t="s">
        <v>38</v>
      </c>
      <c r="X6" s="21">
        <v>13.0</v>
      </c>
      <c r="Y6" s="49">
        <f>AVERAGE($R$98:$R$110)</f>
        <v>8.192307692</v>
      </c>
      <c r="Z6" s="49">
        <f>MEDIAN($R$98:$R$110)</f>
        <v>10</v>
      </c>
      <c r="AA6" s="16"/>
      <c r="AB6" s="16"/>
      <c r="AC6" s="16"/>
    </row>
    <row r="7">
      <c r="A7" s="16"/>
      <c r="B7" s="16" t="s">
        <v>39</v>
      </c>
      <c r="C7" s="16" t="s">
        <v>26</v>
      </c>
      <c r="D7" s="16" t="s">
        <v>9</v>
      </c>
      <c r="E7" s="17" t="b">
        <f t="shared" ref="E7:K7" si="7">IF(IFERROR(SEARCH(E$1, $D7),0) &gt;= 1, TRUE,FALSE)</f>
        <v>0</v>
      </c>
      <c r="F7" s="17" t="b">
        <f t="shared" si="7"/>
        <v>0</v>
      </c>
      <c r="G7" s="17" t="b">
        <f t="shared" si="7"/>
        <v>0</v>
      </c>
      <c r="H7" s="17" t="b">
        <f t="shared" si="7"/>
        <v>0</v>
      </c>
      <c r="I7" s="17" t="b">
        <f t="shared" si="7"/>
        <v>0</v>
      </c>
      <c r="J7" s="17" t="b">
        <f t="shared" si="7"/>
        <v>1</v>
      </c>
      <c r="K7" s="17" t="b">
        <f t="shared" si="7"/>
        <v>0</v>
      </c>
      <c r="L7" s="17"/>
      <c r="M7" s="47" t="b">
        <v>1</v>
      </c>
      <c r="N7" s="47" t="b">
        <v>0</v>
      </c>
      <c r="O7" s="47" t="b">
        <v>0</v>
      </c>
      <c r="P7" s="47" t="b">
        <v>1</v>
      </c>
      <c r="Q7" s="16" t="str">
        <f t="shared" si="3"/>
        <v>Le Delta</v>
      </c>
      <c r="R7" s="48">
        <v>5.0</v>
      </c>
      <c r="S7" s="47" t="b">
        <v>0</v>
      </c>
      <c r="T7" s="47" t="b">
        <v>1</v>
      </c>
      <c r="U7" s="48">
        <v>5.0</v>
      </c>
      <c r="V7" s="16"/>
      <c r="W7" s="45" t="s">
        <v>40</v>
      </c>
      <c r="X7" s="21">
        <f>COUNTIF(C:C, "Limburg")</f>
        <v>15</v>
      </c>
      <c r="Y7" s="49">
        <f>AVERAGEIF(C:C, "Limburg",R:R)</f>
        <v>8.333333333</v>
      </c>
      <c r="Z7" s="48">
        <f>MEDIAN(R111,R125)</f>
        <v>9</v>
      </c>
      <c r="AA7" s="16"/>
      <c r="AB7" s="16"/>
      <c r="AC7" s="16"/>
    </row>
    <row r="8">
      <c r="A8" s="16"/>
      <c r="B8" s="16" t="s">
        <v>41</v>
      </c>
      <c r="C8" s="16" t="s">
        <v>26</v>
      </c>
      <c r="D8" s="16" t="s">
        <v>42</v>
      </c>
      <c r="E8" s="17" t="b">
        <f t="shared" ref="E8:K8" si="8">IF(IFERROR(SEARCH(E$1, $D8),0) &gt;= 1, TRUE,FALSE)</f>
        <v>0</v>
      </c>
      <c r="F8" s="17" t="b">
        <f t="shared" si="8"/>
        <v>1</v>
      </c>
      <c r="G8" s="17" t="b">
        <f t="shared" si="8"/>
        <v>0</v>
      </c>
      <c r="H8" s="17" t="b">
        <f t="shared" si="8"/>
        <v>0</v>
      </c>
      <c r="I8" s="17" t="b">
        <f t="shared" si="8"/>
        <v>0</v>
      </c>
      <c r="J8" s="17" t="b">
        <f t="shared" si="8"/>
        <v>1</v>
      </c>
      <c r="K8" s="17" t="b">
        <f t="shared" si="8"/>
        <v>0</v>
      </c>
      <c r="L8" s="17"/>
      <c r="M8" s="47" t="b">
        <v>1</v>
      </c>
      <c r="N8" s="47" t="b">
        <v>0</v>
      </c>
      <c r="O8" s="47" t="b">
        <v>0</v>
      </c>
      <c r="P8" s="47" t="b">
        <v>0</v>
      </c>
      <c r="Q8" s="16" t="str">
        <f t="shared" si="3"/>
        <v>Le Pavillon</v>
      </c>
      <c r="R8" s="48">
        <v>10.0</v>
      </c>
      <c r="S8" s="47" t="b">
        <v>0</v>
      </c>
      <c r="T8" s="47" t="b">
        <v>1</v>
      </c>
      <c r="U8" s="48">
        <v>10.0</v>
      </c>
      <c r="V8" s="16"/>
      <c r="W8" s="45" t="s">
        <v>43</v>
      </c>
      <c r="X8" s="21">
        <f>COUNTIF(C:C, "Luik")</f>
        <v>19</v>
      </c>
      <c r="Y8" s="49">
        <f>AVERAGEIF(C:C, "Luik",R:R)</f>
        <v>6.631578947</v>
      </c>
      <c r="Z8" s="48">
        <f>MEDIAN(R126,R144)</f>
        <v>10.5</v>
      </c>
      <c r="AA8" s="16"/>
      <c r="AB8" s="16"/>
      <c r="AC8" s="16"/>
    </row>
    <row r="9">
      <c r="A9" s="16"/>
      <c r="B9" s="16" t="s">
        <v>44</v>
      </c>
      <c r="C9" s="16" t="s">
        <v>26</v>
      </c>
      <c r="D9" s="16" t="s">
        <v>4</v>
      </c>
      <c r="E9" s="17" t="b">
        <f t="shared" ref="E9:K9" si="9">IF(IFERROR(SEARCH(E$1, $D9),0) &gt;= 1, TRUE,FALSE)</f>
        <v>1</v>
      </c>
      <c r="F9" s="17" t="b">
        <f t="shared" si="9"/>
        <v>0</v>
      </c>
      <c r="G9" s="17" t="b">
        <f t="shared" si="9"/>
        <v>0</v>
      </c>
      <c r="H9" s="17" t="b">
        <f t="shared" si="9"/>
        <v>0</v>
      </c>
      <c r="I9" s="17" t="b">
        <f t="shared" si="9"/>
        <v>0</v>
      </c>
      <c r="J9" s="17" t="b">
        <f t="shared" si="9"/>
        <v>0</v>
      </c>
      <c r="K9" s="17" t="b">
        <f t="shared" si="9"/>
        <v>0</v>
      </c>
      <c r="L9" s="17"/>
      <c r="M9" s="47" t="b">
        <v>1</v>
      </c>
      <c r="N9" s="47" t="b">
        <v>0</v>
      </c>
      <c r="O9" s="47" t="b">
        <v>1</v>
      </c>
      <c r="P9" s="47" t="b">
        <v>0</v>
      </c>
      <c r="Q9" s="16" t="str">
        <f t="shared" si="3"/>
        <v>Maison du patrimoine médiéval mosan</v>
      </c>
      <c r="R9" s="48">
        <v>6.0</v>
      </c>
      <c r="S9" s="47" t="b">
        <v>0</v>
      </c>
      <c r="T9" s="47" t="b">
        <v>1</v>
      </c>
      <c r="U9" s="48">
        <v>6.0</v>
      </c>
      <c r="V9" s="16"/>
      <c r="W9" s="45" t="s">
        <v>45</v>
      </c>
      <c r="X9" s="21">
        <f>COUNTIF(C:C,"Henegouwen") </f>
        <v>37</v>
      </c>
      <c r="Y9" s="49">
        <f>AVERAGEIF(C:C,"Henegouwen",R:R)</f>
        <v>6.540540541</v>
      </c>
      <c r="Z9" s="48">
        <f>MEDIAN(R145:R181)</f>
        <v>6</v>
      </c>
      <c r="AA9" s="16"/>
      <c r="AB9" s="16"/>
      <c r="AC9" s="16"/>
    </row>
    <row r="10">
      <c r="A10" s="16" t="s">
        <v>46</v>
      </c>
      <c r="B10" s="16" t="s">
        <v>47</v>
      </c>
      <c r="C10" s="16" t="s">
        <v>26</v>
      </c>
      <c r="D10" s="16" t="s">
        <v>4</v>
      </c>
      <c r="E10" s="17" t="b">
        <f t="shared" ref="E10:K10" si="10">IF(IFERROR(SEARCH(E$1, $D10),0) &gt;= 1, TRUE,FALSE)</f>
        <v>1</v>
      </c>
      <c r="F10" s="17" t="b">
        <f t="shared" si="10"/>
        <v>0</v>
      </c>
      <c r="G10" s="17" t="b">
        <f t="shared" si="10"/>
        <v>0</v>
      </c>
      <c r="H10" s="17" t="b">
        <f t="shared" si="10"/>
        <v>0</v>
      </c>
      <c r="I10" s="17" t="b">
        <f t="shared" si="10"/>
        <v>0</v>
      </c>
      <c r="J10" s="17" t="b">
        <f t="shared" si="10"/>
        <v>0</v>
      </c>
      <c r="K10" s="17" t="b">
        <f t="shared" si="10"/>
        <v>0</v>
      </c>
      <c r="L10" s="17"/>
      <c r="M10" s="47" t="b">
        <v>1</v>
      </c>
      <c r="N10" s="47" t="b">
        <v>1</v>
      </c>
      <c r="O10" s="47" t="b">
        <v>1</v>
      </c>
      <c r="P10" s="47" t="b">
        <v>0</v>
      </c>
      <c r="Q10" s="16" t="str">
        <f t="shared" si="3"/>
        <v>Archeopark van Rochefort</v>
      </c>
      <c r="R10" s="48">
        <v>8.0</v>
      </c>
      <c r="S10" s="47" t="b">
        <v>0</v>
      </c>
      <c r="T10" s="47" t="b">
        <v>0</v>
      </c>
      <c r="U10" s="16"/>
      <c r="V10" s="16"/>
      <c r="W10" s="45" t="s">
        <v>48</v>
      </c>
      <c r="X10" s="21">
        <f>COUNTIF(C:C,"Luxemburg")</f>
        <v>9</v>
      </c>
      <c r="Y10" s="49">
        <f>AVERAGEIF(C:C,"Luxemburg",R:R)</f>
        <v>7.055555556</v>
      </c>
      <c r="Z10" s="48">
        <f>MEDIAN(R182,R190)</f>
        <v>10.5</v>
      </c>
      <c r="AA10" s="16"/>
      <c r="AB10" s="16"/>
      <c r="AC10" s="16"/>
    </row>
    <row r="11">
      <c r="A11" s="16" t="s">
        <v>49</v>
      </c>
      <c r="B11" s="16" t="s">
        <v>50</v>
      </c>
      <c r="C11" s="16" t="s">
        <v>26</v>
      </c>
      <c r="D11" s="16" t="s">
        <v>37</v>
      </c>
      <c r="E11" s="17" t="b">
        <f t="shared" ref="E11:K11" si="11">IF(IFERROR(SEARCH(E$1, $D11),0) &gt;= 1, TRUE,FALSE)</f>
        <v>1</v>
      </c>
      <c r="F11" s="17" t="b">
        <f t="shared" si="11"/>
        <v>0</v>
      </c>
      <c r="G11" s="17" t="b">
        <f t="shared" si="11"/>
        <v>0</v>
      </c>
      <c r="H11" s="17" t="b">
        <f t="shared" si="11"/>
        <v>0</v>
      </c>
      <c r="I11" s="17" t="b">
        <f t="shared" si="11"/>
        <v>0</v>
      </c>
      <c r="J11" s="17" t="b">
        <f t="shared" si="11"/>
        <v>0</v>
      </c>
      <c r="K11" s="17" t="b">
        <f t="shared" si="11"/>
        <v>1</v>
      </c>
      <c r="L11" s="17"/>
      <c r="M11" s="47" t="b">
        <v>1</v>
      </c>
      <c r="N11" s="47" t="b">
        <v>0</v>
      </c>
      <c r="O11" s="47" t="b">
        <v>0</v>
      </c>
      <c r="P11" s="47" t="b">
        <v>0</v>
      </c>
      <c r="Q11" s="16" t="str">
        <f t="shared" si="3"/>
        <v>MusAfrica Namen</v>
      </c>
      <c r="R11" s="48">
        <v>8.0</v>
      </c>
      <c r="S11" s="47" t="b">
        <v>0</v>
      </c>
      <c r="T11" s="47" t="b">
        <v>0</v>
      </c>
      <c r="U11" s="16"/>
      <c r="V11" s="16"/>
      <c r="W11" s="45" t="s">
        <v>51</v>
      </c>
      <c r="X11" s="21">
        <f>COUNTIF(C2:C261,"Brussel")</f>
        <v>48</v>
      </c>
      <c r="Y11" s="49">
        <f>AVERAGE(R191:R238)</f>
        <v>9.1875</v>
      </c>
      <c r="Z11" s="48">
        <f>MEDIAN(R191:R238)</f>
        <v>10</v>
      </c>
      <c r="AA11" s="16"/>
      <c r="AB11" s="16"/>
      <c r="AC11" s="16"/>
    </row>
    <row r="12">
      <c r="A12" s="16" t="s">
        <v>52</v>
      </c>
      <c r="B12" s="16" t="s">
        <v>53</v>
      </c>
      <c r="C12" s="16" t="s">
        <v>26</v>
      </c>
      <c r="D12" s="16" t="s">
        <v>54</v>
      </c>
      <c r="E12" s="17" t="b">
        <f t="shared" ref="E12:K12" si="12">IF(IFERROR(SEARCH(E$1, $D12),0) &gt;= 1, TRUE,FALSE)</f>
        <v>1</v>
      </c>
      <c r="F12" s="17" t="b">
        <f t="shared" si="12"/>
        <v>1</v>
      </c>
      <c r="G12" s="17" t="b">
        <f t="shared" si="12"/>
        <v>0</v>
      </c>
      <c r="H12" s="17" t="b">
        <f t="shared" si="12"/>
        <v>0</v>
      </c>
      <c r="I12" s="17" t="b">
        <f t="shared" si="12"/>
        <v>0</v>
      </c>
      <c r="J12" s="17" t="b">
        <f t="shared" si="12"/>
        <v>1</v>
      </c>
      <c r="K12" s="17" t="b">
        <f t="shared" si="12"/>
        <v>0</v>
      </c>
      <c r="L12" s="17"/>
      <c r="M12" s="47" t="b">
        <v>1</v>
      </c>
      <c r="N12" s="47" t="b">
        <v>0</v>
      </c>
      <c r="O12" s="47" t="b">
        <v>0</v>
      </c>
      <c r="P12" s="47" t="b">
        <v>0</v>
      </c>
      <c r="Q12" s="16" t="str">
        <f t="shared" si="3"/>
        <v>Aardbeimuseum</v>
      </c>
      <c r="R12" s="48">
        <v>6.0</v>
      </c>
      <c r="S12" s="47" t="b">
        <v>0</v>
      </c>
      <c r="T12" s="47" t="b">
        <v>0</v>
      </c>
      <c r="U12" s="16"/>
      <c r="V12" s="16"/>
      <c r="W12" s="45" t="s">
        <v>55</v>
      </c>
      <c r="X12" s="21">
        <f>COUNTIF(C2:C261,"Oost-Vlaanderen")</f>
        <v>23</v>
      </c>
      <c r="Y12" s="49">
        <f>AVERAGE(R239:R261)</f>
        <v>8.565217391</v>
      </c>
      <c r="Z12" s="48">
        <f>MEDIAN(R239:R261)</f>
        <v>9</v>
      </c>
      <c r="AA12" s="16"/>
      <c r="AB12" s="16"/>
      <c r="AC12" s="16"/>
    </row>
    <row r="13">
      <c r="A13" s="16"/>
      <c r="B13" s="16" t="s">
        <v>56</v>
      </c>
      <c r="C13" s="16" t="s">
        <v>26</v>
      </c>
      <c r="D13" s="16" t="s">
        <v>4</v>
      </c>
      <c r="E13" s="17" t="b">
        <f t="shared" ref="E13:K13" si="13">IF(IFERROR(SEARCH(E$1, $D13),0) &gt;= 1, TRUE,FALSE)</f>
        <v>1</v>
      </c>
      <c r="F13" s="17" t="b">
        <f t="shared" si="13"/>
        <v>0</v>
      </c>
      <c r="G13" s="17" t="b">
        <f t="shared" si="13"/>
        <v>0</v>
      </c>
      <c r="H13" s="17" t="b">
        <f t="shared" si="13"/>
        <v>0</v>
      </c>
      <c r="I13" s="17" t="b">
        <f t="shared" si="13"/>
        <v>0</v>
      </c>
      <c r="J13" s="17" t="b">
        <f t="shared" si="13"/>
        <v>0</v>
      </c>
      <c r="K13" s="17" t="b">
        <f t="shared" si="13"/>
        <v>0</v>
      </c>
      <c r="L13" s="17"/>
      <c r="M13" s="47" t="b">
        <v>1</v>
      </c>
      <c r="N13" s="47" t="b">
        <v>0</v>
      </c>
      <c r="O13" s="47" t="b">
        <v>0</v>
      </c>
      <c r="P13" s="47" t="b">
        <v>0</v>
      </c>
      <c r="Q13" s="16" t="str">
        <f t="shared" si="3"/>
        <v>Musée du Malgré-Tout</v>
      </c>
      <c r="R13" s="48">
        <v>5.0</v>
      </c>
      <c r="S13" s="47" t="b">
        <v>0</v>
      </c>
      <c r="T13" s="47" t="b">
        <v>0</v>
      </c>
      <c r="U13" s="16"/>
      <c r="V13" s="16"/>
      <c r="W13" s="16"/>
      <c r="X13" s="16"/>
      <c r="Y13" s="51"/>
      <c r="Z13" s="16"/>
      <c r="AA13" s="16"/>
      <c r="AB13" s="16"/>
      <c r="AC13" s="16"/>
    </row>
    <row r="14">
      <c r="A14" s="16" t="s">
        <v>57</v>
      </c>
      <c r="B14" s="16" t="s">
        <v>58</v>
      </c>
      <c r="C14" s="16" t="s">
        <v>26</v>
      </c>
      <c r="D14" s="16" t="s">
        <v>9</v>
      </c>
      <c r="E14" s="17" t="b">
        <f t="shared" ref="E14:K14" si="14">IF(IFERROR(SEARCH(E$1, $D14),0) &gt;= 1, TRUE,FALSE)</f>
        <v>0</v>
      </c>
      <c r="F14" s="17" t="b">
        <f t="shared" si="14"/>
        <v>0</v>
      </c>
      <c r="G14" s="17" t="b">
        <f t="shared" si="14"/>
        <v>0</v>
      </c>
      <c r="H14" s="17" t="b">
        <f t="shared" si="14"/>
        <v>0</v>
      </c>
      <c r="I14" s="17" t="b">
        <f t="shared" si="14"/>
        <v>0</v>
      </c>
      <c r="J14" s="17" t="b">
        <f t="shared" si="14"/>
        <v>1</v>
      </c>
      <c r="K14" s="17" t="b">
        <f t="shared" si="14"/>
        <v>0</v>
      </c>
      <c r="L14" s="17"/>
      <c r="M14" s="47" t="b">
        <v>1</v>
      </c>
      <c r="N14" s="47" t="b">
        <v>0</v>
      </c>
      <c r="O14" s="47" t="b">
        <v>0</v>
      </c>
      <c r="P14" s="47" t="b">
        <v>0</v>
      </c>
      <c r="Q14" s="16" t="str">
        <f t="shared" si="3"/>
        <v>Museum van het Klein Formaat</v>
      </c>
      <c r="R14" s="48">
        <v>5.0</v>
      </c>
      <c r="S14" s="47" t="b">
        <v>0</v>
      </c>
      <c r="T14" s="47" t="b">
        <v>1</v>
      </c>
      <c r="U14" s="48">
        <v>5.0</v>
      </c>
      <c r="V14" s="16"/>
      <c r="W14" s="16"/>
      <c r="X14" s="16"/>
      <c r="Y14" s="51"/>
      <c r="Z14" s="16"/>
      <c r="AA14" s="16"/>
      <c r="AB14" s="16"/>
      <c r="AC14" s="16"/>
    </row>
    <row r="15">
      <c r="A15" s="16" t="s">
        <v>59</v>
      </c>
      <c r="B15" s="16" t="s">
        <v>60</v>
      </c>
      <c r="C15" s="16" t="s">
        <v>26</v>
      </c>
      <c r="D15" s="16" t="s">
        <v>9</v>
      </c>
      <c r="E15" s="17" t="b">
        <f t="shared" ref="E15:K15" si="15">IF(IFERROR(SEARCH(E$1, $D15),0) &gt;= 1, TRUE,FALSE)</f>
        <v>0</v>
      </c>
      <c r="F15" s="17" t="b">
        <f t="shared" si="15"/>
        <v>0</v>
      </c>
      <c r="G15" s="17" t="b">
        <f t="shared" si="15"/>
        <v>0</v>
      </c>
      <c r="H15" s="17" t="b">
        <f t="shared" si="15"/>
        <v>0</v>
      </c>
      <c r="I15" s="17" t="b">
        <f t="shared" si="15"/>
        <v>0</v>
      </c>
      <c r="J15" s="17" t="b">
        <f t="shared" si="15"/>
        <v>1</v>
      </c>
      <c r="K15" s="17" t="b">
        <f t="shared" si="15"/>
        <v>0</v>
      </c>
      <c r="L15" s="17"/>
      <c r="M15" s="47" t="b">
        <v>1</v>
      </c>
      <c r="N15" s="47" t="b">
        <v>0</v>
      </c>
      <c r="O15" s="47" t="b">
        <v>0</v>
      </c>
      <c r="P15" s="47" t="b">
        <v>0</v>
      </c>
      <c r="Q15" s="16" t="str">
        <f t="shared" si="3"/>
        <v>Félicien Rops Museum</v>
      </c>
      <c r="R15" s="48">
        <v>0.0</v>
      </c>
      <c r="S15" s="47" t="b">
        <v>0</v>
      </c>
      <c r="T15" s="47" t="b">
        <v>1</v>
      </c>
      <c r="U15" s="48">
        <v>8.0</v>
      </c>
      <c r="V15" s="16"/>
      <c r="W15" s="16"/>
      <c r="X15" s="16"/>
      <c r="Y15" s="51"/>
      <c r="Z15" s="16"/>
      <c r="AA15" s="16"/>
      <c r="AB15" s="16"/>
      <c r="AC15" s="16"/>
    </row>
    <row r="16">
      <c r="A16" s="16" t="s">
        <v>61</v>
      </c>
      <c r="B16" s="16" t="s">
        <v>62</v>
      </c>
      <c r="C16" s="16" t="s">
        <v>26</v>
      </c>
      <c r="D16" s="16" t="s">
        <v>9</v>
      </c>
      <c r="E16" s="17" t="b">
        <f t="shared" ref="E16:K16" si="16">IF(IFERROR(SEARCH(E$1, $D16),0) &gt;= 1, TRUE,FALSE)</f>
        <v>0</v>
      </c>
      <c r="F16" s="17" t="b">
        <f t="shared" si="16"/>
        <v>0</v>
      </c>
      <c r="G16" s="17" t="b">
        <f t="shared" si="16"/>
        <v>0</v>
      </c>
      <c r="H16" s="17" t="b">
        <f t="shared" si="16"/>
        <v>0</v>
      </c>
      <c r="I16" s="17" t="b">
        <f t="shared" si="16"/>
        <v>0</v>
      </c>
      <c r="J16" s="17" t="b">
        <f t="shared" si="16"/>
        <v>1</v>
      </c>
      <c r="K16" s="17" t="b">
        <f t="shared" si="16"/>
        <v>0</v>
      </c>
      <c r="L16" s="17"/>
      <c r="M16" s="47" t="b">
        <v>1</v>
      </c>
      <c r="N16" s="47" t="b">
        <v>0</v>
      </c>
      <c r="O16" s="47" t="b">
        <v>0</v>
      </c>
      <c r="P16" s="47" t="b">
        <v>0</v>
      </c>
      <c r="Q16" s="16" t="str">
        <f t="shared" si="3"/>
        <v>Museum voor Oude Kunsten</v>
      </c>
      <c r="R16" s="48">
        <v>5.0</v>
      </c>
      <c r="S16" s="47" t="b">
        <v>0</v>
      </c>
      <c r="T16" s="47" t="b">
        <v>1</v>
      </c>
      <c r="U16" s="48">
        <v>8.0</v>
      </c>
      <c r="V16" s="16"/>
      <c r="W16" s="16"/>
      <c r="X16" s="16"/>
      <c r="Y16" s="51"/>
      <c r="Z16" s="16"/>
      <c r="AA16" s="16"/>
      <c r="AB16" s="16"/>
      <c r="AC16" s="16"/>
    </row>
    <row r="17">
      <c r="A17" s="16" t="s">
        <v>63</v>
      </c>
      <c r="B17" s="16" t="s">
        <v>64</v>
      </c>
      <c r="C17" s="16" t="s">
        <v>28</v>
      </c>
      <c r="D17" s="16" t="s">
        <v>65</v>
      </c>
      <c r="E17" s="17" t="b">
        <f t="shared" ref="E17:K17" si="17">IF(IFERROR(SEARCH(E$1, $D17),0) &gt;= 1, TRUE,FALSE)</f>
        <v>1</v>
      </c>
      <c r="F17" s="17" t="b">
        <f t="shared" si="17"/>
        <v>1</v>
      </c>
      <c r="G17" s="17" t="b">
        <f t="shared" si="17"/>
        <v>0</v>
      </c>
      <c r="H17" s="17" t="b">
        <f t="shared" si="17"/>
        <v>0</v>
      </c>
      <c r="I17" s="17" t="b">
        <f t="shared" si="17"/>
        <v>1</v>
      </c>
      <c r="J17" s="17" t="b">
        <f t="shared" si="17"/>
        <v>0</v>
      </c>
      <c r="K17" s="17" t="b">
        <f t="shared" si="17"/>
        <v>0</v>
      </c>
      <c r="L17" s="17"/>
      <c r="M17" s="47" t="b">
        <v>1</v>
      </c>
      <c r="N17" s="47" t="b">
        <v>0</v>
      </c>
      <c r="O17" s="47" t="b">
        <v>1</v>
      </c>
      <c r="P17" s="47" t="b">
        <v>0</v>
      </c>
      <c r="Q17" s="16" t="str">
        <f t="shared" si="3"/>
        <v>Abdijmuseum Ten Duinen</v>
      </c>
      <c r="R17" s="48">
        <v>10.0</v>
      </c>
      <c r="S17" s="47" t="b">
        <v>0</v>
      </c>
      <c r="T17" s="47" t="b">
        <v>1</v>
      </c>
      <c r="U17" s="48">
        <v>10.0</v>
      </c>
      <c r="V17" s="16"/>
      <c r="W17" s="16"/>
      <c r="X17" s="16"/>
      <c r="Y17" s="51"/>
      <c r="Z17" s="16"/>
      <c r="AA17" s="16"/>
      <c r="AB17" s="16"/>
      <c r="AC17" s="16"/>
    </row>
    <row r="18">
      <c r="A18" s="16" t="s">
        <v>66</v>
      </c>
      <c r="B18" s="16" t="s">
        <v>67</v>
      </c>
      <c r="C18" s="16" t="s">
        <v>28</v>
      </c>
      <c r="D18" s="16" t="s">
        <v>68</v>
      </c>
      <c r="E18" s="17" t="b">
        <f t="shared" ref="E18:K18" si="18">IF(IFERROR(SEARCH(E$1, $D18),0) &gt;= 1, TRUE,FALSE)</f>
        <v>1</v>
      </c>
      <c r="F18" s="17" t="b">
        <f t="shared" si="18"/>
        <v>0</v>
      </c>
      <c r="G18" s="17" t="b">
        <f t="shared" si="18"/>
        <v>0</v>
      </c>
      <c r="H18" s="17" t="b">
        <f t="shared" si="18"/>
        <v>0</v>
      </c>
      <c r="I18" s="17" t="b">
        <f t="shared" si="18"/>
        <v>1</v>
      </c>
      <c r="J18" s="17" t="b">
        <f t="shared" si="18"/>
        <v>1</v>
      </c>
      <c r="K18" s="17" t="b">
        <f t="shared" si="18"/>
        <v>1</v>
      </c>
      <c r="L18" s="17"/>
      <c r="M18" s="47" t="b">
        <v>1</v>
      </c>
      <c r="N18" s="47" t="b">
        <v>1</v>
      </c>
      <c r="O18" s="47" t="b">
        <v>0</v>
      </c>
      <c r="P18" s="47" t="b">
        <v>0</v>
      </c>
      <c r="Q18" s="16" t="str">
        <f t="shared" si="3"/>
        <v>Adornesdomein</v>
      </c>
      <c r="R18" s="48">
        <v>10.0</v>
      </c>
      <c r="S18" s="47" t="b">
        <v>0</v>
      </c>
      <c r="T18" s="47" t="b">
        <v>0</v>
      </c>
      <c r="U18" s="16"/>
      <c r="V18" s="16"/>
      <c r="W18" s="16"/>
      <c r="X18" s="16"/>
      <c r="Y18" s="51"/>
      <c r="Z18" s="16"/>
      <c r="AA18" s="16"/>
      <c r="AB18" s="16"/>
      <c r="AC18" s="16"/>
    </row>
    <row r="19">
      <c r="A19" s="16" t="s">
        <v>69</v>
      </c>
      <c r="B19" s="16"/>
      <c r="C19" s="16" t="s">
        <v>28</v>
      </c>
      <c r="D19" s="16" t="s">
        <v>70</v>
      </c>
      <c r="E19" s="17" t="b">
        <f t="shared" ref="E19:K19" si="19">IF(IFERROR(SEARCH(E$1, $D19),0) &gt;= 1, TRUE,FALSE)</f>
        <v>1</v>
      </c>
      <c r="F19" s="17" t="b">
        <f t="shared" si="19"/>
        <v>1</v>
      </c>
      <c r="G19" s="17" t="b">
        <f t="shared" si="19"/>
        <v>0</v>
      </c>
      <c r="H19" s="17" t="b">
        <f t="shared" si="19"/>
        <v>0</v>
      </c>
      <c r="I19" s="17" t="b">
        <f t="shared" si="19"/>
        <v>1</v>
      </c>
      <c r="J19" s="17" t="b">
        <f t="shared" si="19"/>
        <v>1</v>
      </c>
      <c r="K19" s="17" t="b">
        <f t="shared" si="19"/>
        <v>1</v>
      </c>
      <c r="L19" s="17"/>
      <c r="M19" s="47" t="b">
        <v>1</v>
      </c>
      <c r="N19" s="47" t="b">
        <v>1</v>
      </c>
      <c r="O19" s="47" t="b">
        <v>1</v>
      </c>
      <c r="P19" s="47" t="b">
        <v>1</v>
      </c>
      <c r="Q19" s="16" t="str">
        <f t="shared" si="3"/>
        <v>Atlantikwall Raversyde</v>
      </c>
      <c r="R19" s="48">
        <v>10.0</v>
      </c>
      <c r="S19" s="47" t="b">
        <v>0</v>
      </c>
      <c r="T19" s="47" t="b">
        <v>1</v>
      </c>
      <c r="U19" s="48">
        <v>10.0</v>
      </c>
      <c r="V19" s="16"/>
      <c r="W19" s="16"/>
      <c r="X19" s="16"/>
      <c r="Y19" s="51"/>
      <c r="Z19" s="16"/>
      <c r="AA19" s="16"/>
      <c r="AB19" s="16"/>
      <c r="AC19" s="16"/>
    </row>
    <row r="20">
      <c r="A20" s="16" t="s">
        <v>71</v>
      </c>
      <c r="B20" s="16" t="s">
        <v>72</v>
      </c>
      <c r="C20" s="16" t="s">
        <v>28</v>
      </c>
      <c r="D20" s="16" t="s">
        <v>4</v>
      </c>
      <c r="E20" s="17" t="b">
        <f t="shared" ref="E20:K20" si="20">IF(IFERROR(SEARCH(E$1, $D20),0) &gt;= 1, TRUE,FALSE)</f>
        <v>1</v>
      </c>
      <c r="F20" s="17" t="b">
        <f t="shared" si="20"/>
        <v>0</v>
      </c>
      <c r="G20" s="17" t="b">
        <f t="shared" si="20"/>
        <v>0</v>
      </c>
      <c r="H20" s="17" t="b">
        <f t="shared" si="20"/>
        <v>0</v>
      </c>
      <c r="I20" s="17" t="b">
        <f t="shared" si="20"/>
        <v>0</v>
      </c>
      <c r="J20" s="17" t="b">
        <f t="shared" si="20"/>
        <v>0</v>
      </c>
      <c r="K20" s="17" t="b">
        <f t="shared" si="20"/>
        <v>0</v>
      </c>
      <c r="L20" s="17"/>
      <c r="M20" s="47" t="b">
        <v>1</v>
      </c>
      <c r="N20" s="47" t="b">
        <v>1</v>
      </c>
      <c r="O20" s="47" t="b">
        <v>1</v>
      </c>
      <c r="P20" s="47" t="b">
        <v>1</v>
      </c>
      <c r="Q20" s="16" t="str">
        <f t="shared" si="3"/>
        <v>Bakkerijmuseum</v>
      </c>
      <c r="R20" s="48">
        <v>8.0</v>
      </c>
      <c r="S20" s="47" t="b">
        <v>0</v>
      </c>
      <c r="T20" s="47" t="b">
        <v>0</v>
      </c>
      <c r="U20" s="16"/>
      <c r="V20" s="16"/>
      <c r="W20" s="16"/>
      <c r="X20" s="16"/>
      <c r="Y20" s="51"/>
      <c r="Z20" s="16"/>
      <c r="AA20" s="16"/>
      <c r="AB20" s="16"/>
      <c r="AC20" s="16"/>
    </row>
    <row r="21">
      <c r="A21" s="16" t="s">
        <v>73</v>
      </c>
      <c r="B21" s="16" t="s">
        <v>74</v>
      </c>
      <c r="C21" s="16" t="s">
        <v>28</v>
      </c>
      <c r="D21" s="16" t="s">
        <v>65</v>
      </c>
      <c r="E21" s="17" t="b">
        <f t="shared" ref="E21:K21" si="21">IF(IFERROR(SEARCH(E$1, $D21),0) &gt;= 1, TRUE,FALSE)</f>
        <v>1</v>
      </c>
      <c r="F21" s="17" t="b">
        <f t="shared" si="21"/>
        <v>1</v>
      </c>
      <c r="G21" s="17" t="b">
        <f t="shared" si="21"/>
        <v>0</v>
      </c>
      <c r="H21" s="17" t="b">
        <f t="shared" si="21"/>
        <v>0</v>
      </c>
      <c r="I21" s="17" t="b">
        <f t="shared" si="21"/>
        <v>1</v>
      </c>
      <c r="J21" s="17" t="b">
        <f t="shared" si="21"/>
        <v>0</v>
      </c>
      <c r="K21" s="17" t="b">
        <f t="shared" si="21"/>
        <v>0</v>
      </c>
      <c r="L21" s="17"/>
      <c r="M21" s="47" t="b">
        <v>0</v>
      </c>
      <c r="N21" s="47" t="b">
        <v>0</v>
      </c>
      <c r="O21" s="47" t="b">
        <v>0</v>
      </c>
      <c r="P21" s="47" t="b">
        <v>0</v>
      </c>
      <c r="Q21" s="16" t="str">
        <f t="shared" si="3"/>
        <v>Belfort van Brugge</v>
      </c>
      <c r="R21" s="48">
        <v>15.0</v>
      </c>
      <c r="S21" s="47" t="b">
        <v>0</v>
      </c>
      <c r="T21" s="47" t="b">
        <v>0</v>
      </c>
      <c r="U21" s="16"/>
      <c r="V21" s="16"/>
      <c r="W21" s="16"/>
      <c r="X21" s="16"/>
      <c r="Y21" s="51"/>
      <c r="Z21" s="16"/>
      <c r="AA21" s="16"/>
      <c r="AB21" s="16"/>
      <c r="AC21" s="16"/>
    </row>
    <row r="22">
      <c r="A22" s="16" t="s">
        <v>75</v>
      </c>
      <c r="B22" s="16" t="s">
        <v>76</v>
      </c>
      <c r="C22" s="16" t="s">
        <v>28</v>
      </c>
      <c r="D22" s="16" t="s">
        <v>4</v>
      </c>
      <c r="E22" s="17" t="b">
        <f t="shared" ref="E22:K22" si="22">IF(IFERROR(SEARCH(E$1, $D22),0) &gt;= 1, TRUE,FALSE)</f>
        <v>1</v>
      </c>
      <c r="F22" s="17" t="b">
        <f t="shared" si="22"/>
        <v>0</v>
      </c>
      <c r="G22" s="17" t="b">
        <f t="shared" si="22"/>
        <v>0</v>
      </c>
      <c r="H22" s="17" t="b">
        <f t="shared" si="22"/>
        <v>0</v>
      </c>
      <c r="I22" s="17" t="b">
        <f t="shared" si="22"/>
        <v>0</v>
      </c>
      <c r="J22" s="17" t="b">
        <f t="shared" si="22"/>
        <v>0</v>
      </c>
      <c r="K22" s="17" t="b">
        <f t="shared" si="22"/>
        <v>0</v>
      </c>
      <c r="L22" s="17"/>
      <c r="M22" s="47" t="b">
        <v>1</v>
      </c>
      <c r="N22" s="47" t="b">
        <v>0</v>
      </c>
      <c r="O22" s="47" t="b">
        <v>0</v>
      </c>
      <c r="P22" s="47" t="b">
        <v>0</v>
      </c>
      <c r="Q22" s="16" t="str">
        <f t="shared" si="3"/>
        <v>Belle Epoque Centrum</v>
      </c>
      <c r="R22" s="48">
        <v>5.0</v>
      </c>
      <c r="S22" s="47" t="b">
        <v>0</v>
      </c>
      <c r="T22" s="47" t="b">
        <v>0</v>
      </c>
      <c r="U22" s="16"/>
      <c r="V22" s="16"/>
      <c r="W22" s="16"/>
      <c r="X22" s="16"/>
      <c r="Y22" s="51"/>
      <c r="Z22" s="16"/>
      <c r="AA22" s="16"/>
      <c r="AB22" s="16"/>
      <c r="AC22" s="16"/>
    </row>
    <row r="23">
      <c r="A23" s="16" t="s">
        <v>77</v>
      </c>
      <c r="B23" s="16" t="s">
        <v>78</v>
      </c>
      <c r="C23" s="16" t="s">
        <v>28</v>
      </c>
      <c r="D23" s="16" t="s">
        <v>79</v>
      </c>
      <c r="E23" s="17" t="b">
        <f t="shared" ref="E23:K23" si="23">IF(IFERROR(SEARCH(E$1, $D23),0) &gt;= 1, TRUE,FALSE)</f>
        <v>1</v>
      </c>
      <c r="F23" s="17" t="b">
        <f t="shared" si="23"/>
        <v>0</v>
      </c>
      <c r="G23" s="17" t="b">
        <f t="shared" si="23"/>
        <v>0</v>
      </c>
      <c r="H23" s="17" t="b">
        <f t="shared" si="23"/>
        <v>0</v>
      </c>
      <c r="I23" s="17" t="b">
        <f t="shared" si="23"/>
        <v>0</v>
      </c>
      <c r="J23" s="17" t="b">
        <f t="shared" si="23"/>
        <v>1</v>
      </c>
      <c r="K23" s="17" t="b">
        <f t="shared" si="23"/>
        <v>1</v>
      </c>
      <c r="L23" s="17"/>
      <c r="M23" s="47" t="b">
        <v>0</v>
      </c>
      <c r="N23" s="47" t="b">
        <v>0</v>
      </c>
      <c r="O23" s="47" t="b">
        <v>0</v>
      </c>
      <c r="P23" s="47" t="b">
        <v>0</v>
      </c>
      <c r="Q23" s="16" t="str">
        <f t="shared" si="3"/>
        <v>Brugse Vrije</v>
      </c>
      <c r="R23" s="48">
        <v>3.0</v>
      </c>
      <c r="S23" s="47" t="b">
        <v>0</v>
      </c>
      <c r="T23" s="47" t="b">
        <v>0</v>
      </c>
      <c r="U23" s="16"/>
      <c r="V23" s="16"/>
      <c r="W23" s="16"/>
      <c r="X23" s="16"/>
      <c r="Y23" s="51"/>
      <c r="Z23" s="16"/>
      <c r="AA23" s="16"/>
      <c r="AB23" s="16"/>
      <c r="AC23" s="16"/>
    </row>
    <row r="24">
      <c r="A24" s="16" t="s">
        <v>80</v>
      </c>
      <c r="B24" s="16" t="s">
        <v>81</v>
      </c>
      <c r="C24" s="16" t="s">
        <v>28</v>
      </c>
      <c r="D24" s="16" t="s">
        <v>4</v>
      </c>
      <c r="E24" s="17" t="b">
        <f t="shared" ref="E24:K24" si="24">IF(IFERROR(SEARCH(E$1, $D24),0) &gt;= 1, TRUE,FALSE)</f>
        <v>1</v>
      </c>
      <c r="F24" s="17" t="b">
        <f t="shared" si="24"/>
        <v>0</v>
      </c>
      <c r="G24" s="17" t="b">
        <f t="shared" si="24"/>
        <v>0</v>
      </c>
      <c r="H24" s="17" t="b">
        <f t="shared" si="24"/>
        <v>0</v>
      </c>
      <c r="I24" s="17" t="b">
        <f t="shared" si="24"/>
        <v>0</v>
      </c>
      <c r="J24" s="17" t="b">
        <f t="shared" si="24"/>
        <v>0</v>
      </c>
      <c r="K24" s="17" t="b">
        <f t="shared" si="24"/>
        <v>0</v>
      </c>
      <c r="L24" s="17"/>
      <c r="M24" s="47" t="b">
        <v>0</v>
      </c>
      <c r="N24" s="47" t="b">
        <v>0</v>
      </c>
      <c r="O24" s="47" t="b">
        <v>1</v>
      </c>
      <c r="P24" s="47" t="b">
        <v>0</v>
      </c>
      <c r="Q24" s="16" t="str">
        <f t="shared" si="3"/>
        <v>Dodengang</v>
      </c>
      <c r="R24" s="48">
        <v>6.0</v>
      </c>
      <c r="S24" s="47" t="b">
        <v>0</v>
      </c>
      <c r="T24" s="47" t="b">
        <v>0</v>
      </c>
      <c r="U24" s="16"/>
      <c r="V24" s="16"/>
      <c r="W24" s="16"/>
      <c r="X24" s="16"/>
      <c r="Y24" s="51"/>
      <c r="Z24" s="16"/>
      <c r="AA24" s="16"/>
      <c r="AB24" s="16"/>
      <c r="AC24" s="16"/>
    </row>
    <row r="25">
      <c r="A25" s="16"/>
      <c r="B25" s="16" t="s">
        <v>82</v>
      </c>
      <c r="C25" s="16" t="s">
        <v>28</v>
      </c>
      <c r="D25" s="16" t="s">
        <v>83</v>
      </c>
      <c r="E25" s="17" t="b">
        <f t="shared" ref="E25:K25" si="25">IF(IFERROR(SEARCH(E$1, $D25),0) &gt;= 1, TRUE,FALSE)</f>
        <v>1</v>
      </c>
      <c r="F25" s="17" t="b">
        <f t="shared" si="25"/>
        <v>1</v>
      </c>
      <c r="G25" s="17" t="b">
        <f t="shared" si="25"/>
        <v>1</v>
      </c>
      <c r="H25" s="17" t="b">
        <f t="shared" si="25"/>
        <v>0</v>
      </c>
      <c r="I25" s="17" t="b">
        <f t="shared" si="25"/>
        <v>1</v>
      </c>
      <c r="J25" s="17" t="b">
        <f t="shared" si="25"/>
        <v>0</v>
      </c>
      <c r="K25" s="17" t="b">
        <f t="shared" si="25"/>
        <v>0</v>
      </c>
      <c r="L25" s="17"/>
      <c r="M25" s="47" t="b">
        <v>1</v>
      </c>
      <c r="N25" s="47" t="b">
        <v>0</v>
      </c>
      <c r="O25" s="47" t="b">
        <v>1</v>
      </c>
      <c r="P25" s="47" t="b">
        <v>0</v>
      </c>
      <c r="Q25" s="16" t="str">
        <f t="shared" si="3"/>
        <v>Eperon d’Or</v>
      </c>
      <c r="R25" s="48">
        <v>8.0</v>
      </c>
      <c r="S25" s="47" t="b">
        <v>0</v>
      </c>
      <c r="T25" s="47" t="b">
        <v>1</v>
      </c>
      <c r="U25" s="48">
        <v>8.0</v>
      </c>
      <c r="V25" s="16"/>
      <c r="W25" s="16"/>
      <c r="X25" s="16"/>
      <c r="Y25" s="51"/>
      <c r="Z25" s="16"/>
      <c r="AA25" s="16"/>
      <c r="AB25" s="16"/>
      <c r="AC25" s="16"/>
    </row>
    <row r="26">
      <c r="A26" s="16" t="s">
        <v>84</v>
      </c>
      <c r="B26" s="16" t="s">
        <v>85</v>
      </c>
      <c r="C26" s="16" t="s">
        <v>28</v>
      </c>
      <c r="D26" s="16" t="s">
        <v>7</v>
      </c>
      <c r="E26" s="17" t="b">
        <f t="shared" ref="E26:K26" si="26">IF(IFERROR(SEARCH(E$1, $D26),0) &gt;= 1, TRUE,FALSE)</f>
        <v>0</v>
      </c>
      <c r="F26" s="17" t="b">
        <f t="shared" si="26"/>
        <v>0</v>
      </c>
      <c r="G26" s="17" t="b">
        <f t="shared" si="26"/>
        <v>0</v>
      </c>
      <c r="H26" s="17" t="b">
        <f t="shared" si="26"/>
        <v>1</v>
      </c>
      <c r="I26" s="17" t="b">
        <f t="shared" si="26"/>
        <v>0</v>
      </c>
      <c r="J26" s="17" t="b">
        <f t="shared" si="26"/>
        <v>0</v>
      </c>
      <c r="K26" s="17" t="b">
        <f t="shared" si="26"/>
        <v>0</v>
      </c>
      <c r="L26" s="17"/>
      <c r="M26" s="47" t="b">
        <v>0</v>
      </c>
      <c r="N26" s="47" t="b">
        <v>0</v>
      </c>
      <c r="O26" s="47" t="b">
        <v>0</v>
      </c>
      <c r="P26" s="47" t="b">
        <v>0</v>
      </c>
      <c r="Q26" s="16" t="str">
        <f t="shared" si="3"/>
        <v>Gezellehuis</v>
      </c>
      <c r="R26" s="48">
        <v>0.0</v>
      </c>
      <c r="S26" s="47" t="b">
        <v>0</v>
      </c>
      <c r="T26" s="47" t="b">
        <v>0</v>
      </c>
      <c r="U26" s="16"/>
      <c r="V26" s="16"/>
      <c r="W26" s="16"/>
      <c r="X26" s="16"/>
      <c r="Y26" s="51"/>
      <c r="Z26" s="16"/>
      <c r="AA26" s="16"/>
      <c r="AB26" s="16"/>
      <c r="AC26" s="16"/>
    </row>
    <row r="27">
      <c r="A27" s="16" t="s">
        <v>86</v>
      </c>
      <c r="B27" s="16" t="s">
        <v>87</v>
      </c>
      <c r="C27" s="16" t="s">
        <v>28</v>
      </c>
      <c r="D27" s="16" t="s">
        <v>9</v>
      </c>
      <c r="E27" s="17" t="b">
        <f t="shared" ref="E27:K27" si="27">IF(IFERROR(SEARCH(E$1, $D27),0) &gt;= 1, TRUE,FALSE)</f>
        <v>0</v>
      </c>
      <c r="F27" s="17" t="b">
        <f t="shared" si="27"/>
        <v>0</v>
      </c>
      <c r="G27" s="17" t="b">
        <f t="shared" si="27"/>
        <v>0</v>
      </c>
      <c r="H27" s="17" t="b">
        <f t="shared" si="27"/>
        <v>0</v>
      </c>
      <c r="I27" s="17" t="b">
        <f t="shared" si="27"/>
        <v>0</v>
      </c>
      <c r="J27" s="17" t="b">
        <f t="shared" si="27"/>
        <v>1</v>
      </c>
      <c r="K27" s="17" t="b">
        <f t="shared" si="27"/>
        <v>0</v>
      </c>
      <c r="L27" s="17"/>
      <c r="M27" s="47" t="b">
        <v>1</v>
      </c>
      <c r="N27" s="47" t="b">
        <v>0</v>
      </c>
      <c r="O27" s="47" t="b">
        <v>0</v>
      </c>
      <c r="P27" s="47" t="b">
        <v>0</v>
      </c>
      <c r="Q27" s="16" t="str">
        <f t="shared" si="3"/>
        <v>Groeningemuseum</v>
      </c>
      <c r="R27" s="48">
        <v>15.0</v>
      </c>
      <c r="S27" s="47" t="b">
        <v>0</v>
      </c>
      <c r="T27" s="47" t="b">
        <v>0</v>
      </c>
      <c r="U27" s="16"/>
      <c r="V27" s="16"/>
      <c r="W27" s="16"/>
      <c r="X27" s="16"/>
      <c r="Y27" s="51"/>
      <c r="Z27" s="16"/>
      <c r="AA27" s="16"/>
      <c r="AB27" s="16"/>
      <c r="AC27" s="16"/>
    </row>
    <row r="28">
      <c r="A28" s="16" t="s">
        <v>88</v>
      </c>
      <c r="B28" s="16" t="s">
        <v>89</v>
      </c>
      <c r="C28" s="16" t="s">
        <v>28</v>
      </c>
      <c r="D28" s="16" t="s">
        <v>68</v>
      </c>
      <c r="E28" s="17" t="b">
        <f t="shared" ref="E28:K28" si="28">IF(IFERROR(SEARCH(E$1, $D28),0) &gt;= 1, TRUE,FALSE)</f>
        <v>1</v>
      </c>
      <c r="F28" s="17" t="b">
        <f t="shared" si="28"/>
        <v>0</v>
      </c>
      <c r="G28" s="17" t="b">
        <f t="shared" si="28"/>
        <v>0</v>
      </c>
      <c r="H28" s="17" t="b">
        <f t="shared" si="28"/>
        <v>0</v>
      </c>
      <c r="I28" s="17" t="b">
        <f t="shared" si="28"/>
        <v>1</v>
      </c>
      <c r="J28" s="17" t="b">
        <f t="shared" si="28"/>
        <v>1</v>
      </c>
      <c r="K28" s="17" t="b">
        <f t="shared" si="28"/>
        <v>1</v>
      </c>
      <c r="L28" s="17"/>
      <c r="M28" s="47" t="b">
        <v>0</v>
      </c>
      <c r="N28" s="47" t="b">
        <v>0</v>
      </c>
      <c r="O28" s="47" t="b">
        <v>0</v>
      </c>
      <c r="P28" s="47" t="b">
        <v>0</v>
      </c>
      <c r="Q28" s="16" t="str">
        <f t="shared" si="3"/>
        <v>Gruuthusemuseum</v>
      </c>
      <c r="R28" s="48">
        <v>15.0</v>
      </c>
      <c r="S28" s="47" t="b">
        <v>0</v>
      </c>
      <c r="T28" s="47" t="b">
        <v>0</v>
      </c>
      <c r="U28" s="16"/>
      <c r="V28" s="16"/>
      <c r="W28" s="16"/>
      <c r="X28" s="16"/>
      <c r="Y28" s="51"/>
      <c r="Z28" s="16"/>
      <c r="AA28" s="16"/>
      <c r="AB28" s="16"/>
      <c r="AC28" s="16"/>
    </row>
    <row r="29">
      <c r="A29" s="16" t="s">
        <v>90</v>
      </c>
      <c r="B29" s="16" t="s">
        <v>91</v>
      </c>
      <c r="C29" s="16" t="s">
        <v>28</v>
      </c>
      <c r="D29" s="16" t="s">
        <v>9</v>
      </c>
      <c r="E29" s="17" t="b">
        <f t="shared" ref="E29:K29" si="29">IF(IFERROR(SEARCH(E$1, $D29),0) &gt;= 1, TRUE,FALSE)</f>
        <v>0</v>
      </c>
      <c r="F29" s="17" t="b">
        <f t="shared" si="29"/>
        <v>0</v>
      </c>
      <c r="G29" s="17" t="b">
        <f t="shared" si="29"/>
        <v>0</v>
      </c>
      <c r="H29" s="17" t="b">
        <f t="shared" si="29"/>
        <v>0</v>
      </c>
      <c r="I29" s="17" t="b">
        <f t="shared" si="29"/>
        <v>0</v>
      </c>
      <c r="J29" s="17" t="b">
        <f t="shared" si="29"/>
        <v>1</v>
      </c>
      <c r="K29" s="17" t="b">
        <f t="shared" si="29"/>
        <v>0</v>
      </c>
      <c r="L29" s="17"/>
      <c r="M29" s="47" t="b">
        <v>1</v>
      </c>
      <c r="N29" s="47" t="b">
        <v>0</v>
      </c>
      <c r="O29" s="47" t="b">
        <v>0</v>
      </c>
      <c r="P29" s="47" t="b">
        <v>0</v>
      </c>
      <c r="Q29" s="16" t="str">
        <f t="shared" si="3"/>
        <v>Het James Ensorhuis</v>
      </c>
      <c r="R29" s="48">
        <v>13.0</v>
      </c>
      <c r="S29" s="47" t="b">
        <v>0</v>
      </c>
      <c r="T29" s="47" t="b">
        <v>1</v>
      </c>
      <c r="U29" s="48">
        <v>13.0</v>
      </c>
      <c r="V29" s="16"/>
      <c r="W29" s="16"/>
      <c r="X29" s="16"/>
      <c r="Y29" s="51"/>
      <c r="Z29" s="16"/>
      <c r="AA29" s="16"/>
      <c r="AB29" s="16"/>
      <c r="AC29" s="16"/>
    </row>
    <row r="30">
      <c r="A30" s="16" t="s">
        <v>92</v>
      </c>
      <c r="B30" s="16"/>
      <c r="C30" s="16" t="s">
        <v>28</v>
      </c>
      <c r="D30" s="16" t="s">
        <v>93</v>
      </c>
      <c r="E30" s="17" t="b">
        <f t="shared" ref="E30:K30" si="30">IF(IFERROR(SEARCH(E$1, $D30),0) &gt;= 1, TRUE,FALSE)</f>
        <v>0</v>
      </c>
      <c r="F30" s="17" t="b">
        <f t="shared" si="30"/>
        <v>0</v>
      </c>
      <c r="G30" s="17" t="b">
        <f t="shared" si="30"/>
        <v>0</v>
      </c>
      <c r="H30" s="17" t="b">
        <f t="shared" si="30"/>
        <v>1</v>
      </c>
      <c r="I30" s="17" t="b">
        <f t="shared" si="30"/>
        <v>1</v>
      </c>
      <c r="J30" s="17" t="b">
        <f t="shared" si="30"/>
        <v>1</v>
      </c>
      <c r="K30" s="17" t="b">
        <f t="shared" si="30"/>
        <v>0</v>
      </c>
      <c r="L30" s="17"/>
      <c r="M30" s="47" t="b">
        <v>1</v>
      </c>
      <c r="N30" s="47" t="b">
        <v>0</v>
      </c>
      <c r="O30" s="47" t="b">
        <v>1</v>
      </c>
      <c r="P30" s="47" t="b">
        <v>0</v>
      </c>
      <c r="Q30" s="16" t="str">
        <f t="shared" si="3"/>
        <v>Het Lijsternest | Streuvelshuis &amp; Schrijversresidentie</v>
      </c>
      <c r="R30" s="48">
        <v>3.0</v>
      </c>
      <c r="S30" s="47" t="b">
        <v>1</v>
      </c>
      <c r="T30" s="47" t="b">
        <v>0</v>
      </c>
      <c r="U30" s="16"/>
      <c r="V30" s="16"/>
      <c r="W30" s="16"/>
      <c r="X30" s="16"/>
      <c r="Y30" s="51"/>
      <c r="Z30" s="16"/>
      <c r="AA30" s="16"/>
      <c r="AB30" s="16"/>
      <c r="AC30" s="16"/>
    </row>
    <row r="31">
      <c r="A31" s="16" t="s">
        <v>94</v>
      </c>
      <c r="B31" s="16"/>
      <c r="C31" s="16" t="s">
        <v>28</v>
      </c>
      <c r="D31" s="16" t="s">
        <v>95</v>
      </c>
      <c r="E31" s="17" t="b">
        <f t="shared" ref="E31:K31" si="31">IF(IFERROR(SEARCH(E$1, $D31),0) &gt;= 1, TRUE,FALSE)</f>
        <v>1</v>
      </c>
      <c r="F31" s="17" t="b">
        <f t="shared" si="31"/>
        <v>0</v>
      </c>
      <c r="G31" s="17" t="b">
        <f t="shared" si="31"/>
        <v>0</v>
      </c>
      <c r="H31" s="17" t="b">
        <f t="shared" si="31"/>
        <v>0</v>
      </c>
      <c r="I31" s="17" t="b">
        <f t="shared" si="31"/>
        <v>0</v>
      </c>
      <c r="J31" s="17" t="b">
        <f t="shared" si="31"/>
        <v>1</v>
      </c>
      <c r="K31" s="17" t="b">
        <f t="shared" si="31"/>
        <v>0</v>
      </c>
      <c r="L31" s="17"/>
      <c r="M31" s="47" t="b">
        <v>1</v>
      </c>
      <c r="N31" s="47" t="b">
        <v>0</v>
      </c>
      <c r="O31" s="47" t="b">
        <v>0</v>
      </c>
      <c r="P31" s="47" t="b">
        <v>0</v>
      </c>
      <c r="Q31" s="16" t="str">
        <f t="shared" si="3"/>
        <v>HEY Museum</v>
      </c>
      <c r="R31" s="48">
        <v>10.0</v>
      </c>
      <c r="S31" s="47" t="b">
        <v>0</v>
      </c>
      <c r="T31" s="47" t="b">
        <v>0</v>
      </c>
      <c r="U31" s="16"/>
      <c r="V31" s="16"/>
      <c r="W31" s="16"/>
      <c r="X31" s="16"/>
      <c r="Y31" s="51"/>
      <c r="Z31" s="16"/>
      <c r="AA31" s="16"/>
      <c r="AB31" s="16"/>
      <c r="AC31" s="16"/>
    </row>
    <row r="32">
      <c r="A32" s="16" t="s">
        <v>96</v>
      </c>
      <c r="B32" s="16" t="s">
        <v>97</v>
      </c>
      <c r="C32" s="16" t="s">
        <v>28</v>
      </c>
      <c r="D32" s="16" t="s">
        <v>4</v>
      </c>
      <c r="E32" s="17" t="b">
        <f t="shared" ref="E32:K32" si="32">IF(IFERROR(SEARCH(E$1, $D32),0) &gt;= 1, TRUE,FALSE)</f>
        <v>1</v>
      </c>
      <c r="F32" s="17" t="b">
        <f t="shared" si="32"/>
        <v>0</v>
      </c>
      <c r="G32" s="17" t="b">
        <f t="shared" si="32"/>
        <v>0</v>
      </c>
      <c r="H32" s="17" t="b">
        <f t="shared" si="32"/>
        <v>0</v>
      </c>
      <c r="I32" s="17" t="b">
        <f t="shared" si="32"/>
        <v>0</v>
      </c>
      <c r="J32" s="17" t="b">
        <f t="shared" si="32"/>
        <v>0</v>
      </c>
      <c r="K32" s="17" t="b">
        <f t="shared" si="32"/>
        <v>0</v>
      </c>
      <c r="L32" s="17"/>
      <c r="M32" s="47" t="b">
        <v>1</v>
      </c>
      <c r="N32" s="47" t="b">
        <v>1</v>
      </c>
      <c r="O32" s="47" t="b">
        <v>0</v>
      </c>
      <c r="P32" s="47" t="b">
        <v>0</v>
      </c>
      <c r="Q32" s="16" t="str">
        <f t="shared" si="3"/>
        <v>Hopmuseum Poperinge</v>
      </c>
      <c r="R32" s="48">
        <v>7.0</v>
      </c>
      <c r="S32" s="47" t="b">
        <v>0</v>
      </c>
      <c r="T32" s="47" t="b">
        <v>0</v>
      </c>
      <c r="U32" s="16"/>
      <c r="V32" s="16"/>
      <c r="W32" s="16"/>
      <c r="X32" s="16"/>
      <c r="Y32" s="51"/>
      <c r="Z32" s="16"/>
      <c r="AA32" s="16"/>
      <c r="AB32" s="16"/>
      <c r="AC32" s="16"/>
    </row>
    <row r="33">
      <c r="A33" s="16" t="s">
        <v>98</v>
      </c>
      <c r="B33" s="16" t="s">
        <v>99</v>
      </c>
      <c r="C33" s="16" t="s">
        <v>28</v>
      </c>
      <c r="D33" s="16" t="s">
        <v>4</v>
      </c>
      <c r="E33" s="17" t="b">
        <f t="shared" ref="E33:K33" si="33">IF(IFERROR(SEARCH(E$1, $D33),0) &gt;= 1, TRUE,FALSE)</f>
        <v>1</v>
      </c>
      <c r="F33" s="17" t="b">
        <f t="shared" si="33"/>
        <v>0</v>
      </c>
      <c r="G33" s="17" t="b">
        <f t="shared" si="33"/>
        <v>0</v>
      </c>
      <c r="H33" s="17" t="b">
        <f t="shared" si="33"/>
        <v>0</v>
      </c>
      <c r="I33" s="17" t="b">
        <f t="shared" si="33"/>
        <v>0</v>
      </c>
      <c r="J33" s="17" t="b">
        <f t="shared" si="33"/>
        <v>0</v>
      </c>
      <c r="K33" s="17" t="b">
        <f t="shared" si="33"/>
        <v>0</v>
      </c>
      <c r="L33" s="17"/>
      <c r="M33" s="47" t="b">
        <v>1</v>
      </c>
      <c r="N33" s="47" t="b">
        <v>1</v>
      </c>
      <c r="O33" s="47" t="b">
        <v>0</v>
      </c>
      <c r="P33" s="47" t="b">
        <v>0</v>
      </c>
      <c r="Q33" s="16" t="str">
        <f t="shared" si="3"/>
        <v>In Flanders Fields Museum</v>
      </c>
      <c r="R33" s="48">
        <v>12.0</v>
      </c>
      <c r="S33" s="47" t="b">
        <v>0</v>
      </c>
      <c r="T33" s="47" t="b">
        <v>1</v>
      </c>
      <c r="U33" s="48">
        <v>12.0</v>
      </c>
      <c r="V33" s="16"/>
      <c r="W33" s="16"/>
      <c r="X33" s="16"/>
      <c r="Y33" s="51"/>
      <c r="Z33" s="16"/>
      <c r="AA33" s="16"/>
      <c r="AB33" s="16"/>
      <c r="AC33" s="16"/>
    </row>
    <row r="34">
      <c r="A34" s="16" t="s">
        <v>100</v>
      </c>
      <c r="B34" s="16" t="s">
        <v>101</v>
      </c>
      <c r="C34" s="16" t="s">
        <v>28</v>
      </c>
      <c r="D34" s="16" t="s">
        <v>102</v>
      </c>
      <c r="E34" s="17" t="b">
        <f t="shared" ref="E34:K34" si="34">IF(IFERROR(SEARCH(E$1, $D34),0) &gt;= 1, TRUE,FALSE)</f>
        <v>1</v>
      </c>
      <c r="F34" s="17" t="b">
        <f t="shared" si="34"/>
        <v>0</v>
      </c>
      <c r="G34" s="17" t="b">
        <f t="shared" si="34"/>
        <v>1</v>
      </c>
      <c r="H34" s="17" t="b">
        <f t="shared" si="34"/>
        <v>0</v>
      </c>
      <c r="I34" s="17" t="b">
        <f t="shared" si="34"/>
        <v>0</v>
      </c>
      <c r="J34" s="17" t="b">
        <f t="shared" si="34"/>
        <v>0</v>
      </c>
      <c r="K34" s="17" t="b">
        <f t="shared" si="34"/>
        <v>1</v>
      </c>
      <c r="L34" s="17"/>
      <c r="M34" s="47" t="b">
        <v>1</v>
      </c>
      <c r="N34" s="47" t="b">
        <v>0</v>
      </c>
      <c r="O34" s="47" t="b">
        <v>0</v>
      </c>
      <c r="P34" s="47" t="b">
        <v>0</v>
      </c>
      <c r="Q34" s="16" t="str">
        <f t="shared" si="3"/>
        <v>Kantmuseum Brugge</v>
      </c>
      <c r="R34" s="48">
        <v>8.0</v>
      </c>
      <c r="S34" s="47" t="b">
        <v>0</v>
      </c>
      <c r="T34" s="47" t="b">
        <v>0</v>
      </c>
      <c r="U34" s="16"/>
      <c r="V34" s="16"/>
      <c r="W34" s="16"/>
      <c r="X34" s="16"/>
      <c r="Y34" s="51"/>
      <c r="Z34" s="16"/>
      <c r="AA34" s="16"/>
      <c r="AB34" s="16"/>
      <c r="AC34" s="16"/>
    </row>
    <row r="35">
      <c r="A35" s="16" t="s">
        <v>103</v>
      </c>
      <c r="B35" s="16" t="s">
        <v>104</v>
      </c>
      <c r="C35" s="16" t="s">
        <v>28</v>
      </c>
      <c r="D35" s="16" t="s">
        <v>95</v>
      </c>
      <c r="E35" s="17" t="b">
        <f t="shared" ref="E35:K35" si="35">IF(IFERROR(SEARCH(E$1, $D35),0) &gt;= 1, TRUE,FALSE)</f>
        <v>1</v>
      </c>
      <c r="F35" s="17" t="b">
        <f t="shared" si="35"/>
        <v>0</v>
      </c>
      <c r="G35" s="17" t="b">
        <f t="shared" si="35"/>
        <v>0</v>
      </c>
      <c r="H35" s="17" t="b">
        <f t="shared" si="35"/>
        <v>0</v>
      </c>
      <c r="I35" s="17" t="b">
        <f t="shared" si="35"/>
        <v>0</v>
      </c>
      <c r="J35" s="17" t="b">
        <f t="shared" si="35"/>
        <v>1</v>
      </c>
      <c r="K35" s="17" t="b">
        <f t="shared" si="35"/>
        <v>0</v>
      </c>
      <c r="L35" s="17"/>
      <c r="M35" s="47" t="b">
        <v>1</v>
      </c>
      <c r="N35" s="47" t="b">
        <v>0</v>
      </c>
      <c r="O35" s="47" t="b">
        <v>1</v>
      </c>
      <c r="P35" s="47" t="b">
        <v>0</v>
      </c>
      <c r="Q35" s="16" t="str">
        <f t="shared" si="3"/>
        <v>Kasteel van Loppem</v>
      </c>
      <c r="R35" s="48">
        <v>9.0</v>
      </c>
      <c r="S35" s="47" t="b">
        <v>0</v>
      </c>
      <c r="T35" s="47" t="b">
        <v>0</v>
      </c>
      <c r="U35" s="16"/>
      <c r="V35" s="16"/>
      <c r="W35" s="16"/>
      <c r="X35" s="16"/>
      <c r="Y35" s="51"/>
      <c r="Z35" s="16"/>
      <c r="AA35" s="16"/>
      <c r="AB35" s="16"/>
      <c r="AC35" s="16"/>
    </row>
    <row r="36">
      <c r="A36" s="16" t="s">
        <v>105</v>
      </c>
      <c r="B36" s="16" t="s">
        <v>106</v>
      </c>
      <c r="C36" s="16" t="s">
        <v>28</v>
      </c>
      <c r="D36" s="16" t="s">
        <v>107</v>
      </c>
      <c r="E36" s="17" t="b">
        <f t="shared" ref="E36:K36" si="36">IF(IFERROR(SEARCH(E$1, $D36),0) &gt;= 1, TRUE,FALSE)</f>
        <v>1</v>
      </c>
      <c r="F36" s="17" t="b">
        <f t="shared" si="36"/>
        <v>1</v>
      </c>
      <c r="G36" s="17" t="b">
        <f t="shared" si="36"/>
        <v>0</v>
      </c>
      <c r="H36" s="17" t="b">
        <f t="shared" si="36"/>
        <v>0</v>
      </c>
      <c r="I36" s="17" t="b">
        <f t="shared" si="36"/>
        <v>0</v>
      </c>
      <c r="J36" s="17" t="b">
        <f t="shared" si="36"/>
        <v>0</v>
      </c>
      <c r="K36" s="17" t="b">
        <f t="shared" si="36"/>
        <v>0</v>
      </c>
      <c r="L36" s="17"/>
      <c r="M36" s="47" t="b">
        <v>1</v>
      </c>
      <c r="N36" s="47" t="b">
        <v>1</v>
      </c>
      <c r="O36" s="47" t="b">
        <v>0</v>
      </c>
      <c r="P36" s="47" t="b">
        <v>1</v>
      </c>
      <c r="Q36" s="16" t="str">
        <f t="shared" si="3"/>
        <v>KOERS | Museum van de Wielersport</v>
      </c>
      <c r="R36" s="48">
        <v>9.0</v>
      </c>
      <c r="S36" s="47" t="b">
        <v>0</v>
      </c>
      <c r="T36" s="47" t="b">
        <v>0</v>
      </c>
      <c r="U36" s="16"/>
      <c r="V36" s="16"/>
      <c r="W36" s="16"/>
      <c r="X36" s="16"/>
      <c r="Y36" s="51"/>
      <c r="Z36" s="16"/>
      <c r="AA36" s="16"/>
      <c r="AB36" s="16"/>
      <c r="AC36" s="16"/>
    </row>
    <row r="37">
      <c r="A37" s="16" t="s">
        <v>108</v>
      </c>
      <c r="B37" s="16" t="s">
        <v>109</v>
      </c>
      <c r="C37" s="17" t="s">
        <v>28</v>
      </c>
      <c r="D37" s="16" t="s">
        <v>4</v>
      </c>
      <c r="E37" s="17" t="b">
        <f t="shared" ref="E37:K37" si="37">IF(IFERROR(SEARCH(E$1, $D37),0) &gt;= 1, TRUE,FALSE)</f>
        <v>1</v>
      </c>
      <c r="F37" s="17" t="b">
        <f t="shared" si="37"/>
        <v>0</v>
      </c>
      <c r="G37" s="17" t="b">
        <f t="shared" si="37"/>
        <v>0</v>
      </c>
      <c r="H37" s="17" t="b">
        <f t="shared" si="37"/>
        <v>0</v>
      </c>
      <c r="I37" s="17" t="b">
        <f t="shared" si="37"/>
        <v>0</v>
      </c>
      <c r="J37" s="17" t="b">
        <f t="shared" si="37"/>
        <v>0</v>
      </c>
      <c r="K37" s="17" t="b">
        <f t="shared" si="37"/>
        <v>0</v>
      </c>
      <c r="L37" s="17"/>
      <c r="M37" s="47" t="b">
        <v>1</v>
      </c>
      <c r="N37" s="47" t="b">
        <v>1</v>
      </c>
      <c r="O37" s="47" t="b">
        <v>1</v>
      </c>
      <c r="P37" s="47" t="b">
        <v>0</v>
      </c>
      <c r="Q37" s="16" t="str">
        <f t="shared" si="3"/>
        <v>Museum aan de IJzer</v>
      </c>
      <c r="R37" s="48">
        <v>9.5</v>
      </c>
      <c r="S37" s="47" t="b">
        <v>0</v>
      </c>
      <c r="T37" s="47" t="b">
        <v>1</v>
      </c>
      <c r="U37" s="48">
        <v>9.5</v>
      </c>
      <c r="V37" s="16"/>
      <c r="W37" s="16"/>
      <c r="X37" s="16"/>
      <c r="Y37" s="51"/>
      <c r="Z37" s="16"/>
      <c r="AA37" s="16"/>
      <c r="AB37" s="16"/>
      <c r="AC37" s="16"/>
    </row>
    <row r="38">
      <c r="A38" s="16" t="s">
        <v>110</v>
      </c>
      <c r="B38" s="16" t="s">
        <v>111</v>
      </c>
      <c r="C38" s="17" t="s">
        <v>28</v>
      </c>
      <c r="D38" s="16" t="s">
        <v>70</v>
      </c>
      <c r="E38" s="17" t="b">
        <f t="shared" ref="E38:K38" si="38">IF(IFERROR(SEARCH(E$1, $D38),0) &gt;= 1, TRUE,FALSE)</f>
        <v>1</v>
      </c>
      <c r="F38" s="17" t="b">
        <f t="shared" si="38"/>
        <v>1</v>
      </c>
      <c r="G38" s="17" t="b">
        <f t="shared" si="38"/>
        <v>0</v>
      </c>
      <c r="H38" s="17" t="b">
        <f t="shared" si="38"/>
        <v>0</v>
      </c>
      <c r="I38" s="17" t="b">
        <f t="shared" si="38"/>
        <v>1</v>
      </c>
      <c r="J38" s="17" t="b">
        <f t="shared" si="38"/>
        <v>1</v>
      </c>
      <c r="K38" s="17" t="b">
        <f t="shared" si="38"/>
        <v>1</v>
      </c>
      <c r="L38" s="17"/>
      <c r="M38" s="47" t="b">
        <v>1</v>
      </c>
      <c r="N38" s="47" t="b">
        <v>0</v>
      </c>
      <c r="O38" s="47" t="b">
        <v>0</v>
      </c>
      <c r="P38" s="47" t="b">
        <v>0</v>
      </c>
      <c r="Q38" s="16" t="str">
        <f t="shared" si="3"/>
        <v>Museum Sint-Janshospitaal</v>
      </c>
      <c r="R38" s="48">
        <v>15.0</v>
      </c>
      <c r="S38" s="47" t="b">
        <v>0</v>
      </c>
      <c r="T38" s="47" t="b">
        <v>1</v>
      </c>
      <c r="U38" s="48">
        <v>15.0</v>
      </c>
      <c r="V38" s="16"/>
      <c r="W38" s="16"/>
      <c r="X38" s="16"/>
      <c r="Y38" s="51"/>
      <c r="Z38" s="16"/>
      <c r="AA38" s="16"/>
      <c r="AB38" s="16"/>
      <c r="AC38" s="16"/>
    </row>
    <row r="39">
      <c r="A39" s="16" t="s">
        <v>112</v>
      </c>
      <c r="B39" s="16" t="s">
        <v>113</v>
      </c>
      <c r="C39" s="17" t="s">
        <v>28</v>
      </c>
      <c r="D39" s="16" t="s">
        <v>9</v>
      </c>
      <c r="E39" s="17" t="b">
        <f t="shared" ref="E39:K39" si="39">IF(IFERROR(SEARCH(E$1, $D39),0) &gt;= 1, TRUE,FALSE)</f>
        <v>0</v>
      </c>
      <c r="F39" s="17" t="b">
        <f t="shared" si="39"/>
        <v>0</v>
      </c>
      <c r="G39" s="17" t="b">
        <f t="shared" si="39"/>
        <v>0</v>
      </c>
      <c r="H39" s="17" t="b">
        <f t="shared" si="39"/>
        <v>0</v>
      </c>
      <c r="I39" s="17" t="b">
        <f t="shared" si="39"/>
        <v>0</v>
      </c>
      <c r="J39" s="17" t="b">
        <f t="shared" si="39"/>
        <v>1</v>
      </c>
      <c r="K39" s="17" t="b">
        <f t="shared" si="39"/>
        <v>0</v>
      </c>
      <c r="L39" s="17"/>
      <c r="M39" s="47" t="b">
        <v>1</v>
      </c>
      <c r="N39" s="47" t="b">
        <v>0</v>
      </c>
      <c r="O39" s="47" t="b">
        <v>0</v>
      </c>
      <c r="P39" s="47" t="b">
        <v>0</v>
      </c>
      <c r="Q39" s="16" t="str">
        <f t="shared" si="3"/>
        <v>Mu.ZEE | Kunstmuseum aan Zee</v>
      </c>
      <c r="R39" s="48">
        <v>12.0</v>
      </c>
      <c r="S39" s="47" t="b">
        <v>1</v>
      </c>
      <c r="T39" s="47" t="b">
        <v>1</v>
      </c>
      <c r="U39" s="48">
        <v>12.0</v>
      </c>
      <c r="V39" s="16"/>
      <c r="W39" s="16"/>
      <c r="X39" s="16"/>
      <c r="Y39" s="51"/>
      <c r="Z39" s="16"/>
      <c r="AA39" s="16"/>
      <c r="AB39" s="16"/>
      <c r="AC39" s="16"/>
    </row>
    <row r="40">
      <c r="A40" s="16" t="s">
        <v>114</v>
      </c>
      <c r="B40" s="16" t="s">
        <v>115</v>
      </c>
      <c r="C40" s="17" t="s">
        <v>28</v>
      </c>
      <c r="D40" s="16" t="s">
        <v>4</v>
      </c>
      <c r="E40" s="17" t="b">
        <f t="shared" ref="E40:K40" si="40">IF(IFERROR(SEARCH(E$1, $D40),0) &gt;= 1, TRUE,FALSE)</f>
        <v>1</v>
      </c>
      <c r="F40" s="17" t="b">
        <f t="shared" si="40"/>
        <v>0</v>
      </c>
      <c r="G40" s="17" t="b">
        <f t="shared" si="40"/>
        <v>0</v>
      </c>
      <c r="H40" s="17" t="b">
        <f t="shared" si="40"/>
        <v>0</v>
      </c>
      <c r="I40" s="17" t="b">
        <f t="shared" si="40"/>
        <v>0</v>
      </c>
      <c r="J40" s="17" t="b">
        <f t="shared" si="40"/>
        <v>0</v>
      </c>
      <c r="K40" s="17" t="b">
        <f t="shared" si="40"/>
        <v>0</v>
      </c>
      <c r="L40" s="17"/>
      <c r="M40" s="47" t="b">
        <v>0</v>
      </c>
      <c r="N40" s="47" t="b">
        <v>0</v>
      </c>
      <c r="O40" s="47" t="b">
        <v>0</v>
      </c>
      <c r="P40" s="47" t="b">
        <v>0</v>
      </c>
      <c r="Q40" s="16" t="str">
        <f t="shared" si="3"/>
        <v>Nationaal Tabaksmuseum</v>
      </c>
      <c r="R40" s="48">
        <v>4.5</v>
      </c>
      <c r="S40" s="47" t="b">
        <v>0</v>
      </c>
      <c r="T40" s="47" t="b">
        <v>1</v>
      </c>
      <c r="U40" s="48">
        <v>4.5</v>
      </c>
      <c r="V40" s="16"/>
      <c r="W40" s="16"/>
      <c r="X40" s="16"/>
      <c r="Y40" s="51"/>
      <c r="Z40" s="16"/>
      <c r="AA40" s="16"/>
      <c r="AB40" s="16"/>
      <c r="AC40" s="16"/>
    </row>
    <row r="41">
      <c r="A41" s="16" t="s">
        <v>116</v>
      </c>
      <c r="B41" s="16" t="s">
        <v>117</v>
      </c>
      <c r="C41" s="17" t="s">
        <v>28</v>
      </c>
      <c r="D41" s="16" t="s">
        <v>42</v>
      </c>
      <c r="E41" s="17" t="b">
        <f t="shared" ref="E41:K41" si="41">IF(IFERROR(SEARCH(E$1, $D41),0) &gt;= 1, TRUE,FALSE)</f>
        <v>0</v>
      </c>
      <c r="F41" s="17" t="b">
        <f t="shared" si="41"/>
        <v>1</v>
      </c>
      <c r="G41" s="17" t="b">
        <f t="shared" si="41"/>
        <v>0</v>
      </c>
      <c r="H41" s="17" t="b">
        <f t="shared" si="41"/>
        <v>0</v>
      </c>
      <c r="I41" s="17" t="b">
        <f t="shared" si="41"/>
        <v>0</v>
      </c>
      <c r="J41" s="17" t="b">
        <f t="shared" si="41"/>
        <v>1</v>
      </c>
      <c r="K41" s="17" t="b">
        <f t="shared" si="41"/>
        <v>0</v>
      </c>
      <c r="L41" s="17"/>
      <c r="M41" s="47" t="b">
        <v>1</v>
      </c>
      <c r="N41" s="47" t="b">
        <v>1</v>
      </c>
      <c r="O41" s="47" t="b">
        <v>1</v>
      </c>
      <c r="P41" s="47" t="b">
        <v>1</v>
      </c>
      <c r="Q41" s="16" t="str">
        <f t="shared" si="3"/>
        <v>NAVIGO Visserijmuseum</v>
      </c>
      <c r="R41" s="48">
        <v>10.0</v>
      </c>
      <c r="S41" s="47" t="b">
        <v>0</v>
      </c>
      <c r="T41" s="47" t="b">
        <v>1</v>
      </c>
      <c r="U41" s="48">
        <v>0.0</v>
      </c>
      <c r="V41" s="16"/>
      <c r="W41" s="16"/>
      <c r="X41" s="16"/>
      <c r="Y41" s="51"/>
      <c r="Z41" s="16"/>
      <c r="AA41" s="16"/>
      <c r="AB41" s="16"/>
      <c r="AC41" s="16"/>
    </row>
    <row r="42">
      <c r="A42" s="16" t="s">
        <v>118</v>
      </c>
      <c r="B42" s="16" t="s">
        <v>119</v>
      </c>
      <c r="C42" s="17" t="s">
        <v>28</v>
      </c>
      <c r="D42" s="16" t="s">
        <v>120</v>
      </c>
      <c r="E42" s="17" t="b">
        <f t="shared" ref="E42:K42" si="42">IF(IFERROR(SEARCH(E$1, $D42),0) &gt;= 1, TRUE,FALSE)</f>
        <v>0</v>
      </c>
      <c r="F42" s="17" t="b">
        <f t="shared" si="42"/>
        <v>0</v>
      </c>
      <c r="G42" s="17" t="b">
        <f t="shared" si="42"/>
        <v>0</v>
      </c>
      <c r="H42" s="17" t="b">
        <f t="shared" si="42"/>
        <v>0</v>
      </c>
      <c r="I42" s="17" t="b">
        <f t="shared" si="42"/>
        <v>1</v>
      </c>
      <c r="J42" s="17" t="b">
        <f t="shared" si="42"/>
        <v>1</v>
      </c>
      <c r="K42" s="17" t="b">
        <f t="shared" si="42"/>
        <v>0</v>
      </c>
      <c r="L42" s="17"/>
      <c r="M42" s="47" t="b">
        <v>0</v>
      </c>
      <c r="N42" s="47" t="b">
        <v>0</v>
      </c>
      <c r="O42" s="47" t="b">
        <v>0</v>
      </c>
      <c r="P42" s="47" t="b">
        <v>0</v>
      </c>
      <c r="Q42" s="16" t="str">
        <f t="shared" si="3"/>
        <v>O.L.V.-kerk Museum</v>
      </c>
      <c r="R42" s="48">
        <v>8.0</v>
      </c>
      <c r="S42" s="47" t="b">
        <v>0</v>
      </c>
      <c r="T42" s="47" t="b">
        <v>0</v>
      </c>
      <c r="U42" s="16"/>
      <c r="V42" s="16"/>
      <c r="W42" s="16"/>
      <c r="X42" s="16"/>
      <c r="Y42" s="51"/>
      <c r="Z42" s="16"/>
      <c r="AA42" s="16"/>
      <c r="AB42" s="16"/>
      <c r="AC42" s="16"/>
    </row>
    <row r="43">
      <c r="A43" s="16" t="s">
        <v>121</v>
      </c>
      <c r="B43" s="16" t="s">
        <v>122</v>
      </c>
      <c r="C43" s="17" t="s">
        <v>28</v>
      </c>
      <c r="D43" s="16" t="s">
        <v>68</v>
      </c>
      <c r="E43" s="17" t="b">
        <f t="shared" ref="E43:K43" si="43">IF(IFERROR(SEARCH(E$1, $D43),0) &gt;= 1, TRUE,FALSE)</f>
        <v>1</v>
      </c>
      <c r="F43" s="17" t="b">
        <f t="shared" si="43"/>
        <v>0</v>
      </c>
      <c r="G43" s="17" t="b">
        <f t="shared" si="43"/>
        <v>0</v>
      </c>
      <c r="H43" s="17" t="b">
        <f t="shared" si="43"/>
        <v>0</v>
      </c>
      <c r="I43" s="17" t="b">
        <f t="shared" si="43"/>
        <v>1</v>
      </c>
      <c r="J43" s="17" t="b">
        <f t="shared" si="43"/>
        <v>1</v>
      </c>
      <c r="K43" s="17" t="b">
        <f t="shared" si="43"/>
        <v>1</v>
      </c>
      <c r="L43" s="17"/>
      <c r="M43" s="47" t="b">
        <v>0</v>
      </c>
      <c r="N43" s="47" t="b">
        <v>0</v>
      </c>
      <c r="O43" s="47" t="b">
        <v>0</v>
      </c>
      <c r="P43" s="47" t="b">
        <v>0</v>
      </c>
      <c r="Q43" s="16" t="str">
        <f t="shared" si="3"/>
        <v>O.L.V. ter Potterie</v>
      </c>
      <c r="R43" s="48">
        <v>8.0</v>
      </c>
      <c r="S43" s="47" t="b">
        <v>0</v>
      </c>
      <c r="T43" s="47" t="b">
        <v>0</v>
      </c>
      <c r="U43" s="16"/>
      <c r="V43" s="16"/>
      <c r="W43" s="16"/>
      <c r="X43" s="16"/>
      <c r="Y43" s="51"/>
      <c r="Z43" s="16"/>
      <c r="AA43" s="16"/>
      <c r="AB43" s="16"/>
      <c r="AC43" s="16"/>
    </row>
    <row r="44">
      <c r="A44" s="16" t="s">
        <v>123</v>
      </c>
      <c r="B44" s="16"/>
      <c r="C44" s="17" t="s">
        <v>28</v>
      </c>
      <c r="D44" s="16" t="s">
        <v>4</v>
      </c>
      <c r="E44" s="17" t="b">
        <f t="shared" ref="E44:K44" si="44">IF(IFERROR(SEARCH(E$1, $D44),0) &gt;= 1, TRUE,FALSE)</f>
        <v>1</v>
      </c>
      <c r="F44" s="17" t="b">
        <f t="shared" si="44"/>
        <v>0</v>
      </c>
      <c r="G44" s="17" t="b">
        <f t="shared" si="44"/>
        <v>0</v>
      </c>
      <c r="H44" s="17" t="b">
        <f t="shared" si="44"/>
        <v>0</v>
      </c>
      <c r="I44" s="17" t="b">
        <f t="shared" si="44"/>
        <v>0</v>
      </c>
      <c r="J44" s="17" t="b">
        <f t="shared" si="44"/>
        <v>0</v>
      </c>
      <c r="K44" s="17" t="b">
        <f t="shared" si="44"/>
        <v>0</v>
      </c>
      <c r="L44" s="17"/>
      <c r="M44" s="47" t="b">
        <v>1</v>
      </c>
      <c r="N44" s="47" t="b">
        <v>0</v>
      </c>
      <c r="O44" s="47" t="b">
        <v>1</v>
      </c>
      <c r="P44" s="47" t="b">
        <v>0</v>
      </c>
      <c r="Q44" s="16" t="str">
        <f t="shared" si="3"/>
        <v>Passchendaele Museum</v>
      </c>
      <c r="R44" s="48">
        <v>13.0</v>
      </c>
      <c r="S44" s="47" t="b">
        <v>0</v>
      </c>
      <c r="T44" s="47" t="b">
        <v>1</v>
      </c>
      <c r="U44" s="48">
        <v>13.0</v>
      </c>
      <c r="V44" s="16"/>
      <c r="W44" s="16"/>
      <c r="X44" s="16"/>
      <c r="Y44" s="51"/>
      <c r="Z44" s="16"/>
      <c r="AA44" s="16"/>
      <c r="AB44" s="16"/>
      <c r="AC44" s="16"/>
    </row>
    <row r="45">
      <c r="A45" s="16" t="s">
        <v>124</v>
      </c>
      <c r="B45" s="16" t="s">
        <v>125</v>
      </c>
      <c r="C45" s="17" t="s">
        <v>28</v>
      </c>
      <c r="D45" s="16" t="s">
        <v>9</v>
      </c>
      <c r="E45" s="17" t="b">
        <f t="shared" ref="E45:K45" si="45">IF(IFERROR(SEARCH(E$1, $D45),0) &gt;= 1, TRUE,FALSE)</f>
        <v>0</v>
      </c>
      <c r="F45" s="17" t="b">
        <f t="shared" si="45"/>
        <v>0</v>
      </c>
      <c r="G45" s="17" t="b">
        <f t="shared" si="45"/>
        <v>0</v>
      </c>
      <c r="H45" s="17" t="b">
        <f t="shared" si="45"/>
        <v>0</v>
      </c>
      <c r="I45" s="17" t="b">
        <f t="shared" si="45"/>
        <v>0</v>
      </c>
      <c r="J45" s="17" t="b">
        <f t="shared" si="45"/>
        <v>1</v>
      </c>
      <c r="K45" s="17" t="b">
        <f t="shared" si="45"/>
        <v>0</v>
      </c>
      <c r="L45" s="17"/>
      <c r="M45" s="47" t="b">
        <v>1</v>
      </c>
      <c r="N45" s="47" t="b">
        <v>1</v>
      </c>
      <c r="O45" s="47" t="b">
        <v>1</v>
      </c>
      <c r="P45" s="47" t="b">
        <v>0</v>
      </c>
      <c r="Q45" s="16" t="str">
        <f t="shared" si="3"/>
        <v>Paul Delvaux Museum</v>
      </c>
      <c r="R45" s="48">
        <v>12.0</v>
      </c>
      <c r="S45" s="47" t="b">
        <v>0</v>
      </c>
      <c r="T45" s="47" t="b">
        <v>0</v>
      </c>
      <c r="U45" s="16"/>
      <c r="V45" s="16"/>
      <c r="W45" s="16"/>
      <c r="X45" s="16"/>
      <c r="Y45" s="51"/>
      <c r="Z45" s="16"/>
      <c r="AA45" s="16"/>
      <c r="AB45" s="16"/>
      <c r="AC45" s="16"/>
    </row>
    <row r="46">
      <c r="A46" s="16" t="s">
        <v>126</v>
      </c>
      <c r="B46" s="16"/>
      <c r="C46" s="17" t="s">
        <v>28</v>
      </c>
      <c r="D46" s="16" t="s">
        <v>9</v>
      </c>
      <c r="E46" s="17" t="b">
        <f t="shared" ref="E46:K46" si="46">IF(IFERROR(SEARCH(E$1, $D46),0) &gt;= 1, TRUE,FALSE)</f>
        <v>0</v>
      </c>
      <c r="F46" s="17" t="b">
        <f t="shared" si="46"/>
        <v>0</v>
      </c>
      <c r="G46" s="17" t="b">
        <f t="shared" si="46"/>
        <v>0</v>
      </c>
      <c r="H46" s="17" t="b">
        <f t="shared" si="46"/>
        <v>0</v>
      </c>
      <c r="I46" s="17" t="b">
        <f t="shared" si="46"/>
        <v>0</v>
      </c>
      <c r="J46" s="17" t="b">
        <f t="shared" si="46"/>
        <v>1</v>
      </c>
      <c r="K46" s="17" t="b">
        <f t="shared" si="46"/>
        <v>0</v>
      </c>
      <c r="L46" s="17"/>
      <c r="M46" s="47" t="b">
        <v>1</v>
      </c>
      <c r="N46" s="47" t="b">
        <v>0</v>
      </c>
      <c r="O46" s="47" t="b">
        <v>0</v>
      </c>
      <c r="P46" s="47" t="b">
        <v>0</v>
      </c>
      <c r="Q46" s="16" t="str">
        <f t="shared" si="3"/>
        <v>Peiremuzee</v>
      </c>
      <c r="R46" s="48">
        <v>12.0</v>
      </c>
      <c r="S46" s="47" t="b">
        <v>0</v>
      </c>
      <c r="T46" s="47" t="b">
        <v>0</v>
      </c>
      <c r="U46" s="16"/>
      <c r="V46" s="16"/>
      <c r="W46" s="16"/>
      <c r="X46" s="16"/>
      <c r="Y46" s="51"/>
      <c r="Z46" s="16"/>
      <c r="AA46" s="16"/>
      <c r="AB46" s="16"/>
      <c r="AC46" s="16"/>
    </row>
    <row r="47">
      <c r="A47" s="16" t="s">
        <v>127</v>
      </c>
      <c r="B47" s="16" t="s">
        <v>128</v>
      </c>
      <c r="C47" s="17" t="s">
        <v>28</v>
      </c>
      <c r="D47" s="16" t="s">
        <v>9</v>
      </c>
      <c r="E47" s="17" t="b">
        <f t="shared" ref="E47:K47" si="47">IF(IFERROR(SEARCH(E$1, $D47),0) &gt;= 1, TRUE,FALSE)</f>
        <v>0</v>
      </c>
      <c r="F47" s="17" t="b">
        <f t="shared" si="47"/>
        <v>0</v>
      </c>
      <c r="G47" s="17" t="b">
        <f t="shared" si="47"/>
        <v>0</v>
      </c>
      <c r="H47" s="17" t="b">
        <f t="shared" si="47"/>
        <v>0</v>
      </c>
      <c r="I47" s="17" t="b">
        <f t="shared" si="47"/>
        <v>0</v>
      </c>
      <c r="J47" s="17" t="b">
        <f t="shared" si="47"/>
        <v>1</v>
      </c>
      <c r="K47" s="17" t="b">
        <f t="shared" si="47"/>
        <v>0</v>
      </c>
      <c r="L47" s="17"/>
      <c r="M47" s="47" t="b">
        <v>0</v>
      </c>
      <c r="N47" s="47" t="b">
        <v>0</v>
      </c>
      <c r="O47" s="47" t="b">
        <v>0</v>
      </c>
      <c r="P47" s="47" t="b">
        <v>0</v>
      </c>
      <c r="Q47" s="16" t="str">
        <f t="shared" si="3"/>
        <v>Permekemuseum</v>
      </c>
      <c r="R47" s="48">
        <v>12.0</v>
      </c>
      <c r="S47" s="47" t="b">
        <v>0</v>
      </c>
      <c r="T47" s="47" t="b">
        <v>0</v>
      </c>
      <c r="U47" s="16"/>
      <c r="V47" s="16"/>
      <c r="W47" s="16"/>
      <c r="X47" s="16"/>
      <c r="Y47" s="51"/>
      <c r="Z47" s="16"/>
      <c r="AA47" s="16"/>
      <c r="AB47" s="16"/>
      <c r="AC47" s="16"/>
    </row>
    <row r="48">
      <c r="A48" s="16" t="s">
        <v>129</v>
      </c>
      <c r="B48" s="16" t="s">
        <v>130</v>
      </c>
      <c r="C48" s="17" t="s">
        <v>28</v>
      </c>
      <c r="D48" s="16" t="s">
        <v>4</v>
      </c>
      <c r="E48" s="17" t="b">
        <f t="shared" ref="E48:K48" si="48">IF(IFERROR(SEARCH(E$1, $D48),0) &gt;= 1, TRUE,FALSE)</f>
        <v>1</v>
      </c>
      <c r="F48" s="17" t="b">
        <f t="shared" si="48"/>
        <v>0</v>
      </c>
      <c r="G48" s="17" t="b">
        <f t="shared" si="48"/>
        <v>0</v>
      </c>
      <c r="H48" s="17" t="b">
        <f t="shared" si="48"/>
        <v>0</v>
      </c>
      <c r="I48" s="17" t="b">
        <f t="shared" si="48"/>
        <v>0</v>
      </c>
      <c r="J48" s="17" t="b">
        <f t="shared" si="48"/>
        <v>0</v>
      </c>
      <c r="K48" s="17" t="b">
        <f t="shared" si="48"/>
        <v>0</v>
      </c>
      <c r="L48" s="17"/>
      <c r="M48" s="47" t="b">
        <v>1</v>
      </c>
      <c r="N48" s="47" t="b">
        <v>1</v>
      </c>
      <c r="O48" s="47" t="b">
        <v>1</v>
      </c>
      <c r="P48" s="47" t="b">
        <v>0</v>
      </c>
      <c r="Q48" s="16" t="str">
        <f t="shared" si="3"/>
        <v>Romeins Archeologisch Museum Oudenburg</v>
      </c>
      <c r="R48" s="50">
        <v>8.0</v>
      </c>
      <c r="S48" s="47" t="b">
        <v>0</v>
      </c>
      <c r="T48" s="47" t="b">
        <v>0</v>
      </c>
      <c r="U48" s="16"/>
      <c r="V48" s="16"/>
      <c r="W48" s="16"/>
      <c r="X48" s="16"/>
      <c r="Y48" s="51"/>
      <c r="Z48" s="16"/>
      <c r="AA48" s="16"/>
      <c r="AB48" s="16"/>
      <c r="AC48" s="16"/>
    </row>
    <row r="49">
      <c r="A49" s="16" t="s">
        <v>131</v>
      </c>
      <c r="B49" s="16" t="s">
        <v>132</v>
      </c>
      <c r="C49" s="17" t="s">
        <v>28</v>
      </c>
      <c r="D49" s="16" t="s">
        <v>107</v>
      </c>
      <c r="E49" s="17" t="b">
        <f t="shared" ref="E49:K49" si="49">IF(IFERROR(SEARCH(E$1, $D49),0) &gt;= 1, TRUE,FALSE)</f>
        <v>1</v>
      </c>
      <c r="F49" s="17" t="b">
        <f t="shared" si="49"/>
        <v>1</v>
      </c>
      <c r="G49" s="17" t="b">
        <f t="shared" si="49"/>
        <v>0</v>
      </c>
      <c r="H49" s="17" t="b">
        <f t="shared" si="49"/>
        <v>0</v>
      </c>
      <c r="I49" s="17" t="b">
        <f t="shared" si="49"/>
        <v>0</v>
      </c>
      <c r="J49" s="17" t="b">
        <f t="shared" si="49"/>
        <v>0</v>
      </c>
      <c r="K49" s="17" t="b">
        <f t="shared" si="49"/>
        <v>0</v>
      </c>
      <c r="L49" s="17"/>
      <c r="M49" s="47" t="b">
        <v>0</v>
      </c>
      <c r="N49" s="47" t="b">
        <v>0</v>
      </c>
      <c r="O49" s="47" t="b">
        <v>0</v>
      </c>
      <c r="P49" s="47" t="b">
        <v>0</v>
      </c>
      <c r="Q49" s="16" t="str">
        <f t="shared" si="3"/>
        <v>Sint-Janshuismolen</v>
      </c>
      <c r="R49" s="48">
        <v>5.0</v>
      </c>
      <c r="S49" s="47" t="b">
        <v>0</v>
      </c>
      <c r="T49" s="47" t="b">
        <v>0</v>
      </c>
      <c r="U49" s="16"/>
      <c r="V49" s="16"/>
      <c r="W49" s="16"/>
      <c r="X49" s="16"/>
      <c r="Y49" s="51"/>
      <c r="Z49" s="16"/>
      <c r="AA49" s="16"/>
      <c r="AB49" s="16"/>
      <c r="AC49" s="16"/>
    </row>
    <row r="50">
      <c r="A50" s="16" t="s">
        <v>133</v>
      </c>
      <c r="B50" s="16" t="s">
        <v>134</v>
      </c>
      <c r="C50" s="17" t="s">
        <v>28</v>
      </c>
      <c r="D50" s="16" t="s">
        <v>68</v>
      </c>
      <c r="E50" s="17" t="b">
        <f t="shared" ref="E50:K50" si="50">IF(IFERROR(SEARCH(E$1, $D50),0) &gt;= 1, TRUE,FALSE)</f>
        <v>1</v>
      </c>
      <c r="F50" s="17" t="b">
        <f t="shared" si="50"/>
        <v>0</v>
      </c>
      <c r="G50" s="17" t="b">
        <f t="shared" si="50"/>
        <v>0</v>
      </c>
      <c r="H50" s="17" t="b">
        <f t="shared" si="50"/>
        <v>0</v>
      </c>
      <c r="I50" s="17" t="b">
        <f t="shared" si="50"/>
        <v>1</v>
      </c>
      <c r="J50" s="17" t="b">
        <f t="shared" si="50"/>
        <v>1</v>
      </c>
      <c r="K50" s="17" t="b">
        <f t="shared" si="50"/>
        <v>1</v>
      </c>
      <c r="L50" s="17"/>
      <c r="M50" s="47" t="b">
        <v>0</v>
      </c>
      <c r="N50" s="47" t="b">
        <v>0</v>
      </c>
      <c r="O50" s="47" t="b">
        <v>0</v>
      </c>
      <c r="P50" s="47" t="b">
        <v>0</v>
      </c>
      <c r="Q50" s="16" t="str">
        <f t="shared" si="3"/>
        <v>Stadhuis Brugge</v>
      </c>
      <c r="R50" s="48">
        <v>8.0</v>
      </c>
      <c r="S50" s="47" t="b">
        <v>0</v>
      </c>
      <c r="T50" s="47" t="b">
        <v>0</v>
      </c>
      <c r="U50" s="16"/>
      <c r="V50" s="16"/>
      <c r="W50" s="16"/>
      <c r="X50" s="16"/>
      <c r="Y50" s="51"/>
      <c r="Z50" s="16"/>
      <c r="AA50" s="16"/>
      <c r="AB50" s="16"/>
      <c r="AC50" s="16"/>
    </row>
    <row r="51">
      <c r="A51" s="16" t="s">
        <v>135</v>
      </c>
      <c r="B51" s="16"/>
      <c r="C51" s="17" t="s">
        <v>28</v>
      </c>
      <c r="D51" s="16" t="s">
        <v>4</v>
      </c>
      <c r="E51" s="17" t="b">
        <f t="shared" ref="E51:K51" si="51">IF(IFERROR(SEARCH(E$1, $D51),0) &gt;= 1, TRUE,FALSE)</f>
        <v>1</v>
      </c>
      <c r="F51" s="17" t="b">
        <f t="shared" si="51"/>
        <v>0</v>
      </c>
      <c r="G51" s="17" t="b">
        <f t="shared" si="51"/>
        <v>0</v>
      </c>
      <c r="H51" s="17" t="b">
        <f t="shared" si="51"/>
        <v>0</v>
      </c>
      <c r="I51" s="17" t="b">
        <f t="shared" si="51"/>
        <v>0</v>
      </c>
      <c r="J51" s="17" t="b">
        <f t="shared" si="51"/>
        <v>0</v>
      </c>
      <c r="K51" s="17" t="b">
        <f t="shared" si="51"/>
        <v>0</v>
      </c>
      <c r="L51" s="17"/>
      <c r="M51" s="47" t="b">
        <v>1</v>
      </c>
      <c r="N51" s="47" t="b">
        <v>0</v>
      </c>
      <c r="O51" s="47" t="b">
        <v>0</v>
      </c>
      <c r="P51" s="47" t="b">
        <v>0</v>
      </c>
      <c r="Q51" s="16" t="str">
        <f t="shared" si="3"/>
        <v>Talbot House</v>
      </c>
      <c r="R51" s="48">
        <v>10.0</v>
      </c>
      <c r="S51" s="47" t="b">
        <v>0</v>
      </c>
      <c r="T51" s="47" t="b">
        <v>1</v>
      </c>
      <c r="U51" s="48">
        <v>10.0</v>
      </c>
      <c r="V51" s="16"/>
      <c r="W51" s="16"/>
      <c r="X51" s="16"/>
      <c r="Y51" s="51"/>
      <c r="Z51" s="16"/>
      <c r="AA51" s="16"/>
      <c r="AB51" s="16"/>
      <c r="AC51" s="16"/>
    </row>
    <row r="52">
      <c r="A52" s="16" t="s">
        <v>136</v>
      </c>
      <c r="B52" s="16" t="s">
        <v>137</v>
      </c>
      <c r="C52" s="17" t="s">
        <v>28</v>
      </c>
      <c r="D52" s="16" t="s">
        <v>138</v>
      </c>
      <c r="E52" s="17" t="b">
        <f t="shared" ref="E52:K52" si="52">IF(IFERROR(SEARCH(E$1, $D52),0) &gt;= 1, TRUE,FALSE)</f>
        <v>0</v>
      </c>
      <c r="F52" s="17" t="b">
        <f t="shared" si="52"/>
        <v>1</v>
      </c>
      <c r="G52" s="17" t="b">
        <f t="shared" si="52"/>
        <v>1</v>
      </c>
      <c r="H52" s="17" t="b">
        <f t="shared" si="52"/>
        <v>0</v>
      </c>
      <c r="I52" s="17" t="b">
        <f t="shared" si="52"/>
        <v>1</v>
      </c>
      <c r="J52" s="17" t="b">
        <f t="shared" si="52"/>
        <v>0</v>
      </c>
      <c r="K52" s="17" t="b">
        <f t="shared" si="52"/>
        <v>1</v>
      </c>
      <c r="L52" s="17"/>
      <c r="M52" s="47" t="b">
        <v>1</v>
      </c>
      <c r="N52" s="47" t="b">
        <v>1</v>
      </c>
      <c r="O52" s="47" t="b">
        <v>1</v>
      </c>
      <c r="P52" s="47" t="b">
        <v>0</v>
      </c>
      <c r="Q52" s="16" t="str">
        <f t="shared" si="3"/>
        <v>Texture | Museum van Vlas en Textiel</v>
      </c>
      <c r="R52" s="48">
        <v>8.0</v>
      </c>
      <c r="S52" s="47" t="b">
        <v>0</v>
      </c>
      <c r="T52" s="47" t="b">
        <v>1</v>
      </c>
      <c r="U52" s="48">
        <v>8.0</v>
      </c>
      <c r="V52" s="16"/>
      <c r="W52" s="16"/>
      <c r="X52" s="16"/>
      <c r="Y52" s="51"/>
      <c r="Z52" s="16"/>
      <c r="AA52" s="16"/>
      <c r="AB52" s="16"/>
      <c r="AC52" s="16"/>
    </row>
    <row r="53">
      <c r="A53" s="16" t="s">
        <v>139</v>
      </c>
      <c r="B53" s="16" t="s">
        <v>140</v>
      </c>
      <c r="C53" s="17" t="s">
        <v>28</v>
      </c>
      <c r="D53" s="16" t="s">
        <v>7</v>
      </c>
      <c r="E53" s="17" t="b">
        <f t="shared" ref="E53:K53" si="53">IF(IFERROR(SEARCH(E$1, $D53),0) &gt;= 1, TRUE,FALSE)</f>
        <v>0</v>
      </c>
      <c r="F53" s="17" t="b">
        <f t="shared" si="53"/>
        <v>0</v>
      </c>
      <c r="G53" s="17" t="b">
        <f t="shared" si="53"/>
        <v>0</v>
      </c>
      <c r="H53" s="17" t="b">
        <f t="shared" si="53"/>
        <v>1</v>
      </c>
      <c r="I53" s="17" t="b">
        <f t="shared" si="53"/>
        <v>0</v>
      </c>
      <c r="J53" s="17" t="b">
        <f t="shared" si="53"/>
        <v>0</v>
      </c>
      <c r="K53" s="17" t="b">
        <f t="shared" si="53"/>
        <v>0</v>
      </c>
      <c r="L53" s="17"/>
      <c r="M53" s="47" t="b">
        <v>0</v>
      </c>
      <c r="N53" s="47" t="b">
        <v>0</v>
      </c>
      <c r="O53" s="47" t="b">
        <v>0</v>
      </c>
      <c r="P53" s="47" t="b">
        <v>0</v>
      </c>
      <c r="Q53" s="16" t="str">
        <f t="shared" si="3"/>
        <v>Uilenspiegelmuseum</v>
      </c>
      <c r="R53" s="48">
        <v>6.0</v>
      </c>
      <c r="S53" s="47" t="b">
        <v>0</v>
      </c>
      <c r="T53" s="47" t="b">
        <v>0</v>
      </c>
      <c r="U53" s="16"/>
      <c r="V53" s="16"/>
      <c r="W53" s="16"/>
      <c r="X53" s="16"/>
      <c r="Y53" s="51"/>
      <c r="Z53" s="16"/>
      <c r="AA53" s="16"/>
      <c r="AB53" s="16"/>
      <c r="AC53" s="16"/>
    </row>
    <row r="54">
      <c r="A54" s="16" t="s">
        <v>141</v>
      </c>
      <c r="B54" s="16" t="s">
        <v>142</v>
      </c>
      <c r="C54" s="17" t="s">
        <v>28</v>
      </c>
      <c r="D54" s="16" t="s">
        <v>4</v>
      </c>
      <c r="E54" s="17" t="b">
        <f t="shared" ref="E54:K54" si="54">IF(IFERROR(SEARCH(E$1, $D54),0) &gt;= 1, TRUE,FALSE)</f>
        <v>1</v>
      </c>
      <c r="F54" s="17" t="b">
        <f t="shared" si="54"/>
        <v>0</v>
      </c>
      <c r="G54" s="17" t="b">
        <f t="shared" si="54"/>
        <v>0</v>
      </c>
      <c r="H54" s="17" t="b">
        <f t="shared" si="54"/>
        <v>0</v>
      </c>
      <c r="I54" s="17" t="b">
        <f t="shared" si="54"/>
        <v>0</v>
      </c>
      <c r="J54" s="17" t="b">
        <f t="shared" si="54"/>
        <v>0</v>
      </c>
      <c r="K54" s="17" t="b">
        <f t="shared" si="54"/>
        <v>0</v>
      </c>
      <c r="L54" s="17"/>
      <c r="M54" s="47" t="b">
        <v>0</v>
      </c>
      <c r="N54" s="47" t="b">
        <v>0</v>
      </c>
      <c r="O54" s="47" t="b">
        <v>0</v>
      </c>
      <c r="P54" s="47" t="b">
        <v>0</v>
      </c>
      <c r="Q54" s="16" t="str">
        <f t="shared" si="3"/>
        <v>Volkskundemuseum</v>
      </c>
      <c r="R54" s="48">
        <v>8.0</v>
      </c>
      <c r="S54" s="47" t="b">
        <v>0</v>
      </c>
      <c r="T54" s="47" t="b">
        <v>0</v>
      </c>
      <c r="U54" s="16"/>
      <c r="V54" s="16"/>
      <c r="W54" s="16"/>
      <c r="X54" s="16"/>
      <c r="Y54" s="51"/>
      <c r="Z54" s="16"/>
      <c r="AA54" s="16"/>
      <c r="AB54" s="16"/>
      <c r="AC54" s="16"/>
    </row>
    <row r="55">
      <c r="A55" s="16" t="s">
        <v>143</v>
      </c>
      <c r="B55" s="16"/>
      <c r="C55" s="17" t="s">
        <v>28</v>
      </c>
      <c r="D55" s="16" t="s">
        <v>144</v>
      </c>
      <c r="E55" s="17" t="b">
        <f t="shared" ref="E55:K55" si="55">IF(IFERROR(SEARCH(E$1, $D55),0) &gt;= 1, TRUE,FALSE)</f>
        <v>1</v>
      </c>
      <c r="F55" s="17" t="b">
        <f t="shared" si="55"/>
        <v>0</v>
      </c>
      <c r="G55" s="17" t="b">
        <f t="shared" si="55"/>
        <v>0</v>
      </c>
      <c r="H55" s="17" t="b">
        <f t="shared" si="55"/>
        <v>0</v>
      </c>
      <c r="I55" s="17" t="b">
        <f t="shared" si="55"/>
        <v>1</v>
      </c>
      <c r="J55" s="17" t="b">
        <f t="shared" si="55"/>
        <v>0</v>
      </c>
      <c r="K55" s="17" t="b">
        <f t="shared" si="55"/>
        <v>0</v>
      </c>
      <c r="L55" s="17"/>
      <c r="M55" s="47" t="b">
        <v>1</v>
      </c>
      <c r="N55" s="47" t="b">
        <v>0</v>
      </c>
      <c r="O55" s="47" t="b">
        <v>0</v>
      </c>
      <c r="P55" s="47" t="b">
        <v>0</v>
      </c>
      <c r="Q55" s="16" t="str">
        <f t="shared" si="3"/>
        <v>Westfront Nieuwpoort</v>
      </c>
      <c r="R55" s="48">
        <v>9.5</v>
      </c>
      <c r="S55" s="47" t="b">
        <v>0</v>
      </c>
      <c r="T55" s="47" t="b">
        <v>0</v>
      </c>
      <c r="U55" s="16"/>
      <c r="V55" s="16"/>
      <c r="W55" s="16"/>
      <c r="X55" s="16"/>
      <c r="Y55" s="51"/>
      <c r="Z55" s="16"/>
      <c r="AA55" s="16"/>
      <c r="AB55" s="16"/>
      <c r="AC55" s="16"/>
    </row>
    <row r="56">
      <c r="A56" s="16" t="s">
        <v>145</v>
      </c>
      <c r="B56" s="16"/>
      <c r="C56" s="17" t="s">
        <v>28</v>
      </c>
      <c r="D56" s="16" t="s">
        <v>68</v>
      </c>
      <c r="E56" s="17" t="b">
        <f t="shared" ref="E56:K56" si="56">IF(IFERROR(SEARCH(E$1, $D56),0) &gt;= 1, TRUE,FALSE)</f>
        <v>1</v>
      </c>
      <c r="F56" s="17" t="b">
        <f t="shared" si="56"/>
        <v>0</v>
      </c>
      <c r="G56" s="17" t="b">
        <f t="shared" si="56"/>
        <v>0</v>
      </c>
      <c r="H56" s="17" t="b">
        <f t="shared" si="56"/>
        <v>0</v>
      </c>
      <c r="I56" s="17" t="b">
        <f t="shared" si="56"/>
        <v>1</v>
      </c>
      <c r="J56" s="17" t="b">
        <f t="shared" si="56"/>
        <v>1</v>
      </c>
      <c r="K56" s="17" t="b">
        <f t="shared" si="56"/>
        <v>1</v>
      </c>
      <c r="L56" s="17"/>
      <c r="M56" s="47" t="b">
        <v>0</v>
      </c>
      <c r="N56" s="47" t="b">
        <v>1</v>
      </c>
      <c r="O56" s="47" t="b">
        <v>0</v>
      </c>
      <c r="P56" s="47" t="b">
        <v>0</v>
      </c>
      <c r="Q56" s="16" t="str">
        <f t="shared" si="3"/>
        <v>Yper Museum</v>
      </c>
      <c r="R56" s="48">
        <v>8.5</v>
      </c>
      <c r="S56" s="47" t="b">
        <v>0</v>
      </c>
      <c r="T56" s="47" t="b">
        <v>0</v>
      </c>
      <c r="U56" s="16"/>
      <c r="V56" s="16"/>
      <c r="W56" s="16"/>
      <c r="X56" s="16"/>
      <c r="Y56" s="51"/>
      <c r="Z56" s="16"/>
      <c r="AA56" s="16"/>
      <c r="AB56" s="16"/>
      <c r="AC56" s="16"/>
    </row>
    <row r="57">
      <c r="A57" s="16" t="s">
        <v>146</v>
      </c>
      <c r="B57" s="16" t="s">
        <v>147</v>
      </c>
      <c r="C57" s="17" t="s">
        <v>28</v>
      </c>
      <c r="D57" s="16" t="s">
        <v>107</v>
      </c>
      <c r="E57" s="17" t="b">
        <f t="shared" ref="E57:K57" si="57">IF(IFERROR(SEARCH(E$1, $D57),0) &gt;= 1, TRUE,FALSE)</f>
        <v>1</v>
      </c>
      <c r="F57" s="17" t="b">
        <f t="shared" si="57"/>
        <v>1</v>
      </c>
      <c r="G57" s="17" t="b">
        <f t="shared" si="57"/>
        <v>0</v>
      </c>
      <c r="H57" s="17" t="b">
        <f t="shared" si="57"/>
        <v>0</v>
      </c>
      <c r="I57" s="17" t="b">
        <f t="shared" si="57"/>
        <v>0</v>
      </c>
      <c r="J57" s="17" t="b">
        <f t="shared" si="57"/>
        <v>0</v>
      </c>
      <c r="K57" s="17" t="b">
        <f t="shared" si="57"/>
        <v>0</v>
      </c>
      <c r="L57" s="17"/>
      <c r="M57" s="47" t="b">
        <v>1</v>
      </c>
      <c r="N57" s="47" t="b">
        <v>1</v>
      </c>
      <c r="O57" s="47" t="b">
        <v>1</v>
      </c>
      <c r="P57" s="47" t="b">
        <v>1</v>
      </c>
      <c r="Q57" s="16" t="str">
        <f t="shared" si="3"/>
        <v>Zwin Natuur Park</v>
      </c>
      <c r="R57" s="48">
        <v>12.0</v>
      </c>
      <c r="S57" s="47" t="b">
        <v>0</v>
      </c>
      <c r="T57" s="47" t="b">
        <v>1</v>
      </c>
      <c r="U57" s="48">
        <v>14.0</v>
      </c>
      <c r="V57" s="16"/>
      <c r="W57" s="16"/>
      <c r="X57" s="16"/>
      <c r="Y57" s="51"/>
      <c r="Z57" s="16"/>
      <c r="AA57" s="16"/>
      <c r="AB57" s="16"/>
      <c r="AC57" s="16"/>
    </row>
    <row r="58">
      <c r="A58" s="16" t="s">
        <v>148</v>
      </c>
      <c r="B58" s="16"/>
      <c r="C58" s="17" t="s">
        <v>31</v>
      </c>
      <c r="D58" s="16" t="s">
        <v>5</v>
      </c>
      <c r="E58" s="17" t="b">
        <f t="shared" ref="E58:K58" si="58">IF(IFERROR(SEARCH(E$1, $D58),0) &gt;= 1, TRUE,FALSE)</f>
        <v>0</v>
      </c>
      <c r="F58" s="17" t="b">
        <f t="shared" si="58"/>
        <v>1</v>
      </c>
      <c r="G58" s="17" t="b">
        <f t="shared" si="58"/>
        <v>0</v>
      </c>
      <c r="H58" s="17" t="b">
        <f t="shared" si="58"/>
        <v>0</v>
      </c>
      <c r="I58" s="17" t="b">
        <f t="shared" si="58"/>
        <v>0</v>
      </c>
      <c r="J58" s="17" t="b">
        <f t="shared" si="58"/>
        <v>0</v>
      </c>
      <c r="K58" s="17" t="b">
        <f t="shared" si="58"/>
        <v>0</v>
      </c>
      <c r="L58" s="17"/>
      <c r="M58" s="47" t="b">
        <v>1</v>
      </c>
      <c r="N58" s="47" t="b">
        <v>1</v>
      </c>
      <c r="O58" s="47" t="b">
        <v>1</v>
      </c>
      <c r="P58" s="47" t="b">
        <v>1</v>
      </c>
      <c r="Q58" s="16" t="str">
        <f t="shared" si="3"/>
        <v>Arboretum Kalmtout</v>
      </c>
      <c r="R58" s="48">
        <v>8.0</v>
      </c>
      <c r="S58" s="47" t="b">
        <v>0</v>
      </c>
      <c r="T58" s="47" t="b">
        <v>1</v>
      </c>
      <c r="U58" s="48">
        <v>9.5</v>
      </c>
      <c r="V58" s="16"/>
      <c r="W58" s="16"/>
      <c r="X58" s="16"/>
      <c r="Y58" s="51"/>
      <c r="Z58" s="16"/>
      <c r="AA58" s="16"/>
      <c r="AB58" s="16"/>
      <c r="AC58" s="16"/>
    </row>
    <row r="59">
      <c r="A59" s="16" t="s">
        <v>149</v>
      </c>
      <c r="B59" s="16" t="s">
        <v>150</v>
      </c>
      <c r="C59" s="17" t="s">
        <v>31</v>
      </c>
      <c r="D59" s="16" t="s">
        <v>95</v>
      </c>
      <c r="E59" s="17" t="b">
        <f t="shared" ref="E59:K59" si="59">IF(IFERROR(SEARCH(E$1, $D59),0) &gt;= 1, TRUE,FALSE)</f>
        <v>1</v>
      </c>
      <c r="F59" s="17" t="b">
        <f t="shared" si="59"/>
        <v>0</v>
      </c>
      <c r="G59" s="17" t="b">
        <f t="shared" si="59"/>
        <v>0</v>
      </c>
      <c r="H59" s="17" t="b">
        <f t="shared" si="59"/>
        <v>0</v>
      </c>
      <c r="I59" s="17" t="b">
        <f t="shared" si="59"/>
        <v>0</v>
      </c>
      <c r="J59" s="17" t="b">
        <f t="shared" si="59"/>
        <v>1</v>
      </c>
      <c r="K59" s="17" t="b">
        <f t="shared" si="59"/>
        <v>0</v>
      </c>
      <c r="L59" s="17"/>
      <c r="M59" s="47" t="b">
        <v>1</v>
      </c>
      <c r="N59" s="47" t="b">
        <v>0</v>
      </c>
      <c r="O59" s="47" t="b">
        <v>0</v>
      </c>
      <c r="P59" s="47" t="b">
        <v>0</v>
      </c>
      <c r="Q59" s="16" t="str">
        <f t="shared" si="3"/>
        <v>Begijnhofmuseum Turnhout</v>
      </c>
      <c r="R59" s="48">
        <v>5.0</v>
      </c>
      <c r="S59" s="47" t="b">
        <v>0</v>
      </c>
      <c r="T59" s="47" t="b">
        <v>0</v>
      </c>
      <c r="U59" s="16"/>
      <c r="V59" s="16"/>
      <c r="W59" s="16"/>
      <c r="X59" s="16"/>
      <c r="Y59" s="51"/>
      <c r="Z59" s="16"/>
      <c r="AA59" s="16"/>
      <c r="AB59" s="16"/>
      <c r="AC59" s="16"/>
    </row>
    <row r="60">
      <c r="A60" s="16" t="s">
        <v>151</v>
      </c>
      <c r="B60" s="16" t="s">
        <v>152</v>
      </c>
      <c r="C60" s="17" t="s">
        <v>31</v>
      </c>
      <c r="D60" s="16" t="s">
        <v>153</v>
      </c>
      <c r="E60" s="17" t="b">
        <f t="shared" ref="E60:K60" si="60">IF(IFERROR(SEARCH(E$1, $D60),0) &gt;= 1, TRUE,FALSE)</f>
        <v>1</v>
      </c>
      <c r="F60" s="17" t="b">
        <f t="shared" si="60"/>
        <v>1</v>
      </c>
      <c r="G60" s="17" t="b">
        <f t="shared" si="60"/>
        <v>0</v>
      </c>
      <c r="H60" s="17" t="b">
        <f t="shared" si="60"/>
        <v>0</v>
      </c>
      <c r="I60" s="17" t="b">
        <f t="shared" si="60"/>
        <v>0</v>
      </c>
      <c r="J60" s="17" t="b">
        <f t="shared" si="60"/>
        <v>0</v>
      </c>
      <c r="K60" s="17" t="b">
        <f t="shared" si="60"/>
        <v>1</v>
      </c>
      <c r="L60" s="17"/>
      <c r="M60" s="47" t="b">
        <v>1</v>
      </c>
      <c r="N60" s="47" t="b">
        <v>0</v>
      </c>
      <c r="O60" s="47" t="b">
        <v>0</v>
      </c>
      <c r="P60" s="47" t="b">
        <v>0</v>
      </c>
      <c r="Q60" s="16" t="str">
        <f t="shared" si="3"/>
        <v>DIVA | museum voor diamant juwelen en zilver</v>
      </c>
      <c r="R60" s="48">
        <v>12.0</v>
      </c>
      <c r="S60" s="47" t="b">
        <v>0</v>
      </c>
      <c r="T60" s="47" t="b">
        <v>0</v>
      </c>
      <c r="U60" s="16"/>
      <c r="V60" s="16"/>
      <c r="W60" s="16"/>
      <c r="X60" s="16"/>
      <c r="Y60" s="51"/>
      <c r="Z60" s="16"/>
      <c r="AA60" s="16"/>
      <c r="AB60" s="16"/>
      <c r="AC60" s="16"/>
    </row>
    <row r="61">
      <c r="A61" s="16" t="s">
        <v>154</v>
      </c>
      <c r="B61" s="16" t="s">
        <v>155</v>
      </c>
      <c r="C61" s="17" t="s">
        <v>31</v>
      </c>
      <c r="D61" s="16" t="s">
        <v>156</v>
      </c>
      <c r="E61" s="17" t="b">
        <f t="shared" ref="E61:K61" si="61">IF(IFERROR(SEARCH(E$1, $D61),0) &gt;= 1, TRUE,FALSE)</f>
        <v>1</v>
      </c>
      <c r="F61" s="17" t="b">
        <f t="shared" si="61"/>
        <v>0</v>
      </c>
      <c r="G61" s="17" t="b">
        <f t="shared" si="61"/>
        <v>0</v>
      </c>
      <c r="H61" s="17" t="b">
        <f t="shared" si="61"/>
        <v>1</v>
      </c>
      <c r="I61" s="17" t="b">
        <f t="shared" si="61"/>
        <v>0</v>
      </c>
      <c r="J61" s="17" t="b">
        <f t="shared" si="61"/>
        <v>0</v>
      </c>
      <c r="K61" s="17" t="b">
        <f t="shared" si="61"/>
        <v>0</v>
      </c>
      <c r="L61" s="17"/>
      <c r="M61" s="47" t="b">
        <v>0</v>
      </c>
      <c r="N61" s="47" t="b">
        <v>0</v>
      </c>
      <c r="O61" s="47" t="b">
        <v>0</v>
      </c>
      <c r="P61" s="47" t="b">
        <v>0</v>
      </c>
      <c r="Q61" s="16" t="str">
        <f t="shared" si="3"/>
        <v>Erfgoedbibliotheek Hendrik Conscience - Nottebohmzaal</v>
      </c>
      <c r="R61" s="48">
        <v>0.0</v>
      </c>
      <c r="S61" s="47" t="b">
        <v>0</v>
      </c>
      <c r="T61" s="47" t="b">
        <v>0</v>
      </c>
      <c r="U61" s="16"/>
      <c r="V61" s="16"/>
      <c r="W61" s="16"/>
      <c r="X61" s="16"/>
      <c r="Y61" s="51"/>
      <c r="Z61" s="16"/>
      <c r="AA61" s="16"/>
      <c r="AB61" s="16"/>
      <c r="AC61" s="16"/>
    </row>
    <row r="62">
      <c r="A62" s="16" t="s">
        <v>157</v>
      </c>
      <c r="B62" s="16" t="s">
        <v>158</v>
      </c>
      <c r="C62" s="17" t="s">
        <v>31</v>
      </c>
      <c r="D62" s="16" t="s">
        <v>9</v>
      </c>
      <c r="E62" s="17" t="b">
        <f t="shared" ref="E62:K62" si="62">IF(IFERROR(SEARCH(E$1, $D62),0) &gt;= 1, TRUE,FALSE)</f>
        <v>0</v>
      </c>
      <c r="F62" s="17" t="b">
        <f t="shared" si="62"/>
        <v>0</v>
      </c>
      <c r="G62" s="17" t="b">
        <f t="shared" si="62"/>
        <v>0</v>
      </c>
      <c r="H62" s="17" t="b">
        <f t="shared" si="62"/>
        <v>0</v>
      </c>
      <c r="I62" s="17" t="b">
        <f t="shared" si="62"/>
        <v>0</v>
      </c>
      <c r="J62" s="17" t="b">
        <f t="shared" si="62"/>
        <v>1</v>
      </c>
      <c r="K62" s="17" t="b">
        <f t="shared" si="62"/>
        <v>0</v>
      </c>
      <c r="L62" s="17"/>
      <c r="M62" s="47" t="b">
        <v>1</v>
      </c>
      <c r="N62" s="47" t="b">
        <v>1</v>
      </c>
      <c r="O62" s="47" t="b">
        <v>1</v>
      </c>
      <c r="P62" s="47" t="b">
        <v>0</v>
      </c>
      <c r="Q62" s="16" t="str">
        <f t="shared" si="3"/>
        <v>FOMU | Fotomuseum Antwerpen</v>
      </c>
      <c r="R62" s="48">
        <v>12.0</v>
      </c>
      <c r="S62" s="47" t="b">
        <v>0</v>
      </c>
      <c r="T62" s="47" t="b">
        <v>1</v>
      </c>
      <c r="U62" s="48">
        <v>12.0</v>
      </c>
      <c r="V62" s="16"/>
      <c r="W62" s="16"/>
      <c r="X62" s="16"/>
      <c r="Y62" s="51"/>
      <c r="Z62" s="16"/>
      <c r="AA62" s="16"/>
      <c r="AB62" s="16"/>
      <c r="AC62" s="16"/>
    </row>
    <row r="63">
      <c r="A63" s="16" t="s">
        <v>159</v>
      </c>
      <c r="B63" s="16" t="s">
        <v>160</v>
      </c>
      <c r="C63" s="17" t="s">
        <v>31</v>
      </c>
      <c r="D63" s="16" t="s">
        <v>4</v>
      </c>
      <c r="E63" s="17" t="b">
        <f t="shared" ref="E63:K63" si="63">IF(IFERROR(SEARCH(E$1, $D63),0) &gt;= 1, TRUE,FALSE)</f>
        <v>1</v>
      </c>
      <c r="F63" s="17" t="b">
        <f t="shared" si="63"/>
        <v>0</v>
      </c>
      <c r="G63" s="17" t="b">
        <f t="shared" si="63"/>
        <v>0</v>
      </c>
      <c r="H63" s="17" t="b">
        <f t="shared" si="63"/>
        <v>0</v>
      </c>
      <c r="I63" s="17" t="b">
        <f t="shared" si="63"/>
        <v>0</v>
      </c>
      <c r="J63" s="17" t="b">
        <f t="shared" si="63"/>
        <v>0</v>
      </c>
      <c r="K63" s="17" t="b">
        <f t="shared" si="63"/>
        <v>0</v>
      </c>
      <c r="L63" s="17"/>
      <c r="M63" s="47" t="b">
        <v>0</v>
      </c>
      <c r="N63" s="47" t="b">
        <v>0</v>
      </c>
      <c r="O63" s="47" t="b">
        <v>1</v>
      </c>
      <c r="P63" s="47" t="b">
        <v>0</v>
      </c>
      <c r="Q63" s="16" t="str">
        <f t="shared" si="3"/>
        <v>Fort van Breendonk</v>
      </c>
      <c r="R63" s="48">
        <v>12.0</v>
      </c>
      <c r="S63" s="47" t="b">
        <v>0</v>
      </c>
      <c r="T63" s="47" t="b">
        <v>0</v>
      </c>
      <c r="U63" s="16"/>
      <c r="V63" s="16"/>
      <c r="W63" s="16"/>
      <c r="X63" s="16"/>
      <c r="Y63" s="51"/>
      <c r="Z63" s="16"/>
      <c r="AA63" s="16"/>
      <c r="AB63" s="16"/>
      <c r="AC63" s="16"/>
    </row>
    <row r="64">
      <c r="A64" s="16" t="s">
        <v>161</v>
      </c>
      <c r="B64" s="16" t="s">
        <v>162</v>
      </c>
      <c r="C64" s="17" t="s">
        <v>31</v>
      </c>
      <c r="D64" s="16" t="s">
        <v>163</v>
      </c>
      <c r="E64" s="17" t="b">
        <f t="shared" ref="E64:K64" si="64">IF(IFERROR(SEARCH(E$1, $D64),0) &gt;= 1, TRUE,FALSE)</f>
        <v>1</v>
      </c>
      <c r="F64" s="17" t="b">
        <f t="shared" si="64"/>
        <v>1</v>
      </c>
      <c r="G64" s="17" t="b">
        <f t="shared" si="64"/>
        <v>0</v>
      </c>
      <c r="H64" s="17" t="b">
        <f t="shared" si="64"/>
        <v>0</v>
      </c>
      <c r="I64" s="17" t="b">
        <f t="shared" si="64"/>
        <v>1</v>
      </c>
      <c r="J64" s="17" t="b">
        <f t="shared" si="64"/>
        <v>1</v>
      </c>
      <c r="K64" s="17" t="b">
        <f t="shared" si="64"/>
        <v>0</v>
      </c>
      <c r="L64" s="17"/>
      <c r="M64" s="47" t="b">
        <v>1</v>
      </c>
      <c r="N64" s="47" t="b">
        <v>0</v>
      </c>
      <c r="O64" s="47" t="b">
        <v>1</v>
      </c>
      <c r="P64" s="47" t="b">
        <v>0</v>
      </c>
      <c r="Q64" s="16" t="str">
        <f t="shared" si="3"/>
        <v>Gasthuismuseum Geel</v>
      </c>
      <c r="R64" s="48">
        <v>12.0</v>
      </c>
      <c r="S64" s="47" t="b">
        <v>0</v>
      </c>
      <c r="T64" s="47" t="b">
        <v>1</v>
      </c>
      <c r="U64" s="48">
        <v>6.0</v>
      </c>
      <c r="V64" s="16"/>
      <c r="W64" s="16"/>
      <c r="X64" s="16"/>
      <c r="Y64" s="51"/>
      <c r="Z64" s="16"/>
      <c r="AA64" s="16"/>
      <c r="AB64" s="16"/>
      <c r="AC64" s="16"/>
    </row>
    <row r="65">
      <c r="A65" s="16" t="s">
        <v>164</v>
      </c>
      <c r="B65" s="16" t="s">
        <v>165</v>
      </c>
      <c r="C65" s="17" t="s">
        <v>31</v>
      </c>
      <c r="D65" s="16" t="s">
        <v>4</v>
      </c>
      <c r="E65" s="17" t="b">
        <f t="shared" ref="E65:K65" si="65">IF(IFERROR(SEARCH(E$1, $D65),0) &gt;= 1, TRUE,FALSE)</f>
        <v>1</v>
      </c>
      <c r="F65" s="17" t="b">
        <f t="shared" si="65"/>
        <v>0</v>
      </c>
      <c r="G65" s="17" t="b">
        <f t="shared" si="65"/>
        <v>0</v>
      </c>
      <c r="H65" s="17" t="b">
        <f t="shared" si="65"/>
        <v>0</v>
      </c>
      <c r="I65" s="17" t="b">
        <f t="shared" si="65"/>
        <v>0</v>
      </c>
      <c r="J65" s="17" t="b">
        <f t="shared" si="65"/>
        <v>0</v>
      </c>
      <c r="K65" s="17" t="b">
        <f t="shared" si="65"/>
        <v>0</v>
      </c>
      <c r="L65" s="17"/>
      <c r="M65" s="47" t="b">
        <v>1</v>
      </c>
      <c r="N65" s="47" t="b">
        <v>0</v>
      </c>
      <c r="O65" s="47" t="b">
        <v>0</v>
      </c>
      <c r="P65" s="47" t="b">
        <v>0</v>
      </c>
      <c r="Q65" s="16" t="str">
        <f t="shared" si="3"/>
        <v>Het Snijders&amp;Rockoxhuis</v>
      </c>
      <c r="R65" s="48">
        <v>10.0</v>
      </c>
      <c r="S65" s="47" t="b">
        <v>0</v>
      </c>
      <c r="T65" s="47" t="b">
        <v>1</v>
      </c>
      <c r="U65" s="48">
        <v>10.0</v>
      </c>
      <c r="V65" s="16"/>
      <c r="W65" s="16"/>
      <c r="X65" s="16"/>
      <c r="Y65" s="51"/>
      <c r="Z65" s="16"/>
      <c r="AA65" s="16"/>
      <c r="AB65" s="16"/>
      <c r="AC65" s="16"/>
    </row>
    <row r="66">
      <c r="A66" s="16" t="s">
        <v>166</v>
      </c>
      <c r="B66" s="16" t="s">
        <v>167</v>
      </c>
      <c r="C66" s="17" t="s">
        <v>31</v>
      </c>
      <c r="D66" s="16" t="s">
        <v>9</v>
      </c>
      <c r="E66" s="17" t="b">
        <f t="shared" ref="E66:K66" si="66">IF(IFERROR(SEARCH(E$1, $D66),0) &gt;= 1, TRUE,FALSE)</f>
        <v>0</v>
      </c>
      <c r="F66" s="17" t="b">
        <f t="shared" si="66"/>
        <v>0</v>
      </c>
      <c r="G66" s="17" t="b">
        <f t="shared" si="66"/>
        <v>0</v>
      </c>
      <c r="H66" s="17" t="b">
        <f t="shared" si="66"/>
        <v>0</v>
      </c>
      <c r="I66" s="17" t="b">
        <f t="shared" si="66"/>
        <v>0</v>
      </c>
      <c r="J66" s="17" t="b">
        <f t="shared" si="66"/>
        <v>1</v>
      </c>
      <c r="K66" s="17" t="b">
        <f t="shared" si="66"/>
        <v>0</v>
      </c>
      <c r="L66" s="17"/>
      <c r="M66" s="47" t="b">
        <v>1</v>
      </c>
      <c r="N66" s="47" t="b">
        <v>0</v>
      </c>
      <c r="O66" s="47" t="b">
        <v>1</v>
      </c>
      <c r="P66" s="47" t="b">
        <v>0</v>
      </c>
      <c r="Q66" s="16" t="str">
        <f t="shared" si="3"/>
        <v>Jakob Smitsmuseum</v>
      </c>
      <c r="R66" s="48">
        <v>5.0</v>
      </c>
      <c r="S66" s="47" t="b">
        <v>0</v>
      </c>
      <c r="T66" s="47" t="b">
        <v>1</v>
      </c>
      <c r="U66" s="48">
        <v>5.0</v>
      </c>
      <c r="V66" s="16"/>
      <c r="W66" s="16"/>
      <c r="X66" s="16"/>
      <c r="Y66" s="51"/>
      <c r="Z66" s="16"/>
      <c r="AA66" s="16"/>
      <c r="AB66" s="16"/>
      <c r="AC66" s="16"/>
    </row>
    <row r="67">
      <c r="A67" s="16" t="s">
        <v>168</v>
      </c>
      <c r="B67" s="16" t="s">
        <v>169</v>
      </c>
      <c r="C67" s="17" t="s">
        <v>31</v>
      </c>
      <c r="D67" s="16" t="s">
        <v>107</v>
      </c>
      <c r="E67" s="17" t="b">
        <f t="shared" ref="E67:K67" si="67">IF(IFERROR(SEARCH(E$1, $D67),0) &gt;= 1, TRUE,FALSE)</f>
        <v>1</v>
      </c>
      <c r="F67" s="17" t="b">
        <f t="shared" si="67"/>
        <v>1</v>
      </c>
      <c r="G67" s="17" t="b">
        <f t="shared" si="67"/>
        <v>0</v>
      </c>
      <c r="H67" s="17" t="b">
        <f t="shared" si="67"/>
        <v>0</v>
      </c>
      <c r="I67" s="17" t="b">
        <f t="shared" si="67"/>
        <v>0</v>
      </c>
      <c r="J67" s="17" t="b">
        <f t="shared" si="67"/>
        <v>0</v>
      </c>
      <c r="K67" s="17" t="b">
        <f t="shared" si="67"/>
        <v>0</v>
      </c>
      <c r="L67" s="17"/>
      <c r="M67" s="47" t="b">
        <v>1</v>
      </c>
      <c r="N67" s="47" t="b">
        <v>1</v>
      </c>
      <c r="O67" s="47" t="b">
        <v>1</v>
      </c>
      <c r="P67" s="47" t="b">
        <v>1</v>
      </c>
      <c r="Q67" s="16" t="str">
        <f t="shared" si="3"/>
        <v>Karrenmuseum Essen</v>
      </c>
      <c r="R67" s="48">
        <v>6.0</v>
      </c>
      <c r="S67" s="47" t="b">
        <v>0</v>
      </c>
      <c r="T67" s="47" t="b">
        <v>0</v>
      </c>
      <c r="U67" s="16"/>
      <c r="V67" s="16"/>
      <c r="W67" s="16"/>
      <c r="X67" s="16"/>
      <c r="Y67" s="51"/>
      <c r="Z67" s="16"/>
      <c r="AA67" s="16"/>
      <c r="AB67" s="16"/>
      <c r="AC67" s="16"/>
    </row>
    <row r="68">
      <c r="A68" s="16" t="s">
        <v>170</v>
      </c>
      <c r="B68" s="16" t="s">
        <v>171</v>
      </c>
      <c r="C68" s="17" t="s">
        <v>31</v>
      </c>
      <c r="D68" s="16" t="s">
        <v>4</v>
      </c>
      <c r="E68" s="17" t="b">
        <f t="shared" ref="E68:K68" si="68">IF(IFERROR(SEARCH(E$1, $D68),0) &gt;= 1, TRUE,FALSE)</f>
        <v>1</v>
      </c>
      <c r="F68" s="17" t="b">
        <f t="shared" si="68"/>
        <v>0</v>
      </c>
      <c r="G68" s="17" t="b">
        <f t="shared" si="68"/>
        <v>0</v>
      </c>
      <c r="H68" s="17" t="b">
        <f t="shared" si="68"/>
        <v>0</v>
      </c>
      <c r="I68" s="17" t="b">
        <f t="shared" si="68"/>
        <v>0</v>
      </c>
      <c r="J68" s="17" t="b">
        <f t="shared" si="68"/>
        <v>0</v>
      </c>
      <c r="K68" s="17" t="b">
        <f t="shared" si="68"/>
        <v>0</v>
      </c>
      <c r="L68" s="17"/>
      <c r="M68" s="47" t="b">
        <v>1</v>
      </c>
      <c r="N68" s="47" t="b">
        <v>0</v>
      </c>
      <c r="O68" s="47" t="b">
        <v>1</v>
      </c>
      <c r="P68" s="47" t="b">
        <v>0</v>
      </c>
      <c r="Q68" s="16" t="str">
        <f t="shared" si="3"/>
        <v>Kazerne Dossin</v>
      </c>
      <c r="R68" s="48">
        <v>12.0</v>
      </c>
      <c r="S68" s="47" t="b">
        <v>0</v>
      </c>
      <c r="T68" s="47" t="b">
        <v>1</v>
      </c>
      <c r="U68" s="48">
        <v>10.0</v>
      </c>
      <c r="V68" s="16"/>
      <c r="W68" s="16"/>
      <c r="X68" s="16"/>
      <c r="Y68" s="51"/>
      <c r="Z68" s="16"/>
      <c r="AA68" s="16"/>
      <c r="AB68" s="16"/>
      <c r="AC68" s="16"/>
    </row>
    <row r="69">
      <c r="A69" s="16" t="s">
        <v>172</v>
      </c>
      <c r="B69" s="16" t="s">
        <v>173</v>
      </c>
      <c r="C69" s="17" t="s">
        <v>31</v>
      </c>
      <c r="D69" s="16" t="s">
        <v>9</v>
      </c>
      <c r="E69" s="17" t="b">
        <f t="shared" ref="E69:K69" si="69">IF(IFERROR(SEARCH(E$1, $D69),0) &gt;= 1, TRUE,FALSE)</f>
        <v>0</v>
      </c>
      <c r="F69" s="17" t="b">
        <f t="shared" si="69"/>
        <v>0</v>
      </c>
      <c r="G69" s="17" t="b">
        <f t="shared" si="69"/>
        <v>0</v>
      </c>
      <c r="H69" s="17" t="b">
        <f t="shared" si="69"/>
        <v>0</v>
      </c>
      <c r="I69" s="17" t="b">
        <f t="shared" si="69"/>
        <v>0</v>
      </c>
      <c r="J69" s="17" t="b">
        <f t="shared" si="69"/>
        <v>1</v>
      </c>
      <c r="K69" s="17" t="b">
        <f t="shared" si="69"/>
        <v>0</v>
      </c>
      <c r="L69" s="17"/>
      <c r="M69" s="47" t="b">
        <v>1</v>
      </c>
      <c r="N69" s="47" t="b">
        <v>1</v>
      </c>
      <c r="O69" s="47" t="b">
        <v>0</v>
      </c>
      <c r="P69" s="47" t="b">
        <v>1</v>
      </c>
      <c r="Q69" s="16" t="str">
        <f t="shared" si="3"/>
        <v>KMSKA | Koninklijk Museum voor Schone Kunsten Antwerpen</v>
      </c>
      <c r="R69" s="48">
        <v>20.0</v>
      </c>
      <c r="S69" s="47" t="b">
        <v>0</v>
      </c>
      <c r="T69" s="47" t="b">
        <v>1</v>
      </c>
      <c r="U69" s="48">
        <v>20.0</v>
      </c>
      <c r="V69" s="16"/>
      <c r="W69" s="16"/>
      <c r="X69" s="16"/>
      <c r="Y69" s="51"/>
      <c r="Z69" s="16"/>
      <c r="AA69" s="16"/>
      <c r="AB69" s="16"/>
      <c r="AC69" s="16"/>
    </row>
    <row r="70">
      <c r="A70" s="16" t="s">
        <v>174</v>
      </c>
      <c r="B70" s="16"/>
      <c r="C70" s="17" t="s">
        <v>31</v>
      </c>
      <c r="D70" s="16" t="s">
        <v>9</v>
      </c>
      <c r="E70" s="17" t="b">
        <f t="shared" ref="E70:K70" si="70">IF(IFERROR(SEARCH(E$1, $D70),0) &gt;= 1, TRUE,FALSE)</f>
        <v>0</v>
      </c>
      <c r="F70" s="17" t="b">
        <f t="shared" si="70"/>
        <v>0</v>
      </c>
      <c r="G70" s="17" t="b">
        <f t="shared" si="70"/>
        <v>0</v>
      </c>
      <c r="H70" s="17" t="b">
        <f t="shared" si="70"/>
        <v>0</v>
      </c>
      <c r="I70" s="17" t="b">
        <f t="shared" si="70"/>
        <v>0</v>
      </c>
      <c r="J70" s="17" t="b">
        <f t="shared" si="70"/>
        <v>1</v>
      </c>
      <c r="K70" s="17" t="b">
        <f t="shared" si="70"/>
        <v>0</v>
      </c>
      <c r="L70" s="17"/>
      <c r="M70" s="47" t="b">
        <v>1</v>
      </c>
      <c r="N70" s="47" t="b">
        <v>1</v>
      </c>
      <c r="O70" s="47" t="b">
        <v>0</v>
      </c>
      <c r="P70" s="47" t="b">
        <v>0</v>
      </c>
      <c r="Q70" s="16" t="str">
        <f t="shared" si="3"/>
        <v>Kunsthal Extra City</v>
      </c>
      <c r="R70" s="48">
        <v>7.0</v>
      </c>
      <c r="S70" s="47" t="b">
        <v>0</v>
      </c>
      <c r="T70" s="47" t="b">
        <v>1</v>
      </c>
      <c r="U70" s="48">
        <v>7.0</v>
      </c>
      <c r="V70" s="16"/>
      <c r="W70" s="16"/>
      <c r="X70" s="16"/>
      <c r="Y70" s="51"/>
      <c r="Z70" s="16"/>
      <c r="AA70" s="16"/>
      <c r="AB70" s="16"/>
      <c r="AC70" s="16"/>
    </row>
    <row r="71">
      <c r="A71" s="16" t="s">
        <v>175</v>
      </c>
      <c r="B71" s="16" t="s">
        <v>176</v>
      </c>
      <c r="C71" s="17" t="s">
        <v>31</v>
      </c>
      <c r="D71" s="16" t="s">
        <v>9</v>
      </c>
      <c r="E71" s="17" t="b">
        <f t="shared" ref="E71:K71" si="71">IF(IFERROR(SEARCH(E$1, $D71),0) &gt;= 1, TRUE,FALSE)</f>
        <v>0</v>
      </c>
      <c r="F71" s="17" t="b">
        <f t="shared" si="71"/>
        <v>0</v>
      </c>
      <c r="G71" s="17" t="b">
        <f t="shared" si="71"/>
        <v>0</v>
      </c>
      <c r="H71" s="17" t="b">
        <f t="shared" si="71"/>
        <v>0</v>
      </c>
      <c r="I71" s="17" t="b">
        <f t="shared" si="71"/>
        <v>0</v>
      </c>
      <c r="J71" s="17" t="b">
        <f t="shared" si="71"/>
        <v>1</v>
      </c>
      <c r="K71" s="17" t="b">
        <f t="shared" si="71"/>
        <v>0</v>
      </c>
      <c r="L71" s="17"/>
      <c r="M71" s="47" t="b">
        <v>1</v>
      </c>
      <c r="N71" s="47" t="b">
        <v>1</v>
      </c>
      <c r="O71" s="47" t="b">
        <v>0</v>
      </c>
      <c r="P71" s="47" t="b">
        <v>0</v>
      </c>
      <c r="Q71" s="16" t="str">
        <f t="shared" si="3"/>
        <v>Kunsthal Mechelen</v>
      </c>
      <c r="R71" s="48">
        <v>5.0</v>
      </c>
      <c r="S71" s="47" t="b">
        <v>0</v>
      </c>
      <c r="T71" s="47" t="b">
        <v>1</v>
      </c>
      <c r="U71" s="48">
        <v>5.0</v>
      </c>
      <c r="V71" s="16"/>
      <c r="W71" s="16"/>
      <c r="X71" s="16"/>
      <c r="Y71" s="51"/>
      <c r="Z71" s="16"/>
      <c r="AA71" s="16"/>
      <c r="AB71" s="16"/>
      <c r="AC71" s="16"/>
    </row>
    <row r="72">
      <c r="A72" s="16" t="s">
        <v>177</v>
      </c>
      <c r="B72" s="16"/>
      <c r="C72" s="17" t="s">
        <v>31</v>
      </c>
      <c r="D72" s="16" t="s">
        <v>79</v>
      </c>
      <c r="E72" s="17" t="b">
        <f t="shared" ref="E72:K72" si="72">IF(IFERROR(SEARCH(E$1, $D72),0) &gt;= 1, TRUE,FALSE)</f>
        <v>1</v>
      </c>
      <c r="F72" s="17" t="b">
        <f t="shared" si="72"/>
        <v>0</v>
      </c>
      <c r="G72" s="17" t="b">
        <f t="shared" si="72"/>
        <v>0</v>
      </c>
      <c r="H72" s="17" t="b">
        <f t="shared" si="72"/>
        <v>0</v>
      </c>
      <c r="I72" s="17" t="b">
        <f t="shared" si="72"/>
        <v>0</v>
      </c>
      <c r="J72" s="17" t="b">
        <f t="shared" si="72"/>
        <v>1</v>
      </c>
      <c r="K72" s="17" t="b">
        <f t="shared" si="72"/>
        <v>1</v>
      </c>
      <c r="L72" s="17"/>
      <c r="M72" s="47" t="b">
        <v>1</v>
      </c>
      <c r="N72" s="47" t="b">
        <v>1</v>
      </c>
      <c r="O72" s="47" t="b">
        <v>0</v>
      </c>
      <c r="P72" s="47" t="b">
        <v>1</v>
      </c>
      <c r="Q72" s="16" t="str">
        <f t="shared" si="3"/>
        <v>MAS | Museum aan de Stroom</v>
      </c>
      <c r="R72" s="48">
        <v>10.0</v>
      </c>
      <c r="S72" s="47" t="b">
        <v>0</v>
      </c>
      <c r="T72" s="47" t="b">
        <v>1</v>
      </c>
      <c r="U72" s="48">
        <v>10.0</v>
      </c>
      <c r="V72" s="16"/>
      <c r="W72" s="16"/>
      <c r="X72" s="16"/>
      <c r="Y72" s="51"/>
      <c r="Z72" s="16"/>
      <c r="AA72" s="16"/>
      <c r="AB72" s="16"/>
      <c r="AC72" s="16"/>
    </row>
    <row r="73">
      <c r="A73" s="16" t="s">
        <v>178</v>
      </c>
      <c r="B73" s="16" t="s">
        <v>179</v>
      </c>
      <c r="C73" s="17" t="s">
        <v>31</v>
      </c>
      <c r="D73" s="16" t="s">
        <v>180</v>
      </c>
      <c r="E73" s="17" t="b">
        <f t="shared" ref="E73:K73" si="73">IF(IFERROR(SEARCH(E$1, $D73),0) &gt;= 1, TRUE,FALSE)</f>
        <v>0</v>
      </c>
      <c r="F73" s="17" t="b">
        <f t="shared" si="73"/>
        <v>0</v>
      </c>
      <c r="G73" s="17" t="b">
        <f t="shared" si="73"/>
        <v>0</v>
      </c>
      <c r="H73" s="17" t="b">
        <f t="shared" si="73"/>
        <v>0</v>
      </c>
      <c r="I73" s="17" t="b">
        <f t="shared" si="73"/>
        <v>0</v>
      </c>
      <c r="J73" s="17" t="b">
        <f t="shared" si="73"/>
        <v>1</v>
      </c>
      <c r="K73" s="17" t="b">
        <f t="shared" si="73"/>
        <v>1</v>
      </c>
      <c r="L73" s="17"/>
      <c r="M73" s="47" t="b">
        <v>1</v>
      </c>
      <c r="N73" s="47" t="b">
        <v>1</v>
      </c>
      <c r="O73" s="47" t="b">
        <v>0</v>
      </c>
      <c r="P73" s="47" t="b">
        <v>0</v>
      </c>
      <c r="Q73" s="16" t="str">
        <f t="shared" si="3"/>
        <v>M HKA | Museum van Hedendaagse Kunst Antwerpen</v>
      </c>
      <c r="R73" s="48">
        <v>14.0</v>
      </c>
      <c r="S73" s="47" t="b">
        <v>0</v>
      </c>
      <c r="T73" s="47" t="b">
        <v>1</v>
      </c>
      <c r="U73" s="48">
        <v>14.0</v>
      </c>
      <c r="V73" s="16"/>
      <c r="W73" s="16"/>
      <c r="X73" s="16"/>
      <c r="Y73" s="51"/>
      <c r="Z73" s="16"/>
      <c r="AA73" s="16"/>
      <c r="AB73" s="16"/>
      <c r="AC73" s="16"/>
    </row>
    <row r="74">
      <c r="A74" s="16" t="s">
        <v>181</v>
      </c>
      <c r="B74" s="16" t="s">
        <v>182</v>
      </c>
      <c r="C74" s="17" t="s">
        <v>31</v>
      </c>
      <c r="D74" s="16" t="s">
        <v>180</v>
      </c>
      <c r="E74" s="17" t="b">
        <f t="shared" ref="E74:K74" si="74">IF(IFERROR(SEARCH(E$1, $D74),0) &gt;= 1, TRUE,FALSE)</f>
        <v>0</v>
      </c>
      <c r="F74" s="17" t="b">
        <f t="shared" si="74"/>
        <v>0</v>
      </c>
      <c r="G74" s="17" t="b">
        <f t="shared" si="74"/>
        <v>0</v>
      </c>
      <c r="H74" s="17" t="b">
        <f t="shared" si="74"/>
        <v>0</v>
      </c>
      <c r="I74" s="17" t="b">
        <f t="shared" si="74"/>
        <v>0</v>
      </c>
      <c r="J74" s="17" t="b">
        <f t="shared" si="74"/>
        <v>1</v>
      </c>
      <c r="K74" s="17" t="b">
        <f t="shared" si="74"/>
        <v>1</v>
      </c>
      <c r="L74" s="17"/>
      <c r="M74" s="47" t="b">
        <v>1</v>
      </c>
      <c r="N74" s="47" t="b">
        <v>1</v>
      </c>
      <c r="O74" s="47" t="b">
        <v>0</v>
      </c>
      <c r="P74" s="47" t="b">
        <v>0</v>
      </c>
      <c r="Q74" s="16" t="str">
        <f t="shared" si="3"/>
        <v>Middelheimmuseum</v>
      </c>
      <c r="R74" s="48">
        <v>0.0</v>
      </c>
      <c r="S74" s="47" t="b">
        <v>0</v>
      </c>
      <c r="T74" s="47" t="b">
        <v>1</v>
      </c>
      <c r="U74" s="48">
        <v>0.0</v>
      </c>
      <c r="V74" s="16"/>
      <c r="W74" s="16"/>
      <c r="X74" s="16"/>
      <c r="Y74" s="51"/>
      <c r="Z74" s="16"/>
      <c r="AA74" s="16"/>
      <c r="AB74" s="16"/>
      <c r="AC74" s="16"/>
    </row>
    <row r="75">
      <c r="A75" s="16" t="s">
        <v>183</v>
      </c>
      <c r="B75" s="16" t="s">
        <v>184</v>
      </c>
      <c r="C75" s="17" t="s">
        <v>31</v>
      </c>
      <c r="D75" s="16" t="s">
        <v>185</v>
      </c>
      <c r="E75" s="17" t="b">
        <f t="shared" ref="E75:K75" si="75">IF(IFERROR(SEARCH(E$1, $D75),0) &gt;= 1, TRUE,FALSE)</f>
        <v>0</v>
      </c>
      <c r="F75" s="17" t="b">
        <f t="shared" si="75"/>
        <v>0</v>
      </c>
      <c r="G75" s="17" t="b">
        <f t="shared" si="75"/>
        <v>1</v>
      </c>
      <c r="H75" s="17" t="b">
        <f t="shared" si="75"/>
        <v>0</v>
      </c>
      <c r="I75" s="17" t="b">
        <f t="shared" si="75"/>
        <v>0</v>
      </c>
      <c r="J75" s="17" t="b">
        <f t="shared" si="75"/>
        <v>0</v>
      </c>
      <c r="K75" s="17" t="b">
        <f t="shared" si="75"/>
        <v>1</v>
      </c>
      <c r="L75" s="17"/>
      <c r="M75" s="47" t="b">
        <v>1</v>
      </c>
      <c r="N75" s="47" t="b">
        <v>1</v>
      </c>
      <c r="O75" s="47" t="b">
        <v>0</v>
      </c>
      <c r="P75" s="47" t="b">
        <v>0</v>
      </c>
      <c r="Q75" s="16" t="str">
        <f t="shared" si="3"/>
        <v>MoMu | ModeMuseum Antwerpen</v>
      </c>
      <c r="R75" s="48">
        <v>12.0</v>
      </c>
      <c r="S75" s="47" t="b">
        <v>0</v>
      </c>
      <c r="T75" s="47" t="b">
        <v>1</v>
      </c>
      <c r="U75" s="48">
        <v>12.0</v>
      </c>
      <c r="V75" s="16"/>
      <c r="W75" s="16"/>
      <c r="X75" s="16"/>
      <c r="Y75" s="51"/>
      <c r="Z75" s="16"/>
      <c r="AA75" s="16"/>
      <c r="AB75" s="16"/>
      <c r="AC75" s="16"/>
    </row>
    <row r="76">
      <c r="A76" s="16" t="s">
        <v>186</v>
      </c>
      <c r="B76" s="16" t="s">
        <v>187</v>
      </c>
      <c r="C76" s="17" t="s">
        <v>31</v>
      </c>
      <c r="D76" s="16" t="s">
        <v>9</v>
      </c>
      <c r="E76" s="17" t="b">
        <f t="shared" ref="E76:K76" si="76">IF(IFERROR(SEARCH(E$1, $D76),0) &gt;= 1, TRUE,FALSE)</f>
        <v>0</v>
      </c>
      <c r="F76" s="17" t="b">
        <f t="shared" si="76"/>
        <v>0</v>
      </c>
      <c r="G76" s="17" t="b">
        <f t="shared" si="76"/>
        <v>0</v>
      </c>
      <c r="H76" s="17" t="b">
        <f t="shared" si="76"/>
        <v>0</v>
      </c>
      <c r="I76" s="17" t="b">
        <f t="shared" si="76"/>
        <v>0</v>
      </c>
      <c r="J76" s="17" t="b">
        <f t="shared" si="76"/>
        <v>1</v>
      </c>
      <c r="K76" s="17" t="b">
        <f t="shared" si="76"/>
        <v>0</v>
      </c>
      <c r="L76" s="17"/>
      <c r="M76" s="47" t="b">
        <v>1</v>
      </c>
      <c r="N76" s="47" t="b">
        <v>0</v>
      </c>
      <c r="O76" s="47" t="b">
        <v>0</v>
      </c>
      <c r="P76" s="47" t="b">
        <v>0</v>
      </c>
      <c r="Q76" s="16" t="str">
        <f t="shared" si="3"/>
        <v>Museum De Reede</v>
      </c>
      <c r="R76" s="48">
        <v>15.0</v>
      </c>
      <c r="S76" s="47" t="b">
        <v>0</v>
      </c>
      <c r="T76" s="47" t="b">
        <v>1</v>
      </c>
      <c r="U76" s="48">
        <v>15.0</v>
      </c>
      <c r="V76" s="16"/>
      <c r="W76" s="16"/>
      <c r="X76" s="16"/>
      <c r="Y76" s="51"/>
      <c r="Z76" s="16"/>
      <c r="AA76" s="16"/>
      <c r="AB76" s="16"/>
      <c r="AC76" s="16"/>
    </row>
    <row r="77">
      <c r="A77" s="16" t="s">
        <v>188</v>
      </c>
      <c r="B77" s="16" t="s">
        <v>189</v>
      </c>
      <c r="C77" s="17" t="s">
        <v>31</v>
      </c>
      <c r="D77" s="16" t="s">
        <v>4</v>
      </c>
      <c r="E77" s="17" t="b">
        <f t="shared" ref="E77:K77" si="77">IF(IFERROR(SEARCH(E$1, $D77),0) &gt;= 1, TRUE,FALSE)</f>
        <v>1</v>
      </c>
      <c r="F77" s="17" t="b">
        <f t="shared" si="77"/>
        <v>0</v>
      </c>
      <c r="G77" s="17" t="b">
        <f t="shared" si="77"/>
        <v>0</v>
      </c>
      <c r="H77" s="17" t="b">
        <f t="shared" si="77"/>
        <v>0</v>
      </c>
      <c r="I77" s="17" t="b">
        <f t="shared" si="77"/>
        <v>0</v>
      </c>
      <c r="J77" s="17" t="b">
        <f t="shared" si="77"/>
        <v>0</v>
      </c>
      <c r="K77" s="17" t="b">
        <f t="shared" si="77"/>
        <v>0</v>
      </c>
      <c r="L77" s="17"/>
      <c r="M77" s="47" t="b">
        <v>1</v>
      </c>
      <c r="N77" s="47" t="b">
        <v>1</v>
      </c>
      <c r="O77" s="47" t="b">
        <v>1</v>
      </c>
      <c r="P77" s="47" t="b">
        <v>1</v>
      </c>
      <c r="Q77" s="16" t="str">
        <f t="shared" si="3"/>
        <v>Museum Fort Liezele</v>
      </c>
      <c r="R77" s="48">
        <v>12.0</v>
      </c>
      <c r="S77" s="47" t="b">
        <v>0</v>
      </c>
      <c r="T77" s="47" t="b">
        <v>0</v>
      </c>
      <c r="U77" s="16"/>
      <c r="V77" s="16"/>
      <c r="W77" s="16"/>
      <c r="X77" s="16"/>
      <c r="Y77" s="51"/>
      <c r="Z77" s="16"/>
      <c r="AA77" s="16"/>
      <c r="AB77" s="16"/>
      <c r="AC77" s="16"/>
    </row>
    <row r="78">
      <c r="A78" s="16" t="s">
        <v>190</v>
      </c>
      <c r="B78" s="16"/>
      <c r="C78" s="17" t="s">
        <v>31</v>
      </c>
      <c r="D78" s="16" t="s">
        <v>4</v>
      </c>
      <c r="E78" s="17" t="b">
        <f t="shared" ref="E78:K78" si="78">IF(IFERROR(SEARCH(E$1, $D78),0) &gt;= 1, TRUE,FALSE)</f>
        <v>1</v>
      </c>
      <c r="F78" s="17" t="b">
        <f t="shared" si="78"/>
        <v>0</v>
      </c>
      <c r="G78" s="17" t="b">
        <f t="shared" si="78"/>
        <v>0</v>
      </c>
      <c r="H78" s="17" t="b">
        <f t="shared" si="78"/>
        <v>0</v>
      </c>
      <c r="I78" s="17" t="b">
        <f t="shared" si="78"/>
        <v>0</v>
      </c>
      <c r="J78" s="17" t="b">
        <f t="shared" si="78"/>
        <v>0</v>
      </c>
      <c r="K78" s="17" t="b">
        <f t="shared" si="78"/>
        <v>0</v>
      </c>
      <c r="L78" s="17"/>
      <c r="M78" s="47" t="b">
        <v>1</v>
      </c>
      <c r="N78" s="47" t="b">
        <v>1</v>
      </c>
      <c r="O78" s="47" t="b">
        <v>0</v>
      </c>
      <c r="P78" s="47" t="b">
        <v>0</v>
      </c>
      <c r="Q78" s="16" t="str">
        <f t="shared" si="3"/>
        <v>Museum Hof van Busleyden</v>
      </c>
      <c r="R78" s="48">
        <v>15.0</v>
      </c>
      <c r="S78" s="47" t="b">
        <v>0</v>
      </c>
      <c r="T78" s="47" t="b">
        <v>1</v>
      </c>
      <c r="U78" s="48">
        <v>15.0</v>
      </c>
      <c r="V78" s="16"/>
      <c r="W78" s="16"/>
      <c r="X78" s="16"/>
      <c r="Y78" s="51"/>
      <c r="Z78" s="16"/>
      <c r="AA78" s="16"/>
      <c r="AB78" s="16"/>
      <c r="AC78" s="16"/>
    </row>
    <row r="79">
      <c r="A79" s="16" t="s">
        <v>191</v>
      </c>
      <c r="B79" s="16" t="s">
        <v>192</v>
      </c>
      <c r="C79" s="17" t="s">
        <v>31</v>
      </c>
      <c r="D79" s="16" t="s">
        <v>95</v>
      </c>
      <c r="E79" s="17" t="b">
        <f t="shared" ref="E79:K79" si="79">IF(IFERROR(SEARCH(E$1, $D79),0) &gt;= 1, TRUE,FALSE)</f>
        <v>1</v>
      </c>
      <c r="F79" s="17" t="b">
        <f t="shared" si="79"/>
        <v>0</v>
      </c>
      <c r="G79" s="17" t="b">
        <f t="shared" si="79"/>
        <v>0</v>
      </c>
      <c r="H79" s="17" t="b">
        <f t="shared" si="79"/>
        <v>0</v>
      </c>
      <c r="I79" s="17" t="b">
        <f t="shared" si="79"/>
        <v>0</v>
      </c>
      <c r="J79" s="17" t="b">
        <f t="shared" si="79"/>
        <v>1</v>
      </c>
      <c r="K79" s="17" t="b">
        <f t="shared" si="79"/>
        <v>0</v>
      </c>
      <c r="L79" s="17"/>
      <c r="M79" s="47" t="b">
        <v>1</v>
      </c>
      <c r="N79" s="47" t="b">
        <v>0</v>
      </c>
      <c r="O79" s="47" t="b">
        <v>0</v>
      </c>
      <c r="P79" s="47" t="b">
        <v>0</v>
      </c>
      <c r="Q79" s="16" t="str">
        <f t="shared" si="3"/>
        <v>Museum Mayer van den Bergh</v>
      </c>
      <c r="R79" s="48">
        <v>10.0</v>
      </c>
      <c r="S79" s="47" t="b">
        <v>1</v>
      </c>
      <c r="T79" s="47" t="b">
        <v>0</v>
      </c>
      <c r="U79" s="16"/>
      <c r="V79" s="16"/>
      <c r="W79" s="16"/>
      <c r="X79" s="16"/>
      <c r="Y79" s="51"/>
      <c r="Z79" s="16"/>
      <c r="AA79" s="16"/>
      <c r="AB79" s="16"/>
      <c r="AC79" s="16"/>
    </row>
    <row r="80">
      <c r="A80" s="16" t="s">
        <v>193</v>
      </c>
      <c r="B80" s="16" t="s">
        <v>194</v>
      </c>
      <c r="C80" s="17" t="s">
        <v>31</v>
      </c>
      <c r="D80" s="16" t="s">
        <v>195</v>
      </c>
      <c r="E80" s="17" t="b">
        <f t="shared" ref="E80:K80" si="80">IF(IFERROR(SEARCH(E$1, $D80),0) &gt;= 1, TRUE,FALSE)</f>
        <v>1</v>
      </c>
      <c r="F80" s="17" t="b">
        <f t="shared" si="80"/>
        <v>1</v>
      </c>
      <c r="G80" s="17" t="b">
        <f t="shared" si="80"/>
        <v>0</v>
      </c>
      <c r="H80" s="17" t="b">
        <f t="shared" si="80"/>
        <v>1</v>
      </c>
      <c r="I80" s="17" t="b">
        <f t="shared" si="80"/>
        <v>1</v>
      </c>
      <c r="J80" s="17" t="b">
        <f t="shared" si="80"/>
        <v>1</v>
      </c>
      <c r="K80" s="17" t="b">
        <f t="shared" si="80"/>
        <v>0</v>
      </c>
      <c r="L80" s="17"/>
      <c r="M80" s="47" t="b">
        <v>1</v>
      </c>
      <c r="N80" s="47" t="b">
        <v>0</v>
      </c>
      <c r="O80" s="47" t="b">
        <v>0</v>
      </c>
      <c r="P80" s="47" t="b">
        <v>0</v>
      </c>
      <c r="Q80" s="16" t="str">
        <f t="shared" si="3"/>
        <v>Museum Plantin-Moretus</v>
      </c>
      <c r="R80" s="48">
        <v>12.0</v>
      </c>
      <c r="S80" s="47" t="b">
        <v>0</v>
      </c>
      <c r="T80" s="47" t="b">
        <v>1</v>
      </c>
      <c r="U80" s="48">
        <v>12.0</v>
      </c>
      <c r="V80" s="16"/>
      <c r="W80" s="16"/>
      <c r="X80" s="16"/>
      <c r="Y80" s="51"/>
      <c r="Z80" s="16"/>
      <c r="AA80" s="16"/>
      <c r="AB80" s="16"/>
      <c r="AC80" s="16"/>
    </row>
    <row r="81">
      <c r="A81" s="16" t="s">
        <v>196</v>
      </c>
      <c r="B81" s="16" t="s">
        <v>197</v>
      </c>
      <c r="C81" s="17" t="s">
        <v>31</v>
      </c>
      <c r="D81" s="16" t="s">
        <v>198</v>
      </c>
      <c r="E81" s="17" t="b">
        <f t="shared" ref="E81:K81" si="81">IF(IFERROR(SEARCH(E$1, $D81),0) &gt;= 1, TRUE,FALSE)</f>
        <v>1</v>
      </c>
      <c r="F81" s="17" t="b">
        <f t="shared" si="81"/>
        <v>0</v>
      </c>
      <c r="G81" s="17" t="b">
        <f t="shared" si="81"/>
        <v>0</v>
      </c>
      <c r="H81" s="17" t="b">
        <f t="shared" si="81"/>
        <v>0</v>
      </c>
      <c r="I81" s="17" t="b">
        <f t="shared" si="81"/>
        <v>1</v>
      </c>
      <c r="J81" s="17" t="b">
        <f t="shared" si="81"/>
        <v>1</v>
      </c>
      <c r="K81" s="17" t="b">
        <f t="shared" si="81"/>
        <v>0</v>
      </c>
      <c r="L81" s="17"/>
      <c r="M81" s="47" t="b">
        <v>1</v>
      </c>
      <c r="N81" s="47" t="b">
        <v>0</v>
      </c>
      <c r="O81" s="47" t="b">
        <v>0</v>
      </c>
      <c r="P81" s="47" t="b">
        <v>0</v>
      </c>
      <c r="Q81" s="16" t="str">
        <f t="shared" si="3"/>
        <v>Museum Vleeshuis</v>
      </c>
      <c r="R81" s="48">
        <v>8.0</v>
      </c>
      <c r="S81" s="47" t="b">
        <v>1</v>
      </c>
      <c r="T81" s="47" t="b">
        <v>0</v>
      </c>
      <c r="U81" s="16"/>
      <c r="V81" s="16"/>
      <c r="W81" s="16"/>
      <c r="X81" s="16"/>
      <c r="Y81" s="51"/>
      <c r="Z81" s="16"/>
      <c r="AA81" s="16"/>
      <c r="AB81" s="16"/>
      <c r="AC81" s="16"/>
    </row>
    <row r="82">
      <c r="A82" s="16" t="s">
        <v>199</v>
      </c>
      <c r="B82" s="16" t="s">
        <v>200</v>
      </c>
      <c r="C82" s="17" t="s">
        <v>31</v>
      </c>
      <c r="D82" s="16" t="s">
        <v>107</v>
      </c>
      <c r="E82" s="17" t="b">
        <f t="shared" ref="E82:K82" si="82">IF(IFERROR(SEARCH(E$1, $D82),0) &gt;= 1, TRUE,FALSE)</f>
        <v>1</v>
      </c>
      <c r="F82" s="17" t="b">
        <f t="shared" si="82"/>
        <v>1</v>
      </c>
      <c r="G82" s="17" t="b">
        <f t="shared" si="82"/>
        <v>0</v>
      </c>
      <c r="H82" s="17" t="b">
        <f t="shared" si="82"/>
        <v>0</v>
      </c>
      <c r="I82" s="17" t="b">
        <f t="shared" si="82"/>
        <v>0</v>
      </c>
      <c r="J82" s="17" t="b">
        <f t="shared" si="82"/>
        <v>0</v>
      </c>
      <c r="K82" s="17" t="b">
        <f t="shared" si="82"/>
        <v>0</v>
      </c>
      <c r="L82" s="17"/>
      <c r="M82" s="47" t="b">
        <v>1</v>
      </c>
      <c r="N82" s="47" t="b">
        <v>1</v>
      </c>
      <c r="O82" s="47" t="b">
        <v>1</v>
      </c>
      <c r="P82" s="47" t="b">
        <v>0</v>
      </c>
      <c r="Q82" s="16" t="str">
        <f t="shared" si="3"/>
        <v>Nationaal Museum van de Speelkaart</v>
      </c>
      <c r="R82" s="48">
        <v>5.0</v>
      </c>
      <c r="S82" s="47" t="b">
        <v>0</v>
      </c>
      <c r="T82" s="47" t="b">
        <v>1</v>
      </c>
      <c r="U82" s="48">
        <v>5.0</v>
      </c>
      <c r="V82" s="16"/>
      <c r="W82" s="16"/>
      <c r="X82" s="16"/>
      <c r="Y82" s="51"/>
      <c r="Z82" s="16"/>
      <c r="AA82" s="16"/>
      <c r="AB82" s="16"/>
      <c r="AC82" s="16"/>
    </row>
    <row r="83">
      <c r="A83" s="16" t="s">
        <v>201</v>
      </c>
      <c r="B83" s="16" t="s">
        <v>202</v>
      </c>
      <c r="C83" s="17" t="s">
        <v>31</v>
      </c>
      <c r="D83" s="16" t="s">
        <v>4</v>
      </c>
      <c r="E83" s="17" t="b">
        <f t="shared" ref="E83:K83" si="83">IF(IFERROR(SEARCH(E$1, $D83),0) &gt;= 1, TRUE,FALSE)</f>
        <v>1</v>
      </c>
      <c r="F83" s="17" t="b">
        <f t="shared" si="83"/>
        <v>0</v>
      </c>
      <c r="G83" s="17" t="b">
        <f t="shared" si="83"/>
        <v>0</v>
      </c>
      <c r="H83" s="17" t="b">
        <f t="shared" si="83"/>
        <v>0</v>
      </c>
      <c r="I83" s="17" t="b">
        <f t="shared" si="83"/>
        <v>0</v>
      </c>
      <c r="J83" s="17" t="b">
        <f t="shared" si="83"/>
        <v>0</v>
      </c>
      <c r="K83" s="17" t="b">
        <f t="shared" si="83"/>
        <v>0</v>
      </c>
      <c r="L83" s="17"/>
      <c r="M83" s="47" t="b">
        <v>1</v>
      </c>
      <c r="N83" s="47" t="b">
        <v>1</v>
      </c>
      <c r="O83" s="47" t="b">
        <v>0</v>
      </c>
      <c r="P83" s="47" t="b">
        <v>0</v>
      </c>
      <c r="Q83" s="16" t="str">
        <f t="shared" si="3"/>
        <v>Red Star Line Museum</v>
      </c>
      <c r="R83" s="48">
        <v>10.0</v>
      </c>
      <c r="S83" s="47" t="b">
        <v>0</v>
      </c>
      <c r="T83" s="47" t="b">
        <v>1</v>
      </c>
      <c r="U83" s="48">
        <v>0.0</v>
      </c>
      <c r="V83" s="16"/>
      <c r="W83" s="16"/>
      <c r="X83" s="16"/>
      <c r="Y83" s="51"/>
      <c r="Z83" s="16"/>
      <c r="AA83" s="16"/>
      <c r="AB83" s="16"/>
      <c r="AC83" s="16"/>
    </row>
    <row r="84">
      <c r="A84" s="16" t="s">
        <v>203</v>
      </c>
      <c r="B84" s="16" t="s">
        <v>204</v>
      </c>
      <c r="C84" s="17" t="s">
        <v>31</v>
      </c>
      <c r="D84" s="16" t="s">
        <v>95</v>
      </c>
      <c r="E84" s="17" t="b">
        <f t="shared" ref="E84:K84" si="84">IF(IFERROR(SEARCH(E$1, $D84),0) &gt;= 1, TRUE,FALSE)</f>
        <v>1</v>
      </c>
      <c r="F84" s="17" t="b">
        <f t="shared" si="84"/>
        <v>0</v>
      </c>
      <c r="G84" s="17" t="b">
        <f t="shared" si="84"/>
        <v>0</v>
      </c>
      <c r="H84" s="17" t="b">
        <f t="shared" si="84"/>
        <v>0</v>
      </c>
      <c r="I84" s="17" t="b">
        <f t="shared" si="84"/>
        <v>0</v>
      </c>
      <c r="J84" s="17" t="b">
        <f t="shared" si="84"/>
        <v>1</v>
      </c>
      <c r="K84" s="17" t="b">
        <f t="shared" si="84"/>
        <v>0</v>
      </c>
      <c r="L84" s="17"/>
      <c r="M84" s="47" t="b">
        <v>1</v>
      </c>
      <c r="N84" s="47" t="b">
        <v>0</v>
      </c>
      <c r="O84" s="47" t="b">
        <v>0</v>
      </c>
      <c r="P84" s="47" t="b">
        <v>0</v>
      </c>
      <c r="Q84" s="16" t="str">
        <f t="shared" si="3"/>
        <v>Rubenshuis</v>
      </c>
      <c r="R84" s="48">
        <v>12.0</v>
      </c>
      <c r="S84" s="47" t="b">
        <v>0</v>
      </c>
      <c r="T84" s="47" t="b">
        <v>1</v>
      </c>
      <c r="U84" s="48">
        <v>12.0</v>
      </c>
      <c r="V84" s="16"/>
      <c r="W84" s="16"/>
      <c r="X84" s="16"/>
      <c r="Y84" s="51"/>
      <c r="Z84" s="16"/>
      <c r="AA84" s="16"/>
      <c r="AB84" s="16"/>
      <c r="AC84" s="16"/>
    </row>
    <row r="85">
      <c r="A85" s="16" t="s">
        <v>205</v>
      </c>
      <c r="B85" s="16" t="s">
        <v>206</v>
      </c>
      <c r="C85" s="17" t="s">
        <v>31</v>
      </c>
      <c r="D85" s="16" t="s">
        <v>207</v>
      </c>
      <c r="E85" s="17" t="b">
        <f t="shared" ref="E85:K85" si="85">IF(IFERROR(SEARCH(E$1, $D85),0) &gt;= 1, TRUE,FALSE)</f>
        <v>1</v>
      </c>
      <c r="F85" s="17" t="b">
        <f t="shared" si="85"/>
        <v>0</v>
      </c>
      <c r="G85" s="17" t="b">
        <f t="shared" si="85"/>
        <v>1</v>
      </c>
      <c r="H85" s="17" t="b">
        <f t="shared" si="85"/>
        <v>1</v>
      </c>
      <c r="I85" s="17" t="b">
        <f t="shared" si="85"/>
        <v>1</v>
      </c>
      <c r="J85" s="17" t="b">
        <f t="shared" si="85"/>
        <v>1</v>
      </c>
      <c r="K85" s="17" t="b">
        <f t="shared" si="85"/>
        <v>1</v>
      </c>
      <c r="L85" s="17"/>
      <c r="M85" s="47" t="b">
        <v>1</v>
      </c>
      <c r="N85" s="47" t="b">
        <v>0</v>
      </c>
      <c r="O85" s="47" t="b">
        <v>0</v>
      </c>
      <c r="P85" s="47" t="b">
        <v>0</v>
      </c>
      <c r="Q85" s="16" t="str">
        <f t="shared" si="3"/>
        <v>Sint-Pauluskerk</v>
      </c>
      <c r="R85" s="48">
        <v>5.0</v>
      </c>
      <c r="S85" s="47" t="b">
        <v>0</v>
      </c>
      <c r="T85" s="47" t="b">
        <v>1</v>
      </c>
      <c r="U85" s="48">
        <v>5.0</v>
      </c>
      <c r="V85" s="16"/>
      <c r="W85" s="16"/>
      <c r="X85" s="16"/>
      <c r="Y85" s="51"/>
      <c r="Z85" s="16"/>
      <c r="AA85" s="16"/>
      <c r="AB85" s="16"/>
      <c r="AC85" s="16"/>
    </row>
    <row r="86">
      <c r="A86" s="16" t="s">
        <v>208</v>
      </c>
      <c r="B86" s="16" t="s">
        <v>209</v>
      </c>
      <c r="C86" s="17" t="s">
        <v>31</v>
      </c>
      <c r="D86" s="16" t="s">
        <v>107</v>
      </c>
      <c r="E86" s="17" t="b">
        <f t="shared" ref="E86:K86" si="86">IF(IFERROR(SEARCH(E$1, $D86),0) &gt;= 1, TRUE,FALSE)</f>
        <v>1</v>
      </c>
      <c r="F86" s="17" t="b">
        <f t="shared" si="86"/>
        <v>1</v>
      </c>
      <c r="G86" s="17" t="b">
        <f t="shared" si="86"/>
        <v>0</v>
      </c>
      <c r="H86" s="17" t="b">
        <f t="shared" si="86"/>
        <v>0</v>
      </c>
      <c r="I86" s="17" t="b">
        <f t="shared" si="86"/>
        <v>0</v>
      </c>
      <c r="J86" s="17" t="b">
        <f t="shared" si="86"/>
        <v>0</v>
      </c>
      <c r="K86" s="17" t="b">
        <f t="shared" si="86"/>
        <v>0</v>
      </c>
      <c r="L86" s="17"/>
      <c r="M86" s="47" t="b">
        <v>1</v>
      </c>
      <c r="N86" s="47" t="b">
        <v>1</v>
      </c>
      <c r="O86" s="47" t="b">
        <v>1</v>
      </c>
      <c r="P86" s="47" t="b">
        <v>0</v>
      </c>
      <c r="Q86" s="16" t="str">
        <f t="shared" si="3"/>
        <v>Speelgoedmuseum</v>
      </c>
      <c r="R86" s="48">
        <v>17.5</v>
      </c>
      <c r="S86" s="47" t="b">
        <v>0</v>
      </c>
      <c r="T86" s="47" t="b">
        <v>0</v>
      </c>
      <c r="U86" s="16"/>
      <c r="V86" s="16"/>
      <c r="W86" s="16"/>
      <c r="X86" s="16"/>
      <c r="Y86" s="51"/>
      <c r="Z86" s="16"/>
      <c r="AA86" s="16"/>
      <c r="AB86" s="16"/>
      <c r="AC86" s="16"/>
    </row>
    <row r="87">
      <c r="A87" s="16" t="s">
        <v>210</v>
      </c>
      <c r="B87" s="16" t="s">
        <v>211</v>
      </c>
      <c r="C87" s="17" t="s">
        <v>31</v>
      </c>
      <c r="D87" s="16" t="s">
        <v>212</v>
      </c>
      <c r="E87" s="17" t="b">
        <f t="shared" ref="E87:K87" si="87">IF(IFERROR(SEARCH(E$1, $D87),0) &gt;= 1, TRUE,FALSE)</f>
        <v>1</v>
      </c>
      <c r="F87" s="17" t="b">
        <f t="shared" si="87"/>
        <v>1</v>
      </c>
      <c r="G87" s="17" t="b">
        <f t="shared" si="87"/>
        <v>1</v>
      </c>
      <c r="H87" s="17" t="b">
        <f t="shared" si="87"/>
        <v>1</v>
      </c>
      <c r="I87" s="17" t="b">
        <f t="shared" si="87"/>
        <v>1</v>
      </c>
      <c r="J87" s="17" t="b">
        <f t="shared" si="87"/>
        <v>1</v>
      </c>
      <c r="K87" s="17" t="b">
        <f t="shared" si="87"/>
        <v>1</v>
      </c>
      <c r="L87" s="17"/>
      <c r="M87" s="47" t="b">
        <v>1</v>
      </c>
      <c r="N87" s="47" t="b">
        <v>0</v>
      </c>
      <c r="O87" s="47" t="b">
        <v>0</v>
      </c>
      <c r="P87" s="47" t="b">
        <v>0</v>
      </c>
      <c r="Q87" s="16" t="str">
        <f t="shared" si="3"/>
        <v>Stadsmuseum Lier</v>
      </c>
      <c r="R87" s="48">
        <v>4.0</v>
      </c>
      <c r="S87" s="47" t="b">
        <v>0</v>
      </c>
      <c r="T87" s="47" t="b">
        <v>1</v>
      </c>
      <c r="U87" s="48">
        <v>4.0</v>
      </c>
      <c r="V87" s="16"/>
      <c r="W87" s="16"/>
      <c r="X87" s="16"/>
      <c r="Y87" s="51"/>
      <c r="Z87" s="16"/>
      <c r="AA87" s="16"/>
      <c r="AB87" s="16"/>
      <c r="AC87" s="16"/>
    </row>
    <row r="88">
      <c r="A88" s="16" t="s">
        <v>213</v>
      </c>
      <c r="B88" s="16" t="s">
        <v>214</v>
      </c>
      <c r="C88" s="17" t="s">
        <v>31</v>
      </c>
      <c r="D88" s="16" t="s">
        <v>95</v>
      </c>
      <c r="E88" s="17" t="b">
        <f t="shared" ref="E88:K88" si="88">IF(IFERROR(SEARCH(E$1, $D88),0) &gt;= 1, TRUE,FALSE)</f>
        <v>1</v>
      </c>
      <c r="F88" s="17" t="b">
        <f t="shared" si="88"/>
        <v>0</v>
      </c>
      <c r="G88" s="17" t="b">
        <f t="shared" si="88"/>
        <v>0</v>
      </c>
      <c r="H88" s="17" t="b">
        <f t="shared" si="88"/>
        <v>0</v>
      </c>
      <c r="I88" s="17" t="b">
        <f t="shared" si="88"/>
        <v>0</v>
      </c>
      <c r="J88" s="17" t="b">
        <f t="shared" si="88"/>
        <v>1</v>
      </c>
      <c r="K88" s="17" t="b">
        <f t="shared" si="88"/>
        <v>0</v>
      </c>
      <c r="L88" s="17"/>
      <c r="M88" s="47" t="b">
        <v>1</v>
      </c>
      <c r="N88" s="47" t="b">
        <v>0</v>
      </c>
      <c r="O88" s="47" t="b">
        <v>0</v>
      </c>
      <c r="P88" s="47" t="b">
        <v>0</v>
      </c>
      <c r="Q88" s="16" t="str">
        <f t="shared" si="3"/>
        <v>Stedelijk Museum Hoogstraten</v>
      </c>
      <c r="R88" s="48">
        <v>0.0</v>
      </c>
      <c r="S88" s="47" t="b">
        <v>0</v>
      </c>
      <c r="T88" s="47" t="b">
        <v>1</v>
      </c>
      <c r="U88" s="48">
        <v>0.0</v>
      </c>
      <c r="V88" s="16"/>
      <c r="W88" s="16"/>
      <c r="X88" s="16"/>
      <c r="Y88" s="51"/>
      <c r="Z88" s="16"/>
      <c r="AA88" s="16"/>
      <c r="AB88" s="16"/>
      <c r="AC88" s="16"/>
    </row>
    <row r="89">
      <c r="A89" s="16" t="s">
        <v>215</v>
      </c>
      <c r="B89" s="16" t="s">
        <v>216</v>
      </c>
      <c r="C89" s="17" t="s">
        <v>31</v>
      </c>
      <c r="D89" s="16" t="s">
        <v>156</v>
      </c>
      <c r="E89" s="17" t="b">
        <f t="shared" ref="E89:K89" si="89">IF(IFERROR(SEARCH(E$1, $D89),0) &gt;= 1, TRUE,FALSE)</f>
        <v>1</v>
      </c>
      <c r="F89" s="17" t="b">
        <f t="shared" si="89"/>
        <v>0</v>
      </c>
      <c r="G89" s="17" t="b">
        <f t="shared" si="89"/>
        <v>0</v>
      </c>
      <c r="H89" s="17" t="b">
        <f t="shared" si="89"/>
        <v>1</v>
      </c>
      <c r="I89" s="17" t="b">
        <f t="shared" si="89"/>
        <v>0</v>
      </c>
      <c r="J89" s="17" t="b">
        <f t="shared" si="89"/>
        <v>0</v>
      </c>
      <c r="K89" s="17" t="b">
        <f t="shared" si="89"/>
        <v>0</v>
      </c>
      <c r="L89" s="17"/>
      <c r="M89" s="47" t="b">
        <v>1</v>
      </c>
      <c r="N89" s="47" t="b">
        <v>1</v>
      </c>
      <c r="O89" s="47" t="b">
        <v>1</v>
      </c>
      <c r="P89" s="47" t="b">
        <v>0</v>
      </c>
      <c r="Q89" s="16" t="str">
        <f t="shared" si="3"/>
        <v>Suske en Wiske Museum</v>
      </c>
      <c r="R89" s="48">
        <v>15.0</v>
      </c>
      <c r="S89" s="47" t="b">
        <v>0</v>
      </c>
      <c r="T89" s="47" t="b">
        <v>0</v>
      </c>
      <c r="U89" s="16"/>
      <c r="V89" s="16"/>
      <c r="W89" s="16"/>
      <c r="X89" s="16"/>
      <c r="Y89" s="51"/>
      <c r="Z89" s="16"/>
      <c r="AA89" s="16"/>
      <c r="AB89" s="16"/>
      <c r="AC89" s="16"/>
    </row>
    <row r="90">
      <c r="A90" s="16" t="s">
        <v>217</v>
      </c>
      <c r="B90" s="16"/>
      <c r="C90" s="17" t="s">
        <v>31</v>
      </c>
      <c r="D90" s="16" t="s">
        <v>198</v>
      </c>
      <c r="E90" s="17" t="b">
        <f t="shared" ref="E90:K90" si="90">IF(IFERROR(SEARCH(E$1, $D90),0) &gt;= 1, TRUE,FALSE)</f>
        <v>1</v>
      </c>
      <c r="F90" s="17" t="b">
        <f t="shared" si="90"/>
        <v>0</v>
      </c>
      <c r="G90" s="17" t="b">
        <f t="shared" si="90"/>
        <v>0</v>
      </c>
      <c r="H90" s="17" t="b">
        <f t="shared" si="90"/>
        <v>0</v>
      </c>
      <c r="I90" s="17" t="b">
        <f t="shared" si="90"/>
        <v>1</v>
      </c>
      <c r="J90" s="17" t="b">
        <f t="shared" si="90"/>
        <v>1</v>
      </c>
      <c r="K90" s="17" t="b">
        <f t="shared" si="90"/>
        <v>0</v>
      </c>
      <c r="L90" s="17"/>
      <c r="M90" s="47" t="b">
        <v>1</v>
      </c>
      <c r="N90" s="47" t="b">
        <v>1</v>
      </c>
      <c r="O90" s="47" t="b">
        <v>0</v>
      </c>
      <c r="P90" s="47" t="b">
        <v>0</v>
      </c>
      <c r="Q90" s="16" t="str">
        <f t="shared" si="3"/>
        <v>Taxandriamuseum</v>
      </c>
      <c r="R90" s="48">
        <v>5.0</v>
      </c>
      <c r="S90" s="47" t="b">
        <v>0</v>
      </c>
      <c r="T90" s="47" t="b">
        <v>1</v>
      </c>
      <c r="U90" s="48">
        <v>5.0</v>
      </c>
      <c r="V90" s="16"/>
      <c r="W90" s="16"/>
      <c r="X90" s="16"/>
      <c r="Y90" s="51"/>
      <c r="Z90" s="16"/>
      <c r="AA90" s="16"/>
      <c r="AB90" s="16"/>
      <c r="AC90" s="16"/>
    </row>
    <row r="91">
      <c r="A91" s="16" t="s">
        <v>218</v>
      </c>
      <c r="B91" s="16"/>
      <c r="C91" s="17" t="s">
        <v>31</v>
      </c>
      <c r="D91" s="16" t="s">
        <v>107</v>
      </c>
      <c r="E91" s="17" t="b">
        <f t="shared" ref="E91:K91" si="91">IF(IFERROR(SEARCH(E$1, $D91),0) &gt;= 1, TRUE,FALSE)</f>
        <v>1</v>
      </c>
      <c r="F91" s="17" t="b">
        <f t="shared" si="91"/>
        <v>1</v>
      </c>
      <c r="G91" s="17" t="b">
        <f t="shared" si="91"/>
        <v>0</v>
      </c>
      <c r="H91" s="17" t="b">
        <f t="shared" si="91"/>
        <v>0</v>
      </c>
      <c r="I91" s="17" t="b">
        <f t="shared" si="91"/>
        <v>0</v>
      </c>
      <c r="J91" s="17" t="b">
        <f t="shared" si="91"/>
        <v>0</v>
      </c>
      <c r="K91" s="17" t="b">
        <f t="shared" si="91"/>
        <v>0</v>
      </c>
      <c r="L91" s="17"/>
      <c r="M91" s="47" t="b">
        <v>1</v>
      </c>
      <c r="N91" s="47" t="b">
        <v>1</v>
      </c>
      <c r="O91" s="47" t="b">
        <v>1</v>
      </c>
      <c r="P91" s="47" t="b">
        <v>1</v>
      </c>
      <c r="Q91" s="16" t="str">
        <f t="shared" si="3"/>
        <v>‘t Grom</v>
      </c>
      <c r="R91" s="48">
        <v>7.0</v>
      </c>
      <c r="S91" s="47" t="b">
        <v>0</v>
      </c>
      <c r="T91" s="47" t="b">
        <v>1</v>
      </c>
      <c r="U91" s="48">
        <v>7.0</v>
      </c>
      <c r="V91" s="16"/>
      <c r="W91" s="16"/>
      <c r="X91" s="16"/>
      <c r="Y91" s="51"/>
      <c r="Z91" s="16"/>
      <c r="AA91" s="16"/>
      <c r="AB91" s="16"/>
      <c r="AC91" s="16"/>
    </row>
    <row r="92">
      <c r="A92" s="16" t="s">
        <v>219</v>
      </c>
      <c r="B92" s="16"/>
      <c r="C92" s="17" t="s">
        <v>31</v>
      </c>
      <c r="D92" s="16" t="s">
        <v>220</v>
      </c>
      <c r="E92" s="17" t="b">
        <f t="shared" ref="E92:K92" si="92">IF(IFERROR(SEARCH(E$1, $D92),0) &gt;= 1, TRUE,FALSE)</f>
        <v>1</v>
      </c>
      <c r="F92" s="17" t="b">
        <f t="shared" si="92"/>
        <v>1</v>
      </c>
      <c r="G92" s="17" t="b">
        <f t="shared" si="92"/>
        <v>1</v>
      </c>
      <c r="H92" s="17" t="b">
        <f t="shared" si="92"/>
        <v>0</v>
      </c>
      <c r="I92" s="17" t="b">
        <f t="shared" si="92"/>
        <v>1</v>
      </c>
      <c r="J92" s="17" t="b">
        <f t="shared" si="92"/>
        <v>0</v>
      </c>
      <c r="K92" s="17" t="b">
        <f t="shared" si="92"/>
        <v>1</v>
      </c>
      <c r="L92" s="17"/>
      <c r="M92" s="47" t="b">
        <v>1</v>
      </c>
      <c r="N92" s="47" t="b">
        <v>0</v>
      </c>
      <c r="O92" s="47" t="b">
        <v>0</v>
      </c>
      <c r="P92" s="47" t="b">
        <v>0</v>
      </c>
      <c r="Q92" s="16" t="str">
        <f t="shared" si="3"/>
        <v>Het steen, The Antwerp Story</v>
      </c>
      <c r="R92" s="48">
        <v>7.0</v>
      </c>
      <c r="S92" s="47" t="b">
        <v>0</v>
      </c>
      <c r="T92" s="47" t="b">
        <v>1</v>
      </c>
      <c r="U92" s="48">
        <v>7.0</v>
      </c>
      <c r="V92" s="16"/>
      <c r="W92" s="16"/>
      <c r="X92" s="16"/>
      <c r="Y92" s="51"/>
      <c r="Z92" s="16"/>
      <c r="AA92" s="16"/>
      <c r="AB92" s="16"/>
      <c r="AC92" s="16"/>
    </row>
    <row r="93">
      <c r="A93" s="16" t="s">
        <v>221</v>
      </c>
      <c r="B93" s="16" t="s">
        <v>222</v>
      </c>
      <c r="C93" s="17" t="s">
        <v>34</v>
      </c>
      <c r="D93" s="16" t="s">
        <v>9</v>
      </c>
      <c r="E93" s="17" t="b">
        <f t="shared" ref="E93:K93" si="93">IF(IFERROR(SEARCH(E$1, $D93),0) &gt;= 1, TRUE,FALSE)</f>
        <v>0</v>
      </c>
      <c r="F93" s="17" t="b">
        <f t="shared" si="93"/>
        <v>0</v>
      </c>
      <c r="G93" s="17" t="b">
        <f t="shared" si="93"/>
        <v>0</v>
      </c>
      <c r="H93" s="17" t="b">
        <f t="shared" si="93"/>
        <v>0</v>
      </c>
      <c r="I93" s="17" t="b">
        <f t="shared" si="93"/>
        <v>0</v>
      </c>
      <c r="J93" s="17" t="b">
        <f t="shared" si="93"/>
        <v>1</v>
      </c>
      <c r="K93" s="17" t="b">
        <f t="shared" si="93"/>
        <v>0</v>
      </c>
      <c r="L93" s="17"/>
      <c r="M93" s="47" t="b">
        <v>1</v>
      </c>
      <c r="N93" s="47" t="b">
        <v>1</v>
      </c>
      <c r="O93" s="47" t="b">
        <v>1</v>
      </c>
      <c r="P93" s="47" t="b">
        <v>1</v>
      </c>
      <c r="Q93" s="16" t="str">
        <f t="shared" si="3"/>
        <v>Stichting Folon</v>
      </c>
      <c r="R93" s="48">
        <v>12.0</v>
      </c>
      <c r="S93" s="47" t="b">
        <v>0</v>
      </c>
      <c r="T93" s="47" t="b">
        <v>1</v>
      </c>
      <c r="U93" s="48">
        <v>10.0</v>
      </c>
      <c r="V93" s="16"/>
      <c r="W93" s="16"/>
      <c r="X93" s="16"/>
      <c r="Y93" s="51"/>
      <c r="Z93" s="16"/>
      <c r="AA93" s="16"/>
      <c r="AB93" s="16"/>
      <c r="AC93" s="16"/>
    </row>
    <row r="94">
      <c r="A94" s="16" t="s">
        <v>223</v>
      </c>
      <c r="B94" s="16" t="s">
        <v>224</v>
      </c>
      <c r="C94" s="17" t="s">
        <v>34</v>
      </c>
      <c r="D94" s="16" t="s">
        <v>9</v>
      </c>
      <c r="E94" s="17" t="b">
        <f t="shared" ref="E94:K94" si="94">IF(IFERROR(SEARCH(E$1, $D94),0) &gt;= 1, TRUE,FALSE)</f>
        <v>0</v>
      </c>
      <c r="F94" s="17" t="b">
        <f t="shared" si="94"/>
        <v>0</v>
      </c>
      <c r="G94" s="17" t="b">
        <f t="shared" si="94"/>
        <v>0</v>
      </c>
      <c r="H94" s="17" t="b">
        <f t="shared" si="94"/>
        <v>0</v>
      </c>
      <c r="I94" s="17" t="b">
        <f t="shared" si="94"/>
        <v>0</v>
      </c>
      <c r="J94" s="17" t="b">
        <f t="shared" si="94"/>
        <v>1</v>
      </c>
      <c r="K94" s="17" t="b">
        <f t="shared" si="94"/>
        <v>0</v>
      </c>
      <c r="L94" s="17"/>
      <c r="M94" s="47" t="b">
        <v>1</v>
      </c>
      <c r="N94" s="47" t="b">
        <v>1</v>
      </c>
      <c r="O94" s="47" t="b">
        <v>0</v>
      </c>
      <c r="P94" s="47" t="b">
        <v>1</v>
      </c>
      <c r="Q94" s="16" t="str">
        <f t="shared" si="3"/>
        <v>Hergé Museum</v>
      </c>
      <c r="R94" s="48">
        <v>12.0</v>
      </c>
      <c r="S94" s="47" t="b">
        <v>0</v>
      </c>
      <c r="T94" s="47" t="b">
        <v>1</v>
      </c>
      <c r="U94" s="48">
        <v>12.0</v>
      </c>
      <c r="V94" s="16"/>
      <c r="W94" s="16"/>
      <c r="X94" s="16"/>
      <c r="Y94" s="51"/>
      <c r="Z94" s="16"/>
      <c r="AA94" s="16"/>
      <c r="AB94" s="16"/>
      <c r="AC94" s="16"/>
    </row>
    <row r="95">
      <c r="A95" s="16"/>
      <c r="B95" s="16" t="s">
        <v>225</v>
      </c>
      <c r="C95" s="17" t="s">
        <v>34</v>
      </c>
      <c r="D95" s="16" t="s">
        <v>9</v>
      </c>
      <c r="E95" s="17" t="b">
        <f t="shared" ref="E95:K95" si="95">IF(IFERROR(SEARCH(E$1, $D95),0) &gt;= 1, TRUE,FALSE)</f>
        <v>0</v>
      </c>
      <c r="F95" s="17" t="b">
        <f t="shared" si="95"/>
        <v>0</v>
      </c>
      <c r="G95" s="17" t="b">
        <f t="shared" si="95"/>
        <v>0</v>
      </c>
      <c r="H95" s="17" t="b">
        <f t="shared" si="95"/>
        <v>0</v>
      </c>
      <c r="I95" s="17" t="b">
        <f t="shared" si="95"/>
        <v>0</v>
      </c>
      <c r="J95" s="17" t="b">
        <f t="shared" si="95"/>
        <v>1</v>
      </c>
      <c r="K95" s="17" t="b">
        <f t="shared" si="95"/>
        <v>0</v>
      </c>
      <c r="L95" s="17"/>
      <c r="M95" s="47" t="b">
        <v>1</v>
      </c>
      <c r="N95" s="47" t="b">
        <v>1</v>
      </c>
      <c r="O95" s="47" t="b">
        <v>1</v>
      </c>
      <c r="P95" s="47" t="b">
        <v>1</v>
      </c>
      <c r="Q95" s="16" t="str">
        <f t="shared" si="3"/>
        <v>Musée L</v>
      </c>
      <c r="R95" s="48">
        <v>8.0</v>
      </c>
      <c r="S95" s="47" t="b">
        <v>0</v>
      </c>
      <c r="T95" s="47" t="b">
        <v>1</v>
      </c>
      <c r="U95" s="48">
        <v>8.0</v>
      </c>
      <c r="V95" s="16"/>
      <c r="W95" s="16"/>
      <c r="X95" s="16"/>
      <c r="Y95" s="51"/>
      <c r="Z95" s="16"/>
      <c r="AA95" s="16"/>
      <c r="AB95" s="16"/>
      <c r="AC95" s="16"/>
    </row>
    <row r="96">
      <c r="A96" s="16" t="s">
        <v>226</v>
      </c>
      <c r="B96" s="16" t="s">
        <v>227</v>
      </c>
      <c r="C96" s="17" t="s">
        <v>34</v>
      </c>
      <c r="D96" s="16" t="s">
        <v>9</v>
      </c>
      <c r="E96" s="17" t="b">
        <f t="shared" ref="E96:K96" si="96">IF(IFERROR(SEARCH(E$1, $D96),0) &gt;= 1, TRUE,FALSE)</f>
        <v>0</v>
      </c>
      <c r="F96" s="17" t="b">
        <f t="shared" si="96"/>
        <v>0</v>
      </c>
      <c r="G96" s="17" t="b">
        <f t="shared" si="96"/>
        <v>0</v>
      </c>
      <c r="H96" s="17" t="b">
        <f t="shared" si="96"/>
        <v>0</v>
      </c>
      <c r="I96" s="17" t="b">
        <f t="shared" si="96"/>
        <v>0</v>
      </c>
      <c r="J96" s="17" t="b">
        <f t="shared" si="96"/>
        <v>1</v>
      </c>
      <c r="K96" s="17" t="b">
        <f t="shared" si="96"/>
        <v>0</v>
      </c>
      <c r="L96" s="17"/>
      <c r="M96" s="47" t="b">
        <v>1</v>
      </c>
      <c r="N96" s="47" t="b">
        <v>0</v>
      </c>
      <c r="O96" s="47" t="b">
        <v>1</v>
      </c>
      <c r="P96" s="47" t="b">
        <v>0</v>
      </c>
      <c r="Q96" s="16" t="str">
        <f t="shared" si="3"/>
        <v>Marthe Donas museum</v>
      </c>
      <c r="R96" s="48">
        <v>2.0</v>
      </c>
      <c r="S96" s="47" t="b">
        <v>0</v>
      </c>
      <c r="T96" s="47" t="b">
        <v>1</v>
      </c>
      <c r="U96" s="48">
        <v>2.0</v>
      </c>
      <c r="V96" s="16"/>
      <c r="W96" s="16"/>
      <c r="X96" s="16"/>
      <c r="Y96" s="51"/>
      <c r="Z96" s="16"/>
      <c r="AA96" s="16"/>
      <c r="AB96" s="16"/>
      <c r="AC96" s="16"/>
    </row>
    <row r="97">
      <c r="A97" s="16" t="s">
        <v>228</v>
      </c>
      <c r="B97" s="16" t="s">
        <v>229</v>
      </c>
      <c r="C97" s="17" t="s">
        <v>34</v>
      </c>
      <c r="D97" s="16" t="s">
        <v>4</v>
      </c>
      <c r="E97" s="17" t="b">
        <f t="shared" ref="E97:K97" si="97">IF(IFERROR(SEARCH(E$1, $D97),0) &gt;= 1, TRUE,FALSE)</f>
        <v>1</v>
      </c>
      <c r="F97" s="17" t="b">
        <f t="shared" si="97"/>
        <v>0</v>
      </c>
      <c r="G97" s="17" t="b">
        <f t="shared" si="97"/>
        <v>0</v>
      </c>
      <c r="H97" s="17" t="b">
        <f t="shared" si="97"/>
        <v>0</v>
      </c>
      <c r="I97" s="17" t="b">
        <f t="shared" si="97"/>
        <v>0</v>
      </c>
      <c r="J97" s="17" t="b">
        <f t="shared" si="97"/>
        <v>0</v>
      </c>
      <c r="K97" s="17" t="b">
        <f t="shared" si="97"/>
        <v>0</v>
      </c>
      <c r="L97" s="17"/>
      <c r="M97" s="47" t="b">
        <v>1</v>
      </c>
      <c r="N97" s="47" t="b">
        <v>0</v>
      </c>
      <c r="O97" s="47" t="b">
        <v>0</v>
      </c>
      <c r="P97" s="47" t="b">
        <v>0</v>
      </c>
      <c r="Q97" s="16" t="str">
        <f t="shared" si="3"/>
        <v>Wellington Museum</v>
      </c>
      <c r="R97" s="48">
        <v>10.0</v>
      </c>
      <c r="S97" s="47" t="b">
        <v>0</v>
      </c>
      <c r="T97" s="47" t="b">
        <v>1</v>
      </c>
      <c r="U97" s="48">
        <v>8.0</v>
      </c>
      <c r="V97" s="16"/>
      <c r="W97" s="16"/>
      <c r="X97" s="16"/>
      <c r="Y97" s="51"/>
      <c r="Z97" s="16"/>
      <c r="AA97" s="16"/>
      <c r="AB97" s="16"/>
      <c r="AC97" s="16"/>
    </row>
    <row r="98">
      <c r="A98" s="16" t="s">
        <v>230</v>
      </c>
      <c r="B98" s="16"/>
      <c r="C98" s="17" t="s">
        <v>38</v>
      </c>
      <c r="D98" s="16" t="s">
        <v>54</v>
      </c>
      <c r="E98" s="17" t="b">
        <f t="shared" ref="E98:K98" si="98">IF(IFERROR(SEARCH(E$1, $D98),0) &gt;= 1, TRUE,FALSE)</f>
        <v>1</v>
      </c>
      <c r="F98" s="17" t="b">
        <f t="shared" si="98"/>
        <v>1</v>
      </c>
      <c r="G98" s="17" t="b">
        <f t="shared" si="98"/>
        <v>0</v>
      </c>
      <c r="H98" s="17" t="b">
        <f t="shared" si="98"/>
        <v>0</v>
      </c>
      <c r="I98" s="17" t="b">
        <f t="shared" si="98"/>
        <v>0</v>
      </c>
      <c r="J98" s="17" t="b">
        <f t="shared" si="98"/>
        <v>1</v>
      </c>
      <c r="K98" s="17" t="b">
        <f t="shared" si="98"/>
        <v>0</v>
      </c>
      <c r="L98" s="17"/>
      <c r="M98" s="47" t="b">
        <v>1</v>
      </c>
      <c r="N98" s="47" t="b">
        <v>1</v>
      </c>
      <c r="O98" s="47" t="b">
        <v>1</v>
      </c>
      <c r="P98" s="47" t="b">
        <v>1</v>
      </c>
      <c r="Q98" s="16" t="str">
        <f t="shared" si="3"/>
        <v>AfricaMuseum</v>
      </c>
      <c r="R98" s="48">
        <v>13.0</v>
      </c>
      <c r="S98" s="47" t="b">
        <v>0</v>
      </c>
      <c r="T98" s="47" t="b">
        <v>1</v>
      </c>
      <c r="U98" s="48">
        <v>13.0</v>
      </c>
      <c r="V98" s="16"/>
      <c r="W98" s="16"/>
      <c r="X98" s="16"/>
      <c r="Y98" s="51"/>
      <c r="Z98" s="16"/>
      <c r="AA98" s="16"/>
      <c r="AB98" s="16"/>
      <c r="AC98" s="16"/>
    </row>
    <row r="99">
      <c r="A99" s="16" t="s">
        <v>231</v>
      </c>
      <c r="B99" s="16" t="s">
        <v>232</v>
      </c>
      <c r="C99" s="17" t="s">
        <v>38</v>
      </c>
      <c r="D99" s="16" t="s">
        <v>4</v>
      </c>
      <c r="E99" s="17" t="b">
        <f t="shared" ref="E99:K99" si="99">IF(IFERROR(SEARCH(E$1, $D99),0) &gt;= 1, TRUE,FALSE)</f>
        <v>1</v>
      </c>
      <c r="F99" s="17" t="b">
        <f t="shared" si="99"/>
        <v>0</v>
      </c>
      <c r="G99" s="17" t="b">
        <f t="shared" si="99"/>
        <v>0</v>
      </c>
      <c r="H99" s="17" t="b">
        <f t="shared" si="99"/>
        <v>0</v>
      </c>
      <c r="I99" s="17" t="b">
        <f t="shared" si="99"/>
        <v>0</v>
      </c>
      <c r="J99" s="17" t="b">
        <f t="shared" si="99"/>
        <v>0</v>
      </c>
      <c r="K99" s="17" t="b">
        <f t="shared" si="99"/>
        <v>0</v>
      </c>
      <c r="L99" s="17"/>
      <c r="M99" s="47" t="b">
        <v>1</v>
      </c>
      <c r="N99" s="47" t="b">
        <v>0</v>
      </c>
      <c r="O99" s="47" t="b">
        <v>1</v>
      </c>
      <c r="P99" s="47" t="b">
        <v>0</v>
      </c>
      <c r="Q99" s="16" t="str">
        <f t="shared" si="3"/>
        <v>Damiaanmuseum</v>
      </c>
      <c r="R99" s="48">
        <v>7.0</v>
      </c>
      <c r="S99" s="47" t="b">
        <v>0</v>
      </c>
      <c r="T99" s="47" t="b">
        <v>0</v>
      </c>
      <c r="U99" s="16"/>
      <c r="V99" s="16"/>
      <c r="W99" s="16"/>
      <c r="X99" s="16"/>
      <c r="Y99" s="51"/>
      <c r="Z99" s="16"/>
      <c r="AA99" s="16"/>
      <c r="AB99" s="16"/>
      <c r="AC99" s="16"/>
    </row>
    <row r="100">
      <c r="A100" s="16" t="s">
        <v>233</v>
      </c>
      <c r="B100" s="16" t="s">
        <v>234</v>
      </c>
      <c r="C100" s="17" t="s">
        <v>38</v>
      </c>
      <c r="D100" s="16" t="s">
        <v>95</v>
      </c>
      <c r="E100" s="17" t="b">
        <f t="shared" ref="E100:K100" si="100">IF(IFERROR(SEARCH(E$1, $D100),0) &gt;= 1, TRUE,FALSE)</f>
        <v>1</v>
      </c>
      <c r="F100" s="17" t="b">
        <f t="shared" si="100"/>
        <v>0</v>
      </c>
      <c r="G100" s="17" t="b">
        <f t="shared" si="100"/>
        <v>0</v>
      </c>
      <c r="H100" s="17" t="b">
        <f t="shared" si="100"/>
        <v>0</v>
      </c>
      <c r="I100" s="17" t="b">
        <f t="shared" si="100"/>
        <v>0</v>
      </c>
      <c r="J100" s="17" t="b">
        <f t="shared" si="100"/>
        <v>1</v>
      </c>
      <c r="K100" s="17" t="b">
        <f t="shared" si="100"/>
        <v>0</v>
      </c>
      <c r="L100" s="17"/>
      <c r="M100" s="47" t="b">
        <v>1</v>
      </c>
      <c r="N100" s="47" t="b">
        <v>0</v>
      </c>
      <c r="O100" s="47" t="b">
        <v>0</v>
      </c>
      <c r="P100" s="47" t="b">
        <v>1</v>
      </c>
      <c r="Q100" s="16" t="str">
        <f t="shared" si="3"/>
        <v>Dru!f, huis van de tafeldruif</v>
      </c>
      <c r="R100" s="48">
        <v>0.0</v>
      </c>
      <c r="S100" s="47" t="b">
        <v>0</v>
      </c>
      <c r="T100" s="47" t="b">
        <v>1</v>
      </c>
      <c r="U100" s="48">
        <v>0.0</v>
      </c>
      <c r="V100" s="16"/>
      <c r="W100" s="16"/>
      <c r="X100" s="16"/>
      <c r="Y100" s="51"/>
      <c r="Z100" s="16"/>
      <c r="AA100" s="16"/>
      <c r="AB100" s="16"/>
      <c r="AC100" s="16"/>
    </row>
    <row r="101">
      <c r="A101" s="16" t="s">
        <v>235</v>
      </c>
      <c r="B101" s="16"/>
      <c r="C101" s="17" t="s">
        <v>38</v>
      </c>
      <c r="D101" s="16" t="s">
        <v>9</v>
      </c>
      <c r="E101" s="17" t="b">
        <f t="shared" ref="E101:K101" si="101">IF(IFERROR(SEARCH(E$1, $D101),0) &gt;= 1, TRUE,FALSE)</f>
        <v>0</v>
      </c>
      <c r="F101" s="17" t="b">
        <f t="shared" si="101"/>
        <v>0</v>
      </c>
      <c r="G101" s="17" t="b">
        <f t="shared" si="101"/>
        <v>0</v>
      </c>
      <c r="H101" s="17" t="b">
        <f t="shared" si="101"/>
        <v>0</v>
      </c>
      <c r="I101" s="17" t="b">
        <f t="shared" si="101"/>
        <v>0</v>
      </c>
      <c r="J101" s="17" t="b">
        <f t="shared" si="101"/>
        <v>1</v>
      </c>
      <c r="K101" s="17" t="b">
        <f t="shared" si="101"/>
        <v>0</v>
      </c>
      <c r="L101" s="17"/>
      <c r="M101" s="47" t="b">
        <v>1</v>
      </c>
      <c r="N101" s="47" t="b">
        <v>1</v>
      </c>
      <c r="O101" s="47" t="b">
        <v>1</v>
      </c>
      <c r="P101" s="47" t="b">
        <v>0</v>
      </c>
      <c r="Q101" s="16" t="str">
        <f t="shared" si="3"/>
        <v>FeliXart Museum</v>
      </c>
      <c r="R101" s="48">
        <v>10.0</v>
      </c>
      <c r="S101" s="47" t="b">
        <v>0</v>
      </c>
      <c r="T101" s="47" t="b">
        <v>1</v>
      </c>
      <c r="U101" s="48">
        <v>10.0</v>
      </c>
      <c r="V101" s="16"/>
      <c r="W101" s="16"/>
      <c r="X101" s="16"/>
      <c r="Y101" s="51"/>
      <c r="Z101" s="16"/>
      <c r="AA101" s="16"/>
      <c r="AB101" s="16"/>
      <c r="AC101" s="16"/>
    </row>
    <row r="102">
      <c r="A102" s="16" t="s">
        <v>236</v>
      </c>
      <c r="B102" s="16" t="s">
        <v>237</v>
      </c>
      <c r="C102" s="17" t="s">
        <v>38</v>
      </c>
      <c r="D102" s="16" t="s">
        <v>4</v>
      </c>
      <c r="E102" s="17" t="b">
        <f t="shared" ref="E102:K102" si="102">IF(IFERROR(SEARCH(E$1, $D102),0) &gt;= 1, TRUE,FALSE)</f>
        <v>1</v>
      </c>
      <c r="F102" s="17" t="b">
        <f t="shared" si="102"/>
        <v>0</v>
      </c>
      <c r="G102" s="17" t="b">
        <f t="shared" si="102"/>
        <v>0</v>
      </c>
      <c r="H102" s="17" t="b">
        <f t="shared" si="102"/>
        <v>0</v>
      </c>
      <c r="I102" s="17" t="b">
        <f t="shared" si="102"/>
        <v>0</v>
      </c>
      <c r="J102" s="17" t="b">
        <f t="shared" si="102"/>
        <v>0</v>
      </c>
      <c r="K102" s="17" t="b">
        <f t="shared" si="102"/>
        <v>0</v>
      </c>
      <c r="L102" s="17"/>
      <c r="M102" s="47" t="b">
        <v>0</v>
      </c>
      <c r="N102" s="47" t="b">
        <v>0</v>
      </c>
      <c r="O102" s="47" t="b">
        <v>1</v>
      </c>
      <c r="P102" s="47" t="b">
        <v>0</v>
      </c>
      <c r="Q102" s="16" t="str">
        <f t="shared" si="3"/>
        <v>Huis van het Belgisch-Franse Verzet</v>
      </c>
      <c r="R102" s="48">
        <v>12.0</v>
      </c>
      <c r="S102" s="47" t="b">
        <v>0</v>
      </c>
      <c r="T102" s="47" t="b">
        <v>0</v>
      </c>
      <c r="U102" s="16"/>
      <c r="V102" s="16"/>
      <c r="W102" s="16"/>
      <c r="X102" s="16"/>
      <c r="Y102" s="51"/>
      <c r="Z102" s="16"/>
      <c r="AA102" s="16"/>
      <c r="AB102" s="16"/>
      <c r="AC102" s="16"/>
    </row>
    <row r="103">
      <c r="A103" s="16" t="s">
        <v>238</v>
      </c>
      <c r="B103" s="16"/>
      <c r="C103" s="17" t="s">
        <v>38</v>
      </c>
      <c r="D103" s="16" t="s">
        <v>95</v>
      </c>
      <c r="E103" s="17" t="b">
        <f t="shared" ref="E103:K103" si="103">IF(IFERROR(SEARCH(E$1, $D103),0) &gt;= 1, TRUE,FALSE)</f>
        <v>1</v>
      </c>
      <c r="F103" s="17" t="b">
        <f t="shared" si="103"/>
        <v>0</v>
      </c>
      <c r="G103" s="17" t="b">
        <f t="shared" si="103"/>
        <v>0</v>
      </c>
      <c r="H103" s="17" t="b">
        <f t="shared" si="103"/>
        <v>0</v>
      </c>
      <c r="I103" s="17" t="b">
        <f t="shared" si="103"/>
        <v>0</v>
      </c>
      <c r="J103" s="17" t="b">
        <f t="shared" si="103"/>
        <v>1</v>
      </c>
      <c r="K103" s="17" t="b">
        <f t="shared" si="103"/>
        <v>0</v>
      </c>
      <c r="L103" s="17"/>
      <c r="M103" s="47" t="b">
        <v>0</v>
      </c>
      <c r="N103" s="47" t="b">
        <v>0</v>
      </c>
      <c r="O103" s="47" t="b">
        <v>1</v>
      </c>
      <c r="P103" s="47" t="b">
        <v>0</v>
      </c>
      <c r="Q103" s="16" t="str">
        <f t="shared" si="3"/>
        <v>KADOC-KU Leuven</v>
      </c>
      <c r="R103" s="48">
        <v>0.0</v>
      </c>
      <c r="S103" s="47" t="b">
        <v>0</v>
      </c>
      <c r="T103" s="47" t="b">
        <v>1</v>
      </c>
      <c r="U103" s="48">
        <v>0.0</v>
      </c>
      <c r="V103" s="16"/>
      <c r="W103" s="16"/>
      <c r="X103" s="16"/>
      <c r="Y103" s="51"/>
      <c r="Z103" s="16"/>
      <c r="AA103" s="16"/>
      <c r="AB103" s="16"/>
      <c r="AC103" s="16"/>
    </row>
    <row r="104">
      <c r="A104" s="16" t="s">
        <v>239</v>
      </c>
      <c r="B104" s="16" t="s">
        <v>240</v>
      </c>
      <c r="C104" s="17" t="s">
        <v>38</v>
      </c>
      <c r="D104" s="16" t="s">
        <v>198</v>
      </c>
      <c r="E104" s="17" t="b">
        <f t="shared" ref="E104:K104" si="104">IF(IFERROR(SEARCH(E$1, $D104),0) &gt;= 1, TRUE,FALSE)</f>
        <v>1</v>
      </c>
      <c r="F104" s="17" t="b">
        <f t="shared" si="104"/>
        <v>0</v>
      </c>
      <c r="G104" s="17" t="b">
        <f t="shared" si="104"/>
        <v>0</v>
      </c>
      <c r="H104" s="17" t="b">
        <f t="shared" si="104"/>
        <v>0</v>
      </c>
      <c r="I104" s="17" t="b">
        <f t="shared" si="104"/>
        <v>1</v>
      </c>
      <c r="J104" s="17" t="b">
        <f t="shared" si="104"/>
        <v>1</v>
      </c>
      <c r="K104" s="17" t="b">
        <f t="shared" si="104"/>
        <v>0</v>
      </c>
      <c r="L104" s="17"/>
      <c r="M104" s="47" t="b">
        <v>1</v>
      </c>
      <c r="N104" s="47" t="b">
        <v>1</v>
      </c>
      <c r="O104" s="47" t="b">
        <v>1</v>
      </c>
      <c r="P104" s="47" t="b">
        <v>0</v>
      </c>
      <c r="Q104" s="16" t="str">
        <f t="shared" si="3"/>
        <v>Kasteel van Gaasbeek</v>
      </c>
      <c r="R104" s="48">
        <v>12.0</v>
      </c>
      <c r="S104" s="47" t="b">
        <v>0</v>
      </c>
      <c r="T104" s="47" t="b">
        <v>1</v>
      </c>
      <c r="U104" s="48">
        <v>12.0</v>
      </c>
      <c r="V104" s="16"/>
      <c r="W104" s="16"/>
      <c r="X104" s="16"/>
      <c r="Y104" s="51"/>
      <c r="Z104" s="16"/>
      <c r="AA104" s="16"/>
      <c r="AB104" s="16"/>
      <c r="AC104" s="16"/>
    </row>
    <row r="105">
      <c r="A105" s="16" t="s">
        <v>241</v>
      </c>
      <c r="B105" s="16"/>
      <c r="C105" s="17" t="s">
        <v>38</v>
      </c>
      <c r="D105" s="16" t="s">
        <v>79</v>
      </c>
      <c r="E105" s="17" t="b">
        <f t="shared" ref="E105:K105" si="105">IF(IFERROR(SEARCH(E$1, $D105),0) &gt;= 1, TRUE,FALSE)</f>
        <v>1</v>
      </c>
      <c r="F105" s="17" t="b">
        <f t="shared" si="105"/>
        <v>0</v>
      </c>
      <c r="G105" s="17" t="b">
        <f t="shared" si="105"/>
        <v>0</v>
      </c>
      <c r="H105" s="17" t="b">
        <f t="shared" si="105"/>
        <v>0</v>
      </c>
      <c r="I105" s="17" t="b">
        <f t="shared" si="105"/>
        <v>0</v>
      </c>
      <c r="J105" s="17" t="b">
        <f t="shared" si="105"/>
        <v>1</v>
      </c>
      <c r="K105" s="17" t="b">
        <f t="shared" si="105"/>
        <v>1</v>
      </c>
      <c r="L105" s="17"/>
      <c r="M105" s="47" t="b">
        <v>1</v>
      </c>
      <c r="N105" s="47" t="b">
        <v>0</v>
      </c>
      <c r="O105" s="47" t="b">
        <v>0</v>
      </c>
      <c r="P105" s="47" t="b">
        <v>0</v>
      </c>
      <c r="Q105" s="16" t="str">
        <f t="shared" si="3"/>
        <v>M Leuven</v>
      </c>
      <c r="R105" s="48">
        <v>12.0</v>
      </c>
      <c r="S105" s="47" t="b">
        <v>0</v>
      </c>
      <c r="T105" s="47" t="b">
        <v>1</v>
      </c>
      <c r="U105" s="48">
        <v>12.0</v>
      </c>
      <c r="V105" s="16"/>
      <c r="W105" s="16"/>
      <c r="X105" s="16"/>
      <c r="Y105" s="51"/>
      <c r="Z105" s="16"/>
      <c r="AA105" s="16"/>
      <c r="AB105" s="16"/>
      <c r="AC105" s="16"/>
    </row>
    <row r="106">
      <c r="A106" s="16" t="s">
        <v>242</v>
      </c>
      <c r="B106" s="16" t="s">
        <v>243</v>
      </c>
      <c r="C106" s="17" t="s">
        <v>38</v>
      </c>
      <c r="D106" s="16" t="s">
        <v>4</v>
      </c>
      <c r="E106" s="17" t="b">
        <f t="shared" ref="E106:K106" si="106">IF(IFERROR(SEARCH(E$1, $D106),0) &gt;= 1, TRUE,FALSE)</f>
        <v>1</v>
      </c>
      <c r="F106" s="17" t="b">
        <f t="shared" si="106"/>
        <v>0</v>
      </c>
      <c r="G106" s="17" t="b">
        <f t="shared" si="106"/>
        <v>0</v>
      </c>
      <c r="H106" s="17" t="b">
        <f t="shared" si="106"/>
        <v>0</v>
      </c>
      <c r="I106" s="17" t="b">
        <f t="shared" si="106"/>
        <v>0</v>
      </c>
      <c r="J106" s="17" t="b">
        <f t="shared" si="106"/>
        <v>0</v>
      </c>
      <c r="K106" s="17" t="b">
        <f t="shared" si="106"/>
        <v>0</v>
      </c>
      <c r="L106" s="17"/>
      <c r="M106" s="47" t="b">
        <v>1</v>
      </c>
      <c r="N106" s="47" t="b">
        <v>0</v>
      </c>
      <c r="O106" s="47" t="b">
        <v>1</v>
      </c>
      <c r="P106" s="47" t="b">
        <v>0</v>
      </c>
      <c r="Q106" s="16" t="str">
        <f t="shared" si="3"/>
        <v>Museum 44</v>
      </c>
      <c r="R106" s="48">
        <v>8.5</v>
      </c>
      <c r="S106" s="47" t="b">
        <v>0</v>
      </c>
      <c r="T106" s="47" t="b">
        <v>0</v>
      </c>
      <c r="U106" s="16"/>
      <c r="V106" s="16"/>
      <c r="W106" s="16"/>
      <c r="X106" s="16"/>
      <c r="Y106" s="51"/>
      <c r="Z106" s="16"/>
      <c r="AA106" s="16"/>
      <c r="AB106" s="16"/>
      <c r="AC106" s="16"/>
    </row>
    <row r="107">
      <c r="A107" s="16" t="s">
        <v>244</v>
      </c>
      <c r="B107" s="16" t="s">
        <v>245</v>
      </c>
      <c r="C107" s="17" t="s">
        <v>38</v>
      </c>
      <c r="D107" s="16" t="s">
        <v>95</v>
      </c>
      <c r="E107" s="17" t="b">
        <f t="shared" ref="E107:K107" si="107">IF(IFERROR(SEARCH(E$1, $D107),0) &gt;= 1, TRUE,FALSE)</f>
        <v>1</v>
      </c>
      <c r="F107" s="17" t="b">
        <f t="shared" si="107"/>
        <v>0</v>
      </c>
      <c r="G107" s="17" t="b">
        <f t="shared" si="107"/>
        <v>0</v>
      </c>
      <c r="H107" s="17" t="b">
        <f t="shared" si="107"/>
        <v>0</v>
      </c>
      <c r="I107" s="17" t="b">
        <f t="shared" si="107"/>
        <v>0</v>
      </c>
      <c r="J107" s="17" t="b">
        <f t="shared" si="107"/>
        <v>1</v>
      </c>
      <c r="K107" s="17" t="b">
        <f t="shared" si="107"/>
        <v>0</v>
      </c>
      <c r="L107" s="17"/>
      <c r="M107" s="47" t="b">
        <v>0</v>
      </c>
      <c r="N107" s="47" t="b">
        <v>0</v>
      </c>
      <c r="O107" s="47" t="b">
        <v>0</v>
      </c>
      <c r="P107" s="47" t="b">
        <v>0</v>
      </c>
      <c r="Q107" s="16" t="str">
        <f t="shared" si="3"/>
        <v>Museum den AST</v>
      </c>
      <c r="R107" s="48">
        <v>5.0</v>
      </c>
      <c r="S107" s="47" t="b">
        <v>0</v>
      </c>
      <c r="T107" s="47" t="b">
        <v>1</v>
      </c>
      <c r="U107" s="48">
        <v>5.0</v>
      </c>
      <c r="V107" s="16"/>
      <c r="W107" s="16"/>
      <c r="X107" s="16"/>
      <c r="Y107" s="51"/>
      <c r="Z107" s="16"/>
      <c r="AA107" s="16"/>
      <c r="AB107" s="16"/>
      <c r="AC107" s="16"/>
    </row>
    <row r="108">
      <c r="A108" s="16" t="s">
        <v>246</v>
      </c>
      <c r="B108" s="16" t="s">
        <v>247</v>
      </c>
      <c r="C108" s="17" t="s">
        <v>38</v>
      </c>
      <c r="D108" s="16" t="s">
        <v>248</v>
      </c>
      <c r="E108" s="17" t="b">
        <f t="shared" ref="E108:K108" si="108">IF(IFERROR(SEARCH(E$1, $D108),0) &gt;= 1, TRUE,FALSE)</f>
        <v>1</v>
      </c>
      <c r="F108" s="17" t="b">
        <f t="shared" si="108"/>
        <v>0</v>
      </c>
      <c r="G108" s="17" t="b">
        <f t="shared" si="108"/>
        <v>0</v>
      </c>
      <c r="H108" s="17" t="b">
        <f t="shared" si="108"/>
        <v>1</v>
      </c>
      <c r="I108" s="17" t="b">
        <f t="shared" si="108"/>
        <v>1</v>
      </c>
      <c r="J108" s="17" t="b">
        <f t="shared" si="108"/>
        <v>1</v>
      </c>
      <c r="K108" s="17" t="b">
        <f t="shared" si="108"/>
        <v>1</v>
      </c>
      <c r="L108" s="17"/>
      <c r="M108" s="47" t="b">
        <v>1</v>
      </c>
      <c r="N108" s="47" t="b">
        <v>1</v>
      </c>
      <c r="O108" s="47" t="b">
        <v>1</v>
      </c>
      <c r="P108" s="47" t="b">
        <v>1</v>
      </c>
      <c r="Q108" s="16" t="str">
        <f t="shared" si="3"/>
        <v>Museum PARCUM, Abdij van Park Leuven</v>
      </c>
      <c r="R108" s="48">
        <v>12.0</v>
      </c>
      <c r="S108" s="47" t="b">
        <v>0</v>
      </c>
      <c r="T108" s="47" t="b">
        <v>1</v>
      </c>
      <c r="U108" s="48">
        <v>12.0</v>
      </c>
      <c r="V108" s="16"/>
      <c r="W108" s="16"/>
      <c r="X108" s="16"/>
      <c r="Y108" s="51"/>
      <c r="Z108" s="16"/>
      <c r="AA108" s="16"/>
      <c r="AB108" s="16"/>
      <c r="AC108" s="16"/>
    </row>
    <row r="109">
      <c r="A109" s="16" t="s">
        <v>249</v>
      </c>
      <c r="B109" s="16" t="s">
        <v>250</v>
      </c>
      <c r="C109" s="17" t="s">
        <v>38</v>
      </c>
      <c r="D109" s="16" t="s">
        <v>5</v>
      </c>
      <c r="E109" s="17" t="b">
        <f t="shared" ref="E109:K109" si="109">IF(IFERROR(SEARCH(E$1, $D109),0) &gt;= 1, TRUE,FALSE)</f>
        <v>0</v>
      </c>
      <c r="F109" s="17" t="b">
        <f t="shared" si="109"/>
        <v>1</v>
      </c>
      <c r="G109" s="17" t="b">
        <f t="shared" si="109"/>
        <v>0</v>
      </c>
      <c r="H109" s="17" t="b">
        <f t="shared" si="109"/>
        <v>0</v>
      </c>
      <c r="I109" s="17" t="b">
        <f t="shared" si="109"/>
        <v>0</v>
      </c>
      <c r="J109" s="17" t="b">
        <f t="shared" si="109"/>
        <v>0</v>
      </c>
      <c r="K109" s="17" t="b">
        <f t="shared" si="109"/>
        <v>0</v>
      </c>
      <c r="L109" s="17"/>
      <c r="M109" s="47" t="b">
        <v>1</v>
      </c>
      <c r="N109" s="47" t="b">
        <v>0</v>
      </c>
      <c r="O109" s="47" t="b">
        <v>1</v>
      </c>
      <c r="P109" s="47" t="b">
        <v>1</v>
      </c>
      <c r="Q109" s="16" t="str">
        <f t="shared" si="3"/>
        <v>Plantentuin Meise</v>
      </c>
      <c r="R109" s="48">
        <v>15.0</v>
      </c>
      <c r="S109" s="47" t="b">
        <v>0</v>
      </c>
      <c r="T109" s="47" t="b">
        <v>0</v>
      </c>
      <c r="U109" s="16"/>
      <c r="V109" s="16"/>
      <c r="W109" s="16"/>
      <c r="X109" s="16"/>
      <c r="Y109" s="51"/>
      <c r="Z109" s="16"/>
      <c r="AA109" s="16"/>
      <c r="AB109" s="16"/>
      <c r="AC109" s="16"/>
    </row>
    <row r="110">
      <c r="A110" s="16" t="s">
        <v>251</v>
      </c>
      <c r="B110" s="16" t="s">
        <v>252</v>
      </c>
      <c r="C110" s="17" t="s">
        <v>38</v>
      </c>
      <c r="D110" s="16" t="s">
        <v>253</v>
      </c>
      <c r="E110" s="17" t="b">
        <f t="shared" ref="E110:K110" si="110">IF(IFERROR(SEARCH(E$1, $D110),0) &gt;= 1, TRUE,FALSE)</f>
        <v>0</v>
      </c>
      <c r="F110" s="17" t="b">
        <f t="shared" si="110"/>
        <v>0</v>
      </c>
      <c r="G110" s="17" t="b">
        <f t="shared" si="110"/>
        <v>0</v>
      </c>
      <c r="H110" s="17" t="b">
        <f t="shared" si="110"/>
        <v>0</v>
      </c>
      <c r="I110" s="17" t="b">
        <f t="shared" si="110"/>
        <v>0</v>
      </c>
      <c r="J110" s="17" t="b">
        <f t="shared" si="110"/>
        <v>0</v>
      </c>
      <c r="K110" s="17" t="b">
        <f t="shared" si="110"/>
        <v>0</v>
      </c>
      <c r="L110" s="17"/>
      <c r="M110" s="47" t="b">
        <v>0</v>
      </c>
      <c r="N110" s="47" t="b">
        <v>0</v>
      </c>
      <c r="O110" s="47" t="b">
        <v>0</v>
      </c>
      <c r="P110" s="47" t="b">
        <v>0</v>
      </c>
      <c r="Q110" s="16" t="str">
        <f t="shared" si="3"/>
        <v>Universiteitsbibliotheek KU Leuven</v>
      </c>
      <c r="R110" s="48">
        <v>0.0</v>
      </c>
      <c r="S110" s="47" t="b">
        <v>0</v>
      </c>
      <c r="T110" s="47" t="b">
        <v>0</v>
      </c>
      <c r="U110" s="16"/>
      <c r="V110" s="16"/>
      <c r="W110" s="16"/>
      <c r="X110" s="16"/>
      <c r="Y110" s="51"/>
      <c r="Z110" s="16"/>
      <c r="AA110" s="16"/>
      <c r="AB110" s="16"/>
      <c r="AC110" s="16"/>
    </row>
    <row r="111">
      <c r="A111" s="16" t="s">
        <v>254</v>
      </c>
      <c r="B111" s="16" t="s">
        <v>255</v>
      </c>
      <c r="C111" s="17" t="s">
        <v>40</v>
      </c>
      <c r="D111" s="16" t="s">
        <v>5</v>
      </c>
      <c r="E111" s="17" t="b">
        <f t="shared" ref="E111:K111" si="111">IF(IFERROR(SEARCH(E$1, $D111),0) &gt;= 1, TRUE,FALSE)</f>
        <v>0</v>
      </c>
      <c r="F111" s="17" t="b">
        <f t="shared" si="111"/>
        <v>1</v>
      </c>
      <c r="G111" s="17" t="b">
        <f t="shared" si="111"/>
        <v>0</v>
      </c>
      <c r="H111" s="17" t="b">
        <f t="shared" si="111"/>
        <v>0</v>
      </c>
      <c r="I111" s="17" t="b">
        <f t="shared" si="111"/>
        <v>0</v>
      </c>
      <c r="J111" s="17" t="b">
        <f t="shared" si="111"/>
        <v>0</v>
      </c>
      <c r="K111" s="17" t="b">
        <f t="shared" si="111"/>
        <v>0</v>
      </c>
      <c r="L111" s="17"/>
      <c r="M111" s="47" t="b">
        <v>0</v>
      </c>
      <c r="N111" s="47" t="b">
        <v>0</v>
      </c>
      <c r="O111" s="47" t="b">
        <v>0</v>
      </c>
      <c r="P111" s="47" t="b">
        <v>0</v>
      </c>
      <c r="Q111" s="16" t="str">
        <f t="shared" si="3"/>
        <v>Apotheekmuseum</v>
      </c>
      <c r="R111" s="48">
        <v>6.0</v>
      </c>
      <c r="S111" s="47" t="b">
        <v>0</v>
      </c>
      <c r="T111" s="47" t="b">
        <v>0</v>
      </c>
      <c r="U111" s="16"/>
      <c r="V111" s="16"/>
      <c r="W111" s="16"/>
      <c r="X111" s="16"/>
      <c r="Y111" s="51"/>
      <c r="Z111" s="16"/>
      <c r="AA111" s="16"/>
      <c r="AB111" s="16"/>
      <c r="AC111" s="16"/>
    </row>
    <row r="112">
      <c r="A112" s="16" t="s">
        <v>256</v>
      </c>
      <c r="B112" s="16"/>
      <c r="C112" s="17" t="s">
        <v>40</v>
      </c>
      <c r="D112" s="16" t="s">
        <v>198</v>
      </c>
      <c r="E112" s="17" t="b">
        <f t="shared" ref="E112:K112" si="112">IF(IFERROR(SEARCH(E$1, $D112),0) &gt;= 1, TRUE,FALSE)</f>
        <v>1</v>
      </c>
      <c r="F112" s="17" t="b">
        <f t="shared" si="112"/>
        <v>0</v>
      </c>
      <c r="G112" s="17" t="b">
        <f t="shared" si="112"/>
        <v>0</v>
      </c>
      <c r="H112" s="17" t="b">
        <f t="shared" si="112"/>
        <v>0</v>
      </c>
      <c r="I112" s="17" t="b">
        <f t="shared" si="112"/>
        <v>1</v>
      </c>
      <c r="J112" s="17" t="b">
        <f t="shared" si="112"/>
        <v>1</v>
      </c>
      <c r="K112" s="17" t="b">
        <f t="shared" si="112"/>
        <v>0</v>
      </c>
      <c r="L112" s="17"/>
      <c r="M112" s="47" t="b">
        <v>1</v>
      </c>
      <c r="N112" s="47" t="b">
        <v>1</v>
      </c>
      <c r="O112" s="47" t="b">
        <v>1</v>
      </c>
      <c r="P112" s="47" t="b">
        <v>1</v>
      </c>
      <c r="Q112" s="16" t="str">
        <f t="shared" si="3"/>
        <v>C-mine</v>
      </c>
      <c r="R112" s="48">
        <v>14.0</v>
      </c>
      <c r="S112" s="47" t="b">
        <v>0</v>
      </c>
      <c r="T112" s="47" t="b">
        <v>1</v>
      </c>
      <c r="U112" s="48">
        <v>14.0</v>
      </c>
      <c r="V112" s="16"/>
      <c r="W112" s="16"/>
      <c r="X112" s="16"/>
      <c r="Y112" s="51"/>
      <c r="Z112" s="16"/>
      <c r="AA112" s="16"/>
      <c r="AB112" s="16"/>
      <c r="AC112" s="16"/>
    </row>
    <row r="113">
      <c r="A113" s="16" t="s">
        <v>257</v>
      </c>
      <c r="B113" s="16" t="s">
        <v>258</v>
      </c>
      <c r="C113" s="17" t="s">
        <v>40</v>
      </c>
      <c r="D113" s="16" t="s">
        <v>259</v>
      </c>
      <c r="E113" s="17" t="b">
        <f t="shared" ref="E113:K113" si="113">IF(IFERROR(SEARCH(E$1, $D113),0) &gt;= 1, TRUE,FALSE)</f>
        <v>1</v>
      </c>
      <c r="F113" s="17" t="b">
        <f t="shared" si="113"/>
        <v>0</v>
      </c>
      <c r="G113" s="17" t="b">
        <f t="shared" si="113"/>
        <v>0</v>
      </c>
      <c r="H113" s="17" t="b">
        <f t="shared" si="113"/>
        <v>1</v>
      </c>
      <c r="I113" s="17" t="b">
        <f t="shared" si="113"/>
        <v>0</v>
      </c>
      <c r="J113" s="17" t="b">
        <f t="shared" si="113"/>
        <v>1</v>
      </c>
      <c r="K113" s="17" t="b">
        <f t="shared" si="113"/>
        <v>1</v>
      </c>
      <c r="L113" s="17"/>
      <c r="M113" s="47" t="b">
        <v>1</v>
      </c>
      <c r="N113" s="47" t="b">
        <v>0</v>
      </c>
      <c r="O113" s="47" t="b">
        <v>0</v>
      </c>
      <c r="P113" s="47" t="b">
        <v>0</v>
      </c>
      <c r="Q113" s="16" t="str">
        <f t="shared" si="3"/>
        <v>DE MINDERE</v>
      </c>
      <c r="R113" s="48">
        <v>0.0</v>
      </c>
      <c r="S113" s="47" t="b">
        <v>0</v>
      </c>
      <c r="T113" s="47" t="b">
        <v>1</v>
      </c>
      <c r="U113" s="48">
        <v>0.0</v>
      </c>
      <c r="V113" s="16"/>
      <c r="W113" s="16"/>
      <c r="X113" s="16"/>
      <c r="Y113" s="51"/>
      <c r="Z113" s="16"/>
      <c r="AA113" s="16"/>
      <c r="AB113" s="16"/>
      <c r="AC113" s="16"/>
    </row>
    <row r="114">
      <c r="A114" s="16" t="s">
        <v>260</v>
      </c>
      <c r="B114" s="16"/>
      <c r="C114" s="17" t="s">
        <v>40</v>
      </c>
      <c r="D114" s="16" t="s">
        <v>198</v>
      </c>
      <c r="E114" s="17" t="b">
        <f t="shared" ref="E114:K114" si="114">IF(IFERROR(SEARCH(E$1, $D114),0) &gt;= 1, TRUE,FALSE)</f>
        <v>1</v>
      </c>
      <c r="F114" s="17" t="b">
        <f t="shared" si="114"/>
        <v>0</v>
      </c>
      <c r="G114" s="17" t="b">
        <f t="shared" si="114"/>
        <v>0</v>
      </c>
      <c r="H114" s="17" t="b">
        <f t="shared" si="114"/>
        <v>0</v>
      </c>
      <c r="I114" s="17" t="b">
        <f t="shared" si="114"/>
        <v>1</v>
      </c>
      <c r="J114" s="17" t="b">
        <f t="shared" si="114"/>
        <v>1</v>
      </c>
      <c r="K114" s="17" t="b">
        <f t="shared" si="114"/>
        <v>0</v>
      </c>
      <c r="L114" s="17"/>
      <c r="M114" s="47" t="b">
        <v>1</v>
      </c>
      <c r="N114" s="47" t="b">
        <v>1</v>
      </c>
      <c r="O114" s="47" t="b">
        <v>0</v>
      </c>
      <c r="P114" s="47" t="b">
        <v>1</v>
      </c>
      <c r="Q114" s="16" t="str">
        <f t="shared" si="3"/>
        <v>Duitse Orde Museum (DOMUS) Alden Biesen</v>
      </c>
      <c r="R114" s="48">
        <v>8.0</v>
      </c>
      <c r="S114" s="47" t="b">
        <v>0</v>
      </c>
      <c r="T114" s="47" t="b">
        <v>1</v>
      </c>
      <c r="U114" s="48">
        <v>8.0</v>
      </c>
      <c r="V114" s="16"/>
      <c r="W114" s="16"/>
      <c r="X114" s="16"/>
      <c r="Y114" s="51"/>
      <c r="Z114" s="16"/>
      <c r="AA114" s="16"/>
      <c r="AB114" s="16"/>
      <c r="AC114" s="16"/>
    </row>
    <row r="115">
      <c r="A115" s="16" t="s">
        <v>261</v>
      </c>
      <c r="B115" s="16" t="s">
        <v>262</v>
      </c>
      <c r="C115" s="17" t="s">
        <v>40</v>
      </c>
      <c r="D115" s="16" t="s">
        <v>4</v>
      </c>
      <c r="E115" s="17" t="b">
        <f t="shared" ref="E115:K115" si="115">IF(IFERROR(SEARCH(E$1, $D115),0) &gt;= 1, TRUE,FALSE)</f>
        <v>1</v>
      </c>
      <c r="F115" s="17" t="b">
        <f t="shared" si="115"/>
        <v>0</v>
      </c>
      <c r="G115" s="17" t="b">
        <f t="shared" si="115"/>
        <v>0</v>
      </c>
      <c r="H115" s="17" t="b">
        <f t="shared" si="115"/>
        <v>0</v>
      </c>
      <c r="I115" s="17" t="b">
        <f t="shared" si="115"/>
        <v>0</v>
      </c>
      <c r="J115" s="17" t="b">
        <f t="shared" si="115"/>
        <v>0</v>
      </c>
      <c r="K115" s="17" t="b">
        <f t="shared" si="115"/>
        <v>0</v>
      </c>
      <c r="L115" s="17"/>
      <c r="M115" s="47" t="b">
        <v>1</v>
      </c>
      <c r="N115" s="47" t="b">
        <v>0</v>
      </c>
      <c r="O115" s="47" t="b">
        <v>1</v>
      </c>
      <c r="P115" s="47" t="b">
        <v>1</v>
      </c>
      <c r="Q115" s="16" t="str">
        <f t="shared" si="3"/>
        <v>Gallo-Romeins Museum</v>
      </c>
      <c r="R115" s="48">
        <v>8.0</v>
      </c>
      <c r="S115" s="47" t="b">
        <v>0</v>
      </c>
      <c r="T115" s="47" t="b">
        <v>1</v>
      </c>
      <c r="U115" s="48">
        <v>13.0</v>
      </c>
      <c r="V115" s="16"/>
      <c r="W115" s="16"/>
      <c r="X115" s="16"/>
      <c r="Y115" s="51"/>
      <c r="Z115" s="16"/>
      <c r="AA115" s="16"/>
      <c r="AB115" s="16"/>
      <c r="AC115" s="16"/>
    </row>
    <row r="116">
      <c r="A116" s="16" t="s">
        <v>263</v>
      </c>
      <c r="B116" s="16"/>
      <c r="C116" s="17" t="s">
        <v>40</v>
      </c>
      <c r="D116" s="16" t="s">
        <v>68</v>
      </c>
      <c r="E116" s="17" t="b">
        <f t="shared" ref="E116:K116" si="116">IF(IFERROR(SEARCH(E$1, $D116),0) &gt;= 1, TRUE,FALSE)</f>
        <v>1</v>
      </c>
      <c r="F116" s="17" t="b">
        <f t="shared" si="116"/>
        <v>0</v>
      </c>
      <c r="G116" s="17" t="b">
        <f t="shared" si="116"/>
        <v>0</v>
      </c>
      <c r="H116" s="17" t="b">
        <f t="shared" si="116"/>
        <v>0</v>
      </c>
      <c r="I116" s="17" t="b">
        <f t="shared" si="116"/>
        <v>1</v>
      </c>
      <c r="J116" s="17" t="b">
        <f t="shared" si="116"/>
        <v>1</v>
      </c>
      <c r="K116" s="17" t="b">
        <f t="shared" si="116"/>
        <v>1</v>
      </c>
      <c r="L116" s="17"/>
      <c r="M116" s="47" t="b">
        <v>1</v>
      </c>
      <c r="N116" s="47" t="b">
        <v>0</v>
      </c>
      <c r="O116" s="47" t="b">
        <v>0</v>
      </c>
      <c r="P116" s="47" t="b">
        <v>0</v>
      </c>
      <c r="Q116" s="16" t="str">
        <f t="shared" si="3"/>
        <v>GlazenHuis</v>
      </c>
      <c r="R116" s="48">
        <v>5.0</v>
      </c>
      <c r="S116" s="47" t="b">
        <v>1</v>
      </c>
      <c r="T116" s="47" t="b">
        <v>0</v>
      </c>
      <c r="U116" s="16"/>
      <c r="V116" s="16"/>
      <c r="W116" s="16"/>
      <c r="X116" s="16"/>
      <c r="Y116" s="51"/>
      <c r="Z116" s="16"/>
      <c r="AA116" s="16"/>
      <c r="AB116" s="16"/>
      <c r="AC116" s="16"/>
    </row>
    <row r="117">
      <c r="A117" s="16" t="s">
        <v>264</v>
      </c>
      <c r="B117" s="16" t="s">
        <v>265</v>
      </c>
      <c r="C117" s="17" t="s">
        <v>40</v>
      </c>
      <c r="D117" s="16" t="s">
        <v>95</v>
      </c>
      <c r="E117" s="17" t="b">
        <f t="shared" ref="E117:K117" si="117">IF(IFERROR(SEARCH(E$1, $D117),0) &gt;= 1, TRUE,FALSE)</f>
        <v>1</v>
      </c>
      <c r="F117" s="17" t="b">
        <f t="shared" si="117"/>
        <v>0</v>
      </c>
      <c r="G117" s="17" t="b">
        <f t="shared" si="117"/>
        <v>0</v>
      </c>
      <c r="H117" s="17" t="b">
        <f t="shared" si="117"/>
        <v>0</v>
      </c>
      <c r="I117" s="17" t="b">
        <f t="shared" si="117"/>
        <v>0</v>
      </c>
      <c r="J117" s="17" t="b">
        <f t="shared" si="117"/>
        <v>1</v>
      </c>
      <c r="K117" s="17" t="b">
        <f t="shared" si="117"/>
        <v>0</v>
      </c>
      <c r="L117" s="17"/>
      <c r="M117" s="47" t="b">
        <v>1</v>
      </c>
      <c r="N117" s="47" t="b">
        <v>0</v>
      </c>
      <c r="O117" s="47" t="b">
        <v>0</v>
      </c>
      <c r="P117" s="47" t="b">
        <v>0</v>
      </c>
      <c r="Q117" s="16" t="str">
        <f t="shared" si="3"/>
        <v>Het Stadsmus Hasselt</v>
      </c>
      <c r="R117" s="48">
        <v>0.0</v>
      </c>
      <c r="S117" s="47" t="b">
        <v>0</v>
      </c>
      <c r="T117" s="47" t="b">
        <v>0</v>
      </c>
      <c r="U117" s="16"/>
      <c r="V117" s="16"/>
      <c r="W117" s="16"/>
      <c r="X117" s="16"/>
      <c r="Y117" s="51"/>
      <c r="Z117" s="16"/>
      <c r="AA117" s="16"/>
      <c r="AB117" s="16"/>
      <c r="AC117" s="16"/>
    </row>
    <row r="118">
      <c r="A118" s="16" t="s">
        <v>266</v>
      </c>
      <c r="B118" s="16" t="s">
        <v>267</v>
      </c>
      <c r="C118" s="17" t="s">
        <v>40</v>
      </c>
      <c r="D118" s="16" t="s">
        <v>107</v>
      </c>
      <c r="E118" s="17" t="b">
        <f t="shared" ref="E118:K118" si="118">IF(IFERROR(SEARCH(E$1, $D118),0) &gt;= 1, TRUE,FALSE)</f>
        <v>1</v>
      </c>
      <c r="F118" s="17" t="b">
        <f t="shared" si="118"/>
        <v>1</v>
      </c>
      <c r="G118" s="17" t="b">
        <f t="shared" si="118"/>
        <v>0</v>
      </c>
      <c r="H118" s="17" t="b">
        <f t="shared" si="118"/>
        <v>0</v>
      </c>
      <c r="I118" s="17" t="b">
        <f t="shared" si="118"/>
        <v>0</v>
      </c>
      <c r="J118" s="17" t="b">
        <f t="shared" si="118"/>
        <v>0</v>
      </c>
      <c r="K118" s="17" t="b">
        <f t="shared" si="118"/>
        <v>0</v>
      </c>
      <c r="L118" s="17"/>
      <c r="M118" s="47" t="b">
        <v>1</v>
      </c>
      <c r="N118" s="47" t="b">
        <v>0</v>
      </c>
      <c r="O118" s="47" t="b">
        <v>0</v>
      </c>
      <c r="P118" s="47" t="b">
        <v>1</v>
      </c>
      <c r="Q118" s="16" t="str">
        <f t="shared" si="3"/>
        <v>Jenevermuseum</v>
      </c>
      <c r="R118" s="48">
        <v>7.0</v>
      </c>
      <c r="S118" s="47" t="b">
        <v>0</v>
      </c>
      <c r="T118" s="47" t="b">
        <v>1</v>
      </c>
      <c r="U118" s="48">
        <v>7.0</v>
      </c>
      <c r="V118" s="16"/>
      <c r="W118" s="16"/>
      <c r="X118" s="16"/>
      <c r="Y118" s="51"/>
      <c r="Z118" s="16"/>
      <c r="AA118" s="16"/>
      <c r="AB118" s="16"/>
      <c r="AC118" s="16"/>
    </row>
    <row r="119">
      <c r="A119" s="16" t="s">
        <v>268</v>
      </c>
      <c r="B119" s="16"/>
      <c r="C119" s="17" t="s">
        <v>40</v>
      </c>
      <c r="D119" s="16" t="s">
        <v>269</v>
      </c>
      <c r="E119" s="17" t="b">
        <f t="shared" ref="E119:K119" si="119">IF(IFERROR(SEARCH(E$1, $D119),0) &gt;= 1, TRUE,FALSE)</f>
        <v>0</v>
      </c>
      <c r="F119" s="17" t="b">
        <f t="shared" si="119"/>
        <v>1</v>
      </c>
      <c r="G119" s="17" t="b">
        <f t="shared" si="119"/>
        <v>0</v>
      </c>
      <c r="H119" s="17" t="b">
        <f t="shared" si="119"/>
        <v>0</v>
      </c>
      <c r="I119" s="17" t="b">
        <f t="shared" si="119"/>
        <v>1</v>
      </c>
      <c r="J119" s="17" t="b">
        <f t="shared" si="119"/>
        <v>1</v>
      </c>
      <c r="K119" s="17" t="b">
        <f t="shared" si="119"/>
        <v>0</v>
      </c>
      <c r="L119" s="17"/>
      <c r="M119" s="47" t="b">
        <v>1</v>
      </c>
      <c r="N119" s="47" t="b">
        <v>1</v>
      </c>
      <c r="O119" s="47" t="b">
        <v>0</v>
      </c>
      <c r="P119" s="47" t="b">
        <v>0</v>
      </c>
      <c r="Q119" s="16" t="str">
        <f t="shared" si="3"/>
        <v>LABIOMISTA</v>
      </c>
      <c r="R119" s="48">
        <v>14.0</v>
      </c>
      <c r="S119" s="47" t="b">
        <v>1</v>
      </c>
      <c r="T119" s="47" t="b">
        <v>0</v>
      </c>
      <c r="U119" s="16"/>
      <c r="V119" s="16"/>
      <c r="W119" s="16"/>
      <c r="X119" s="16"/>
      <c r="Y119" s="51"/>
      <c r="Z119" s="16"/>
      <c r="AA119" s="16"/>
      <c r="AB119" s="16"/>
      <c r="AC119" s="16"/>
    </row>
    <row r="120">
      <c r="A120" s="16" t="s">
        <v>270</v>
      </c>
      <c r="B120" s="16"/>
      <c r="C120" s="17" t="s">
        <v>40</v>
      </c>
      <c r="D120" s="16" t="s">
        <v>4</v>
      </c>
      <c r="E120" s="17" t="b">
        <f t="shared" ref="E120:K120" si="120">IF(IFERROR(SEARCH(E$1, $D120),0) &gt;= 1, TRUE,FALSE)</f>
        <v>1</v>
      </c>
      <c r="F120" s="17" t="b">
        <f t="shared" si="120"/>
        <v>0</v>
      </c>
      <c r="G120" s="17" t="b">
        <f t="shared" si="120"/>
        <v>0</v>
      </c>
      <c r="H120" s="17" t="b">
        <f t="shared" si="120"/>
        <v>0</v>
      </c>
      <c r="I120" s="17" t="b">
        <f t="shared" si="120"/>
        <v>0</v>
      </c>
      <c r="J120" s="17" t="b">
        <f t="shared" si="120"/>
        <v>0</v>
      </c>
      <c r="K120" s="17" t="b">
        <f t="shared" si="120"/>
        <v>0</v>
      </c>
      <c r="L120" s="17"/>
      <c r="M120" s="47" t="b">
        <v>1</v>
      </c>
      <c r="N120" s="47" t="b">
        <v>1</v>
      </c>
      <c r="O120" s="47" t="b">
        <v>0</v>
      </c>
      <c r="P120" s="47" t="b">
        <v>1</v>
      </c>
      <c r="Q120" s="16" t="str">
        <f t="shared" si="3"/>
        <v>Liberation Garden Leopoldsburg</v>
      </c>
      <c r="R120" s="48">
        <v>15.0</v>
      </c>
      <c r="S120" s="47" t="b">
        <v>0</v>
      </c>
      <c r="T120" s="47" t="b">
        <v>0</v>
      </c>
      <c r="U120" s="16"/>
      <c r="V120" s="16"/>
      <c r="W120" s="16"/>
      <c r="X120" s="16"/>
      <c r="Y120" s="51"/>
      <c r="Z120" s="16"/>
      <c r="AA120" s="16"/>
      <c r="AB120" s="16"/>
      <c r="AC120" s="16"/>
    </row>
    <row r="121">
      <c r="A121" s="16" t="s">
        <v>271</v>
      </c>
      <c r="B121" s="16" t="s">
        <v>272</v>
      </c>
      <c r="C121" s="17" t="s">
        <v>40</v>
      </c>
      <c r="D121" s="16" t="s">
        <v>6</v>
      </c>
      <c r="E121" s="17" t="b">
        <f t="shared" ref="E121:K121" si="121">IF(IFERROR(SEARCH(E$1, $D121),0) &gt;= 1, TRUE,FALSE)</f>
        <v>0</v>
      </c>
      <c r="F121" s="17" t="b">
        <f t="shared" si="121"/>
        <v>0</v>
      </c>
      <c r="G121" s="17" t="b">
        <f t="shared" si="121"/>
        <v>1</v>
      </c>
      <c r="H121" s="17" t="b">
        <f t="shared" si="121"/>
        <v>0</v>
      </c>
      <c r="I121" s="17" t="b">
        <f t="shared" si="121"/>
        <v>0</v>
      </c>
      <c r="J121" s="17" t="b">
        <f t="shared" si="121"/>
        <v>0</v>
      </c>
      <c r="K121" s="17" t="b">
        <f t="shared" si="121"/>
        <v>0</v>
      </c>
      <c r="L121" s="17"/>
      <c r="M121" s="47" t="b">
        <v>1</v>
      </c>
      <c r="N121" s="47" t="b">
        <v>0</v>
      </c>
      <c r="O121" s="47" t="b">
        <v>0</v>
      </c>
      <c r="P121" s="47" t="b">
        <v>0</v>
      </c>
      <c r="Q121" s="16" t="str">
        <f t="shared" si="3"/>
        <v>Modemuseum Hasselt</v>
      </c>
      <c r="R121" s="48">
        <v>8.0</v>
      </c>
      <c r="S121" s="47" t="b">
        <v>0</v>
      </c>
      <c r="T121" s="47" t="b">
        <v>1</v>
      </c>
      <c r="U121" s="48">
        <v>8.0</v>
      </c>
      <c r="V121" s="16"/>
      <c r="W121" s="16"/>
      <c r="X121" s="16"/>
      <c r="Y121" s="51"/>
      <c r="Z121" s="16"/>
      <c r="AA121" s="16"/>
      <c r="AB121" s="16"/>
      <c r="AC121" s="16"/>
    </row>
    <row r="122">
      <c r="A122" s="16" t="s">
        <v>273</v>
      </c>
      <c r="B122" s="16" t="s">
        <v>274</v>
      </c>
      <c r="C122" s="17" t="s">
        <v>40</v>
      </c>
      <c r="D122" s="16" t="s">
        <v>4</v>
      </c>
      <c r="E122" s="17" t="b">
        <f t="shared" ref="E122:K122" si="122">IF(IFERROR(SEARCH(E$1, $D122),0) &gt;= 1, TRUE,FALSE)</f>
        <v>1</v>
      </c>
      <c r="F122" s="17" t="b">
        <f t="shared" si="122"/>
        <v>0</v>
      </c>
      <c r="G122" s="17" t="b">
        <f t="shared" si="122"/>
        <v>0</v>
      </c>
      <c r="H122" s="17" t="b">
        <f t="shared" si="122"/>
        <v>0</v>
      </c>
      <c r="I122" s="17" t="b">
        <f t="shared" si="122"/>
        <v>0</v>
      </c>
      <c r="J122" s="17" t="b">
        <f t="shared" si="122"/>
        <v>0</v>
      </c>
      <c r="K122" s="17" t="b">
        <f t="shared" si="122"/>
        <v>0</v>
      </c>
      <c r="L122" s="17"/>
      <c r="M122" s="47" t="b">
        <v>1</v>
      </c>
      <c r="N122" s="47" t="b">
        <v>1</v>
      </c>
      <c r="O122" s="47" t="b">
        <v>1</v>
      </c>
      <c r="P122" s="47" t="b">
        <v>1</v>
      </c>
      <c r="Q122" s="16" t="str">
        <f t="shared" si="3"/>
        <v>Openluchtmuseum Bokrijk</v>
      </c>
      <c r="R122" s="48">
        <v>16.0</v>
      </c>
      <c r="S122" s="47" t="b">
        <v>1</v>
      </c>
      <c r="T122" s="47" t="b">
        <v>0</v>
      </c>
      <c r="U122" s="16"/>
      <c r="V122" s="16"/>
      <c r="W122" s="16"/>
      <c r="X122" s="16"/>
      <c r="Y122" s="51"/>
      <c r="Z122" s="16"/>
      <c r="AA122" s="16"/>
      <c r="AB122" s="16"/>
      <c r="AC122" s="16"/>
    </row>
    <row r="123">
      <c r="A123" s="16" t="s">
        <v>275</v>
      </c>
      <c r="B123" s="16" t="s">
        <v>276</v>
      </c>
      <c r="C123" s="17" t="s">
        <v>40</v>
      </c>
      <c r="D123" s="16" t="s">
        <v>4</v>
      </c>
      <c r="E123" s="17" t="b">
        <f t="shared" ref="E123:K123" si="123">IF(IFERROR(SEARCH(E$1, $D123),0) &gt;= 1, TRUE,FALSE)</f>
        <v>1</v>
      </c>
      <c r="F123" s="17" t="b">
        <f t="shared" si="123"/>
        <v>0</v>
      </c>
      <c r="G123" s="17" t="b">
        <f t="shared" si="123"/>
        <v>0</v>
      </c>
      <c r="H123" s="17" t="b">
        <f t="shared" si="123"/>
        <v>0</v>
      </c>
      <c r="I123" s="17" t="b">
        <f t="shared" si="123"/>
        <v>0</v>
      </c>
      <c r="J123" s="17" t="b">
        <f t="shared" si="123"/>
        <v>0</v>
      </c>
      <c r="K123" s="17" t="b">
        <f t="shared" si="123"/>
        <v>0</v>
      </c>
      <c r="L123" s="17"/>
      <c r="M123" s="47" t="b">
        <v>1</v>
      </c>
      <c r="N123" s="47" t="b">
        <v>0</v>
      </c>
      <c r="O123" s="47" t="b">
        <v>0</v>
      </c>
      <c r="P123" s="47" t="b">
        <v>0</v>
      </c>
      <c r="Q123" s="16" t="str">
        <f t="shared" si="3"/>
        <v>RAM | Regionaal Archeologisch Museum</v>
      </c>
      <c r="R123" s="50">
        <v>6.0</v>
      </c>
      <c r="S123" s="47" t="b">
        <v>0</v>
      </c>
      <c r="T123" s="47" t="b">
        <v>0</v>
      </c>
      <c r="U123" s="16"/>
      <c r="V123" s="16"/>
      <c r="W123" s="16"/>
      <c r="X123" s="16"/>
      <c r="Y123" s="51"/>
      <c r="Z123" s="16"/>
      <c r="AA123" s="16"/>
      <c r="AB123" s="16"/>
      <c r="AC123" s="16"/>
    </row>
    <row r="124">
      <c r="A124" s="16" t="s">
        <v>277</v>
      </c>
      <c r="B124" s="16" t="s">
        <v>278</v>
      </c>
      <c r="C124" s="17" t="s">
        <v>40</v>
      </c>
      <c r="D124" s="16" t="s">
        <v>9</v>
      </c>
      <c r="E124" s="17" t="b">
        <f t="shared" ref="E124:K124" si="124">IF(IFERROR(SEARCH(E$1, $D124),0) &gt;= 1, TRUE,FALSE)</f>
        <v>0</v>
      </c>
      <c r="F124" s="17" t="b">
        <f t="shared" si="124"/>
        <v>0</v>
      </c>
      <c r="G124" s="17" t="b">
        <f t="shared" si="124"/>
        <v>0</v>
      </c>
      <c r="H124" s="17" t="b">
        <f t="shared" si="124"/>
        <v>0</v>
      </c>
      <c r="I124" s="17" t="b">
        <f t="shared" si="124"/>
        <v>0</v>
      </c>
      <c r="J124" s="17" t="b">
        <f t="shared" si="124"/>
        <v>1</v>
      </c>
      <c r="K124" s="17" t="b">
        <f t="shared" si="124"/>
        <v>0</v>
      </c>
      <c r="L124" s="17"/>
      <c r="M124" s="47" t="b">
        <v>0</v>
      </c>
      <c r="N124" s="47" t="b">
        <v>0</v>
      </c>
      <c r="O124" s="47" t="b">
        <v>0</v>
      </c>
      <c r="P124" s="47" t="b">
        <v>0</v>
      </c>
      <c r="Q124" s="16" t="str">
        <f t="shared" si="3"/>
        <v>Schatkamer van Sint-Catharina</v>
      </c>
      <c r="R124" s="48">
        <v>6.0</v>
      </c>
      <c r="S124" s="47" t="b">
        <v>0</v>
      </c>
      <c r="T124" s="47" t="b">
        <v>0</v>
      </c>
      <c r="U124" s="16"/>
      <c r="V124" s="16"/>
      <c r="W124" s="16"/>
      <c r="X124" s="16"/>
      <c r="Y124" s="51"/>
      <c r="Z124" s="16"/>
      <c r="AA124" s="16"/>
      <c r="AB124" s="16"/>
      <c r="AC124" s="16"/>
    </row>
    <row r="125">
      <c r="A125" s="16" t="s">
        <v>279</v>
      </c>
      <c r="B125" s="16" t="s">
        <v>280</v>
      </c>
      <c r="C125" s="17" t="s">
        <v>40</v>
      </c>
      <c r="D125" s="16" t="s">
        <v>281</v>
      </c>
      <c r="E125" s="17" t="b">
        <f t="shared" ref="E125:K125" si="125">IF(IFERROR(SEARCH(E$1, $D125),0) &gt;= 1, TRUE,FALSE)</f>
        <v>0</v>
      </c>
      <c r="F125" s="17" t="b">
        <f t="shared" si="125"/>
        <v>0</v>
      </c>
      <c r="G125" s="17" t="b">
        <f t="shared" si="125"/>
        <v>0</v>
      </c>
      <c r="H125" s="17" t="b">
        <f t="shared" si="125"/>
        <v>0</v>
      </c>
      <c r="I125" s="17" t="b">
        <f t="shared" si="125"/>
        <v>1</v>
      </c>
      <c r="J125" s="17" t="b">
        <f t="shared" si="125"/>
        <v>1</v>
      </c>
      <c r="K125" s="17" t="b">
        <f t="shared" si="125"/>
        <v>1</v>
      </c>
      <c r="L125" s="17"/>
      <c r="M125" s="47" t="b">
        <v>1</v>
      </c>
      <c r="N125" s="47" t="b">
        <v>0</v>
      </c>
      <c r="O125" s="47" t="b">
        <v>1</v>
      </c>
      <c r="P125" s="47" t="b">
        <v>1</v>
      </c>
      <c r="Q125" s="16" t="str">
        <f t="shared" si="3"/>
        <v>Z33 | Huis voor Actuele Kunst, Design &amp; Architectuur</v>
      </c>
      <c r="R125" s="48">
        <v>12.0</v>
      </c>
      <c r="S125" s="47" t="b">
        <v>0</v>
      </c>
      <c r="T125" s="47" t="b">
        <v>1</v>
      </c>
      <c r="U125" s="48">
        <v>12.0</v>
      </c>
      <c r="V125" s="16"/>
      <c r="W125" s="16"/>
      <c r="X125" s="16"/>
      <c r="Y125" s="51"/>
      <c r="Z125" s="16"/>
      <c r="AA125" s="16"/>
      <c r="AB125" s="16"/>
      <c r="AC125" s="16"/>
    </row>
    <row r="126">
      <c r="A126" s="16" t="s">
        <v>282</v>
      </c>
      <c r="B126" s="16" t="s">
        <v>283</v>
      </c>
      <c r="C126" s="17" t="s">
        <v>43</v>
      </c>
      <c r="D126" s="16" t="s">
        <v>4</v>
      </c>
      <c r="E126" s="17" t="b">
        <f t="shared" ref="E126:K126" si="126">IF(IFERROR(SEARCH(E$1, $D126),0) &gt;= 1, TRUE,FALSE)</f>
        <v>1</v>
      </c>
      <c r="F126" s="17" t="b">
        <f t="shared" si="126"/>
        <v>0</v>
      </c>
      <c r="G126" s="17" t="b">
        <f t="shared" si="126"/>
        <v>0</v>
      </c>
      <c r="H126" s="17" t="b">
        <f t="shared" si="126"/>
        <v>0</v>
      </c>
      <c r="I126" s="17" t="b">
        <f t="shared" si="126"/>
        <v>0</v>
      </c>
      <c r="J126" s="17" t="b">
        <f t="shared" si="126"/>
        <v>0</v>
      </c>
      <c r="K126" s="17" t="b">
        <f t="shared" si="126"/>
        <v>0</v>
      </c>
      <c r="L126" s="17"/>
      <c r="M126" s="47" t="b">
        <v>1</v>
      </c>
      <c r="N126" s="47" t="b">
        <v>1</v>
      </c>
      <c r="O126" s="47" t="b">
        <v>1</v>
      </c>
      <c r="P126" s="47" t="b">
        <v>1</v>
      </c>
      <c r="Q126" s="16" t="str">
        <f t="shared" si="3"/>
        <v>Abdij van Stavelot</v>
      </c>
      <c r="R126" s="48">
        <v>11.0</v>
      </c>
      <c r="S126" s="47" t="b">
        <v>0</v>
      </c>
      <c r="T126" s="47" t="b">
        <v>1</v>
      </c>
      <c r="U126" s="48">
        <v>19.0</v>
      </c>
      <c r="V126" s="16"/>
      <c r="W126" s="16"/>
      <c r="X126" s="16"/>
      <c r="Y126" s="51"/>
      <c r="Z126" s="16"/>
      <c r="AA126" s="16"/>
      <c r="AB126" s="16"/>
      <c r="AC126" s="16"/>
    </row>
    <row r="127">
      <c r="A127" s="16" t="s">
        <v>284</v>
      </c>
      <c r="B127" s="16" t="s">
        <v>285</v>
      </c>
      <c r="C127" s="17" t="s">
        <v>43</v>
      </c>
      <c r="D127" s="16" t="s">
        <v>5</v>
      </c>
      <c r="E127" s="17" t="b">
        <f t="shared" ref="E127:K127" si="127">IF(IFERROR(SEARCH(E$1, $D127),0) &gt;= 1, TRUE,FALSE)</f>
        <v>0</v>
      </c>
      <c r="F127" s="17" t="b">
        <f t="shared" si="127"/>
        <v>1</v>
      </c>
      <c r="G127" s="17" t="b">
        <f t="shared" si="127"/>
        <v>0</v>
      </c>
      <c r="H127" s="17" t="b">
        <f t="shared" si="127"/>
        <v>0</v>
      </c>
      <c r="I127" s="17" t="b">
        <f t="shared" si="127"/>
        <v>0</v>
      </c>
      <c r="J127" s="17" t="b">
        <f t="shared" si="127"/>
        <v>0</v>
      </c>
      <c r="K127" s="17" t="b">
        <f t="shared" si="127"/>
        <v>0</v>
      </c>
      <c r="L127" s="17"/>
      <c r="M127" s="47" t="b">
        <v>1</v>
      </c>
      <c r="N127" s="47" t="b">
        <v>1</v>
      </c>
      <c r="O127" s="47" t="b">
        <v>1</v>
      </c>
      <c r="P127" s="47" t="b">
        <v>0</v>
      </c>
      <c r="Q127" s="16" t="str">
        <f t="shared" si="3"/>
        <v>Aquarium-Museum van Luik</v>
      </c>
      <c r="R127" s="48">
        <v>7.5</v>
      </c>
      <c r="S127" s="47" t="b">
        <v>1</v>
      </c>
      <c r="T127" s="47" t="b">
        <v>0</v>
      </c>
      <c r="U127" s="16"/>
      <c r="V127" s="16"/>
      <c r="W127" s="16"/>
      <c r="X127" s="16"/>
      <c r="Y127" s="51"/>
      <c r="Z127" s="16"/>
      <c r="AA127" s="16"/>
      <c r="AB127" s="16"/>
      <c r="AC127" s="16"/>
    </row>
    <row r="128">
      <c r="A128" s="16" t="s">
        <v>286</v>
      </c>
      <c r="B128" s="16" t="s">
        <v>287</v>
      </c>
      <c r="C128" s="17" t="s">
        <v>43</v>
      </c>
      <c r="D128" s="16" t="s">
        <v>4</v>
      </c>
      <c r="E128" s="17" t="b">
        <f t="shared" ref="E128:K128" si="128">IF(IFERROR(SEARCH(E$1, $D128),0) &gt;= 1, TRUE,FALSE)</f>
        <v>1</v>
      </c>
      <c r="F128" s="17" t="b">
        <f t="shared" si="128"/>
        <v>0</v>
      </c>
      <c r="G128" s="17" t="b">
        <f t="shared" si="128"/>
        <v>0</v>
      </c>
      <c r="H128" s="17" t="b">
        <f t="shared" si="128"/>
        <v>0</v>
      </c>
      <c r="I128" s="17" t="b">
        <f t="shared" si="128"/>
        <v>0</v>
      </c>
      <c r="J128" s="17" t="b">
        <f t="shared" si="128"/>
        <v>0</v>
      </c>
      <c r="K128" s="17" t="b">
        <f t="shared" si="128"/>
        <v>0</v>
      </c>
      <c r="L128" s="17"/>
      <c r="M128" s="47" t="b">
        <v>1</v>
      </c>
      <c r="N128" s="47" t="b">
        <v>0</v>
      </c>
      <c r="O128" s="47" t="b">
        <v>0</v>
      </c>
      <c r="P128" s="47" t="b">
        <v>0</v>
      </c>
      <c r="Q128" s="16" t="str">
        <f t="shared" si="3"/>
        <v>Archeoforum van Luik</v>
      </c>
      <c r="R128" s="48">
        <v>6.0</v>
      </c>
      <c r="S128" s="47" t="b">
        <v>0</v>
      </c>
      <c r="T128" s="47" t="b">
        <v>0</v>
      </c>
      <c r="U128" s="16"/>
      <c r="V128" s="16"/>
      <c r="W128" s="16"/>
      <c r="X128" s="16"/>
      <c r="Y128" s="51"/>
      <c r="Z128" s="16"/>
      <c r="AA128" s="16"/>
      <c r="AB128" s="16"/>
      <c r="AC128" s="16"/>
    </row>
    <row r="129">
      <c r="A129" s="16"/>
      <c r="B129" s="16" t="s">
        <v>288</v>
      </c>
      <c r="C129" s="17" t="s">
        <v>43</v>
      </c>
      <c r="D129" s="16" t="s">
        <v>95</v>
      </c>
      <c r="E129" s="17" t="b">
        <f t="shared" ref="E129:K129" si="129">IF(IFERROR(SEARCH(E$1, $D129),0) &gt;= 1, TRUE,FALSE)</f>
        <v>1</v>
      </c>
      <c r="F129" s="17" t="b">
        <f t="shared" si="129"/>
        <v>0</v>
      </c>
      <c r="G129" s="17" t="b">
        <f t="shared" si="129"/>
        <v>0</v>
      </c>
      <c r="H129" s="17" t="b">
        <f t="shared" si="129"/>
        <v>0</v>
      </c>
      <c r="I129" s="17" t="b">
        <f t="shared" si="129"/>
        <v>0</v>
      </c>
      <c r="J129" s="17" t="b">
        <f t="shared" si="129"/>
        <v>1</v>
      </c>
      <c r="K129" s="17" t="b">
        <f t="shared" si="129"/>
        <v>0</v>
      </c>
      <c r="L129" s="17"/>
      <c r="M129" s="47" t="b">
        <v>0</v>
      </c>
      <c r="N129" s="47" t="b">
        <v>1</v>
      </c>
      <c r="O129" s="47" t="b">
        <v>0</v>
      </c>
      <c r="P129" s="47" t="b">
        <v>1</v>
      </c>
      <c r="Q129" s="16" t="str">
        <f t="shared" si="3"/>
        <v>ArtHouse</v>
      </c>
      <c r="R129" s="48">
        <v>4.0</v>
      </c>
      <c r="S129" s="47" t="b">
        <v>0</v>
      </c>
      <c r="T129" s="47" t="b">
        <v>0</v>
      </c>
      <c r="U129" s="16"/>
      <c r="V129" s="16"/>
      <c r="W129" s="16"/>
      <c r="X129" s="16"/>
      <c r="Y129" s="51"/>
      <c r="Z129" s="16"/>
      <c r="AA129" s="16"/>
      <c r="AB129" s="16"/>
      <c r="AC129" s="16"/>
    </row>
    <row r="130">
      <c r="A130" s="16" t="s">
        <v>289</v>
      </c>
      <c r="B130" s="16" t="s">
        <v>290</v>
      </c>
      <c r="C130" s="17" t="s">
        <v>43</v>
      </c>
      <c r="D130" s="16" t="s">
        <v>9</v>
      </c>
      <c r="E130" s="17" t="b">
        <f t="shared" ref="E130:K130" si="130">IF(IFERROR(SEARCH(E$1, $D130),0) &gt;= 1, TRUE,FALSE)</f>
        <v>0</v>
      </c>
      <c r="F130" s="17" t="b">
        <f t="shared" si="130"/>
        <v>0</v>
      </c>
      <c r="G130" s="17" t="b">
        <f t="shared" si="130"/>
        <v>0</v>
      </c>
      <c r="H130" s="17" t="b">
        <f t="shared" si="130"/>
        <v>0</v>
      </c>
      <c r="I130" s="17" t="b">
        <f t="shared" si="130"/>
        <v>0</v>
      </c>
      <c r="J130" s="17" t="b">
        <f t="shared" si="130"/>
        <v>1</v>
      </c>
      <c r="K130" s="17" t="b">
        <f t="shared" si="130"/>
        <v>0</v>
      </c>
      <c r="L130" s="17"/>
      <c r="M130" s="47" t="b">
        <v>1</v>
      </c>
      <c r="N130" s="47" t="b">
        <v>1</v>
      </c>
      <c r="O130" s="47" t="b">
        <v>0</v>
      </c>
      <c r="P130" s="47" t="b">
        <v>1</v>
      </c>
      <c r="Q130" s="16" t="str">
        <f t="shared" si="3"/>
        <v>Museum voor Hedendaagse Kunst</v>
      </c>
      <c r="R130" s="48">
        <v>6.0</v>
      </c>
      <c r="S130" s="47" t="b">
        <v>0</v>
      </c>
      <c r="T130" s="47" t="b">
        <v>1</v>
      </c>
      <c r="U130" s="48">
        <v>6.0</v>
      </c>
      <c r="V130" s="16"/>
      <c r="W130" s="16"/>
      <c r="X130" s="16"/>
      <c r="Y130" s="51"/>
      <c r="Z130" s="16"/>
      <c r="AA130" s="16"/>
      <c r="AB130" s="16"/>
      <c r="AC130" s="16"/>
    </row>
    <row r="131">
      <c r="A131" s="16"/>
      <c r="B131" s="16" t="s">
        <v>291</v>
      </c>
      <c r="C131" s="17" t="s">
        <v>43</v>
      </c>
      <c r="D131" s="16" t="s">
        <v>95</v>
      </c>
      <c r="E131" s="17" t="b">
        <f t="shared" ref="E131:K131" si="131">IF(IFERROR(SEARCH(E$1, $D131),0) &gt;= 1, TRUE,FALSE)</f>
        <v>1</v>
      </c>
      <c r="F131" s="17" t="b">
        <f t="shared" si="131"/>
        <v>0</v>
      </c>
      <c r="G131" s="17" t="b">
        <f t="shared" si="131"/>
        <v>0</v>
      </c>
      <c r="H131" s="17" t="b">
        <f t="shared" si="131"/>
        <v>0</v>
      </c>
      <c r="I131" s="17" t="b">
        <f t="shared" si="131"/>
        <v>0</v>
      </c>
      <c r="J131" s="17" t="b">
        <f t="shared" si="131"/>
        <v>1</v>
      </c>
      <c r="K131" s="17" t="b">
        <f t="shared" si="131"/>
        <v>0</v>
      </c>
      <c r="L131" s="17"/>
      <c r="M131" s="47" t="b">
        <v>1</v>
      </c>
      <c r="N131" s="47" t="b">
        <v>0</v>
      </c>
      <c r="O131" s="47" t="b">
        <v>0</v>
      </c>
      <c r="P131" s="47" t="b">
        <v>1</v>
      </c>
      <c r="Q131" s="16" t="str">
        <f t="shared" si="3"/>
        <v>La Boverie</v>
      </c>
      <c r="R131" s="48">
        <v>5.0</v>
      </c>
      <c r="S131" s="47" t="b">
        <v>0</v>
      </c>
      <c r="T131" s="47" t="b">
        <v>0</v>
      </c>
      <c r="U131" s="16"/>
      <c r="V131" s="16"/>
      <c r="W131" s="16"/>
      <c r="X131" s="16"/>
      <c r="Y131" s="51"/>
      <c r="Z131" s="16"/>
      <c r="AA131" s="16"/>
      <c r="AB131" s="16"/>
      <c r="AC131" s="16"/>
    </row>
    <row r="132">
      <c r="A132" s="16"/>
      <c r="B132" s="16" t="s">
        <v>292</v>
      </c>
      <c r="C132" s="17" t="s">
        <v>43</v>
      </c>
      <c r="D132" s="16" t="s">
        <v>95</v>
      </c>
      <c r="E132" s="17" t="b">
        <f t="shared" ref="E132:K132" si="132">IF(IFERROR(SEARCH(E$1, $D132),0) &gt;= 1, TRUE,FALSE)</f>
        <v>1</v>
      </c>
      <c r="F132" s="17" t="b">
        <f t="shared" si="132"/>
        <v>0</v>
      </c>
      <c r="G132" s="17" t="b">
        <f t="shared" si="132"/>
        <v>0</v>
      </c>
      <c r="H132" s="17" t="b">
        <f t="shared" si="132"/>
        <v>0</v>
      </c>
      <c r="I132" s="17" t="b">
        <f t="shared" si="132"/>
        <v>0</v>
      </c>
      <c r="J132" s="17" t="b">
        <f t="shared" si="132"/>
        <v>1</v>
      </c>
      <c r="K132" s="17" t="b">
        <f t="shared" si="132"/>
        <v>0</v>
      </c>
      <c r="L132" s="17"/>
      <c r="M132" s="47" t="b">
        <v>1</v>
      </c>
      <c r="N132" s="47" t="b">
        <v>0</v>
      </c>
      <c r="O132" s="47" t="b">
        <v>0</v>
      </c>
      <c r="P132" s="47" t="b">
        <v>1</v>
      </c>
      <c r="Q132" s="16" t="str">
        <f t="shared" si="3"/>
        <v>Le Grand Curtius</v>
      </c>
      <c r="R132" s="48">
        <v>9.0</v>
      </c>
      <c r="S132" s="47" t="b">
        <v>0</v>
      </c>
      <c r="T132" s="47" t="b">
        <v>0</v>
      </c>
      <c r="U132" s="16"/>
      <c r="V132" s="16"/>
      <c r="W132" s="16"/>
      <c r="X132" s="16"/>
      <c r="Y132" s="51"/>
      <c r="Z132" s="16"/>
      <c r="AA132" s="16"/>
      <c r="AB132" s="16"/>
      <c r="AC132" s="16"/>
    </row>
    <row r="133">
      <c r="A133" s="16" t="s">
        <v>293</v>
      </c>
      <c r="B133" s="16" t="s">
        <v>294</v>
      </c>
      <c r="C133" s="17" t="s">
        <v>43</v>
      </c>
      <c r="D133" s="16" t="s">
        <v>5</v>
      </c>
      <c r="E133" s="17" t="b">
        <f t="shared" ref="E133:K133" si="133">IF(IFERROR(SEARCH(E$1, $D133),0) &gt;= 1, TRUE,FALSE)</f>
        <v>0</v>
      </c>
      <c r="F133" s="17" t="b">
        <f t="shared" si="133"/>
        <v>1</v>
      </c>
      <c r="G133" s="17" t="b">
        <f t="shared" si="133"/>
        <v>0</v>
      </c>
      <c r="H133" s="17" t="b">
        <f t="shared" si="133"/>
        <v>0</v>
      </c>
      <c r="I133" s="17" t="b">
        <f t="shared" si="133"/>
        <v>0</v>
      </c>
      <c r="J133" s="17" t="b">
        <f t="shared" si="133"/>
        <v>0</v>
      </c>
      <c r="K133" s="17" t="b">
        <f t="shared" si="133"/>
        <v>0</v>
      </c>
      <c r="L133" s="17"/>
      <c r="M133" s="47" t="b">
        <v>1</v>
      </c>
      <c r="N133" s="47" t="b">
        <v>1</v>
      </c>
      <c r="O133" s="47" t="b">
        <v>0</v>
      </c>
      <c r="P133" s="47" t="b">
        <v>0</v>
      </c>
      <c r="Q133" s="16" t="str">
        <f t="shared" si="3"/>
        <v>Bos en Watermuseum “P. Noé”</v>
      </c>
      <c r="R133" s="48">
        <v>7.0</v>
      </c>
      <c r="S133" s="47" t="b">
        <v>0</v>
      </c>
      <c r="T133" s="47" t="b">
        <v>0</v>
      </c>
      <c r="U133" s="16"/>
      <c r="V133" s="16"/>
      <c r="W133" s="16"/>
      <c r="X133" s="16"/>
      <c r="Y133" s="51"/>
      <c r="Z133" s="16"/>
      <c r="AA133" s="16"/>
      <c r="AB133" s="16"/>
      <c r="AC133" s="16"/>
    </row>
    <row r="134">
      <c r="A134" s="16" t="s">
        <v>295</v>
      </c>
      <c r="B134" s="16" t="s">
        <v>296</v>
      </c>
      <c r="C134" s="17" t="s">
        <v>43</v>
      </c>
      <c r="D134" s="16" t="s">
        <v>107</v>
      </c>
      <c r="E134" s="17" t="b">
        <f t="shared" ref="E134:K134" si="134">IF(IFERROR(SEARCH(E$1, $D134),0) &gt;= 1, TRUE,FALSE)</f>
        <v>1</v>
      </c>
      <c r="F134" s="17" t="b">
        <f t="shared" si="134"/>
        <v>1</v>
      </c>
      <c r="G134" s="17" t="b">
        <f t="shared" si="134"/>
        <v>0</v>
      </c>
      <c r="H134" s="17" t="b">
        <f t="shared" si="134"/>
        <v>0</v>
      </c>
      <c r="I134" s="17" t="b">
        <f t="shared" si="134"/>
        <v>0</v>
      </c>
      <c r="J134" s="17" t="b">
        <f t="shared" si="134"/>
        <v>0</v>
      </c>
      <c r="K134" s="17" t="b">
        <f t="shared" si="134"/>
        <v>0</v>
      </c>
      <c r="L134" s="17"/>
      <c r="M134" s="47" t="b">
        <v>1</v>
      </c>
      <c r="N134" s="47" t="b">
        <v>1</v>
      </c>
      <c r="O134" s="47" t="b">
        <v>0</v>
      </c>
      <c r="P134" s="47" t="b">
        <v>0</v>
      </c>
      <c r="Q134" s="16" t="str">
        <f t="shared" si="3"/>
        <v>Museum van de wastechniek</v>
      </c>
      <c r="R134" s="48">
        <v>4.0</v>
      </c>
      <c r="S134" s="47" t="b">
        <v>0</v>
      </c>
      <c r="T134" s="47" t="b">
        <v>0</v>
      </c>
      <c r="U134" s="16"/>
      <c r="V134" s="16"/>
      <c r="W134" s="16"/>
      <c r="X134" s="16"/>
      <c r="Y134" s="51"/>
      <c r="Z134" s="16"/>
      <c r="AA134" s="16"/>
      <c r="AB134" s="16"/>
      <c r="AC134" s="16"/>
    </row>
    <row r="135">
      <c r="A135" s="16" t="s">
        <v>297</v>
      </c>
      <c r="B135" s="16" t="s">
        <v>298</v>
      </c>
      <c r="C135" s="17" t="s">
        <v>43</v>
      </c>
      <c r="D135" s="16" t="s">
        <v>107</v>
      </c>
      <c r="E135" s="17" t="b">
        <f t="shared" ref="E135:K135" si="135">IF(IFERROR(SEARCH(E$1, $D135),0) &gt;= 1, TRUE,FALSE)</f>
        <v>1</v>
      </c>
      <c r="F135" s="17" t="b">
        <f t="shared" si="135"/>
        <v>1</v>
      </c>
      <c r="G135" s="17" t="b">
        <f t="shared" si="135"/>
        <v>0</v>
      </c>
      <c r="H135" s="17" t="b">
        <f t="shared" si="135"/>
        <v>0</v>
      </c>
      <c r="I135" s="17" t="b">
        <f t="shared" si="135"/>
        <v>0</v>
      </c>
      <c r="J135" s="17" t="b">
        <f t="shared" si="135"/>
        <v>0</v>
      </c>
      <c r="K135" s="17" t="b">
        <f t="shared" si="135"/>
        <v>0</v>
      </c>
      <c r="L135" s="17"/>
      <c r="M135" s="47" t="b">
        <v>1</v>
      </c>
      <c r="N135" s="47" t="b">
        <v>0</v>
      </c>
      <c r="O135" s="47" t="b">
        <v>0</v>
      </c>
      <c r="P135" s="47" t="b">
        <v>1</v>
      </c>
      <c r="Q135" s="16" t="str">
        <f t="shared" si="3"/>
        <v>Huis van de Metallurgie en Industrie van Luik</v>
      </c>
      <c r="R135" s="48">
        <v>5.0</v>
      </c>
      <c r="S135" s="47" t="b">
        <v>0</v>
      </c>
      <c r="T135" s="47" t="b">
        <v>0</v>
      </c>
      <c r="U135" s="16"/>
      <c r="V135" s="16"/>
      <c r="W135" s="16"/>
      <c r="X135" s="16"/>
      <c r="Y135" s="51"/>
      <c r="Z135" s="16"/>
      <c r="AA135" s="16"/>
      <c r="AB135" s="16"/>
      <c r="AC135" s="16"/>
    </row>
    <row r="136">
      <c r="A136" s="16" t="s">
        <v>299</v>
      </c>
      <c r="B136" s="16" t="s">
        <v>300</v>
      </c>
      <c r="C136" s="17" t="s">
        <v>43</v>
      </c>
      <c r="D136" s="16" t="s">
        <v>95</v>
      </c>
      <c r="E136" s="17" t="b">
        <f t="shared" ref="E136:K136" si="136">IF(IFERROR(SEARCH(E$1, $D136),0) &gt;= 1, TRUE,FALSE)</f>
        <v>1</v>
      </c>
      <c r="F136" s="17" t="b">
        <f t="shared" si="136"/>
        <v>0</v>
      </c>
      <c r="G136" s="17" t="b">
        <f t="shared" si="136"/>
        <v>0</v>
      </c>
      <c r="H136" s="17" t="b">
        <f t="shared" si="136"/>
        <v>0</v>
      </c>
      <c r="I136" s="17" t="b">
        <f t="shared" si="136"/>
        <v>0</v>
      </c>
      <c r="J136" s="17" t="b">
        <f t="shared" si="136"/>
        <v>1</v>
      </c>
      <c r="K136" s="17" t="b">
        <f t="shared" si="136"/>
        <v>0</v>
      </c>
      <c r="L136" s="17"/>
      <c r="M136" s="47" t="b">
        <v>1</v>
      </c>
      <c r="N136" s="47" t="b">
        <v>1</v>
      </c>
      <c r="O136" s="47" t="b">
        <v>0</v>
      </c>
      <c r="P136" s="47" t="b">
        <v>0</v>
      </c>
      <c r="Q136" s="16" t="str">
        <f t="shared" si="3"/>
        <v>Pottenbakkerijmuseum Raeren</v>
      </c>
      <c r="R136" s="48">
        <v>5.0</v>
      </c>
      <c r="S136" s="47" t="b">
        <v>0</v>
      </c>
      <c r="T136" s="47" t="b">
        <v>0</v>
      </c>
      <c r="U136" s="16"/>
      <c r="V136" s="16"/>
      <c r="W136" s="16"/>
      <c r="X136" s="16"/>
      <c r="Y136" s="51"/>
      <c r="Z136" s="16"/>
      <c r="AA136" s="16"/>
      <c r="AB136" s="16"/>
      <c r="AC136" s="16"/>
    </row>
    <row r="137">
      <c r="A137" s="16" t="s">
        <v>301</v>
      </c>
      <c r="B137" s="16" t="s">
        <v>302</v>
      </c>
      <c r="C137" s="17" t="s">
        <v>43</v>
      </c>
      <c r="D137" s="16" t="s">
        <v>4</v>
      </c>
      <c r="E137" s="17" t="b">
        <f t="shared" ref="E137:K137" si="137">IF(IFERROR(SEARCH(E$1, $D137),0) &gt;= 1, TRUE,FALSE)</f>
        <v>1</v>
      </c>
      <c r="F137" s="17" t="b">
        <f t="shared" si="137"/>
        <v>0</v>
      </c>
      <c r="G137" s="17" t="b">
        <f t="shared" si="137"/>
        <v>0</v>
      </c>
      <c r="H137" s="17" t="b">
        <f t="shared" si="137"/>
        <v>0</v>
      </c>
      <c r="I137" s="17" t="b">
        <f t="shared" si="137"/>
        <v>0</v>
      </c>
      <c r="J137" s="17" t="b">
        <f t="shared" si="137"/>
        <v>0</v>
      </c>
      <c r="K137" s="17" t="b">
        <f t="shared" si="137"/>
        <v>0</v>
      </c>
      <c r="L137" s="17"/>
      <c r="M137" s="47" t="b">
        <v>1</v>
      </c>
      <c r="N137" s="47" t="b">
        <v>0</v>
      </c>
      <c r="O137" s="47" t="b">
        <v>1</v>
      </c>
      <c r="P137" s="47" t="b">
        <v>1</v>
      </c>
      <c r="Q137" s="16" t="str">
        <f t="shared" si="3"/>
        <v>Museum van het Waalse Leven</v>
      </c>
      <c r="R137" s="48">
        <v>0.0</v>
      </c>
      <c r="S137" s="47" t="b">
        <v>0</v>
      </c>
      <c r="T137" s="47" t="b">
        <v>0</v>
      </c>
      <c r="U137" s="16"/>
      <c r="V137" s="16"/>
      <c r="W137" s="16"/>
      <c r="X137" s="16"/>
      <c r="Y137" s="51"/>
      <c r="Z137" s="16"/>
      <c r="AA137" s="16"/>
      <c r="AB137" s="16"/>
      <c r="AC137" s="16"/>
    </row>
    <row r="138">
      <c r="A138" s="16" t="s">
        <v>303</v>
      </c>
      <c r="B138" s="16" t="s">
        <v>304</v>
      </c>
      <c r="C138" s="17" t="s">
        <v>43</v>
      </c>
      <c r="D138" s="16" t="s">
        <v>4</v>
      </c>
      <c r="E138" s="17" t="b">
        <f t="shared" ref="E138:K138" si="138">IF(IFERROR(SEARCH(E$1, $D138),0) &gt;= 1, TRUE,FALSE)</f>
        <v>1</v>
      </c>
      <c r="F138" s="17" t="b">
        <f t="shared" si="138"/>
        <v>0</v>
      </c>
      <c r="G138" s="17" t="b">
        <f t="shared" si="138"/>
        <v>0</v>
      </c>
      <c r="H138" s="17" t="b">
        <f t="shared" si="138"/>
        <v>0</v>
      </c>
      <c r="I138" s="17" t="b">
        <f t="shared" si="138"/>
        <v>0</v>
      </c>
      <c r="J138" s="17" t="b">
        <f t="shared" si="138"/>
        <v>0</v>
      </c>
      <c r="K138" s="17" t="b">
        <f t="shared" si="138"/>
        <v>0</v>
      </c>
      <c r="L138" s="17"/>
      <c r="M138" s="47" t="b">
        <v>1</v>
      </c>
      <c r="N138" s="47" t="b">
        <v>0</v>
      </c>
      <c r="O138" s="47" t="b">
        <v>0</v>
      </c>
      <c r="P138" s="47" t="b">
        <v>0</v>
      </c>
      <c r="Q138" s="16" t="str">
        <f t="shared" si="3"/>
        <v>Musea van de Kuurstad</v>
      </c>
      <c r="R138" s="48">
        <v>5.0</v>
      </c>
      <c r="S138" s="47" t="b">
        <v>0</v>
      </c>
      <c r="T138" s="47" t="b">
        <v>0</v>
      </c>
      <c r="U138" s="16"/>
      <c r="V138" s="16"/>
      <c r="W138" s="16"/>
      <c r="X138" s="16"/>
      <c r="Y138" s="51"/>
      <c r="Z138" s="16"/>
      <c r="AA138" s="16"/>
      <c r="AB138" s="16"/>
      <c r="AC138" s="16"/>
    </row>
    <row r="139">
      <c r="A139" s="16" t="s">
        <v>305</v>
      </c>
      <c r="B139" s="16" t="s">
        <v>306</v>
      </c>
      <c r="C139" s="17" t="s">
        <v>43</v>
      </c>
      <c r="D139" s="16" t="s">
        <v>163</v>
      </c>
      <c r="E139" s="17" t="b">
        <f t="shared" ref="E139:K139" si="139">IF(IFERROR(SEARCH(E$1, $D139),0) &gt;= 1, TRUE,FALSE)</f>
        <v>1</v>
      </c>
      <c r="F139" s="17" t="b">
        <f t="shared" si="139"/>
        <v>1</v>
      </c>
      <c r="G139" s="17" t="b">
        <f t="shared" si="139"/>
        <v>0</v>
      </c>
      <c r="H139" s="17" t="b">
        <f t="shared" si="139"/>
        <v>0</v>
      </c>
      <c r="I139" s="17" t="b">
        <f t="shared" si="139"/>
        <v>1</v>
      </c>
      <c r="J139" s="17" t="b">
        <f t="shared" si="139"/>
        <v>1</v>
      </c>
      <c r="K139" s="17" t="b">
        <f t="shared" si="139"/>
        <v>0</v>
      </c>
      <c r="L139" s="17"/>
      <c r="M139" s="47" t="b">
        <v>1</v>
      </c>
      <c r="N139" s="47" t="b">
        <v>0</v>
      </c>
      <c r="O139" s="47" t="b">
        <v>0</v>
      </c>
      <c r="P139" s="47" t="b">
        <v>0</v>
      </c>
      <c r="Q139" s="16" t="str">
        <f t="shared" si="3"/>
        <v>Stadsmuseum Eupen</v>
      </c>
      <c r="R139" s="48">
        <v>5.0</v>
      </c>
      <c r="S139" s="47" t="b">
        <v>0</v>
      </c>
      <c r="T139" s="47" t="b">
        <v>0</v>
      </c>
      <c r="U139" s="16"/>
      <c r="V139" s="16"/>
      <c r="W139" s="16"/>
      <c r="X139" s="16"/>
      <c r="Y139" s="51"/>
      <c r="Z139" s="16"/>
      <c r="AA139" s="16"/>
      <c r="AB139" s="16"/>
      <c r="AC139" s="16"/>
    </row>
    <row r="140">
      <c r="A140" s="16" t="s">
        <v>307</v>
      </c>
      <c r="B140" s="16" t="s">
        <v>308</v>
      </c>
      <c r="C140" s="17" t="s">
        <v>43</v>
      </c>
      <c r="D140" s="16" t="s">
        <v>95</v>
      </c>
      <c r="E140" s="17" t="b">
        <f t="shared" ref="E140:K140" si="140">IF(IFERROR(SEARCH(E$1, $D140),0) &gt;= 1, TRUE,FALSE)</f>
        <v>1</v>
      </c>
      <c r="F140" s="17" t="b">
        <f t="shared" si="140"/>
        <v>0</v>
      </c>
      <c r="G140" s="17" t="b">
        <f t="shared" si="140"/>
        <v>0</v>
      </c>
      <c r="H140" s="17" t="b">
        <f t="shared" si="140"/>
        <v>0</v>
      </c>
      <c r="I140" s="17" t="b">
        <f t="shared" si="140"/>
        <v>0</v>
      </c>
      <c r="J140" s="17" t="b">
        <f t="shared" si="140"/>
        <v>1</v>
      </c>
      <c r="K140" s="17" t="b">
        <f t="shared" si="140"/>
        <v>0</v>
      </c>
      <c r="L140" s="17"/>
      <c r="M140" s="47" t="b">
        <v>1</v>
      </c>
      <c r="N140" s="47" t="b">
        <v>0</v>
      </c>
      <c r="O140" s="47" t="b">
        <v>0</v>
      </c>
      <c r="P140" s="47" t="b">
        <v>0</v>
      </c>
      <c r="Q140" s="16" t="str">
        <f t="shared" si="3"/>
        <v>Musea van Verviers</v>
      </c>
      <c r="R140" s="48">
        <v>4.0</v>
      </c>
      <c r="S140" s="47" t="b">
        <v>0</v>
      </c>
      <c r="T140" s="47" t="b">
        <v>0</v>
      </c>
      <c r="U140" s="16"/>
      <c r="V140" s="16"/>
      <c r="W140" s="16"/>
      <c r="X140" s="16"/>
      <c r="Y140" s="51"/>
      <c r="Z140" s="16"/>
      <c r="AA140" s="16"/>
      <c r="AB140" s="16"/>
      <c r="AC140" s="16"/>
    </row>
    <row r="141">
      <c r="A141" s="16" t="s">
        <v>309</v>
      </c>
      <c r="B141" s="16" t="s">
        <v>310</v>
      </c>
      <c r="C141" s="17" t="s">
        <v>43</v>
      </c>
      <c r="D141" s="16" t="s">
        <v>107</v>
      </c>
      <c r="E141" s="17" t="b">
        <f t="shared" ref="E141:K141" si="141">IF(IFERROR(SEARCH(E$1, $D141),0) &gt;= 1, TRUE,FALSE)</f>
        <v>1</v>
      </c>
      <c r="F141" s="17" t="b">
        <f t="shared" si="141"/>
        <v>1</v>
      </c>
      <c r="G141" s="17" t="b">
        <f t="shared" si="141"/>
        <v>0</v>
      </c>
      <c r="H141" s="17" t="b">
        <f t="shared" si="141"/>
        <v>0</v>
      </c>
      <c r="I141" s="17" t="b">
        <f t="shared" si="141"/>
        <v>0</v>
      </c>
      <c r="J141" s="17" t="b">
        <f t="shared" si="141"/>
        <v>0</v>
      </c>
      <c r="K141" s="17" t="b">
        <f t="shared" si="141"/>
        <v>0</v>
      </c>
      <c r="L141" s="17"/>
      <c r="M141" s="47" t="b">
        <v>1</v>
      </c>
      <c r="N141" s="47" t="b">
        <v>1</v>
      </c>
      <c r="O141" s="47" t="b">
        <v>0</v>
      </c>
      <c r="P141" s="47" t="b">
        <v>0</v>
      </c>
      <c r="Q141" s="16" t="str">
        <f t="shared" si="3"/>
        <v>Museum Vieille Montagne</v>
      </c>
      <c r="R141" s="48">
        <v>7.5</v>
      </c>
      <c r="S141" s="47" t="b">
        <v>0</v>
      </c>
      <c r="T141" s="47" t="b">
        <v>0</v>
      </c>
      <c r="U141" s="16"/>
      <c r="V141" s="16"/>
      <c r="W141" s="16"/>
      <c r="X141" s="16"/>
      <c r="Y141" s="51"/>
      <c r="Z141" s="16"/>
      <c r="AA141" s="16"/>
      <c r="AB141" s="16"/>
      <c r="AC141" s="16"/>
    </row>
    <row r="142">
      <c r="A142" s="16"/>
      <c r="B142" s="16" t="s">
        <v>311</v>
      </c>
      <c r="C142" s="17" t="s">
        <v>43</v>
      </c>
      <c r="D142" s="16" t="s">
        <v>4</v>
      </c>
      <c r="E142" s="17" t="b">
        <f t="shared" ref="E142:K142" si="142">IF(IFERROR(SEARCH(E$1, $D142),0) &gt;= 1, TRUE,FALSE)</f>
        <v>1</v>
      </c>
      <c r="F142" s="17" t="b">
        <f t="shared" si="142"/>
        <v>0</v>
      </c>
      <c r="G142" s="17" t="b">
        <f t="shared" si="142"/>
        <v>0</v>
      </c>
      <c r="H142" s="17" t="b">
        <f t="shared" si="142"/>
        <v>0</v>
      </c>
      <c r="I142" s="17" t="b">
        <f t="shared" si="142"/>
        <v>0</v>
      </c>
      <c r="J142" s="17" t="b">
        <f t="shared" si="142"/>
        <v>0</v>
      </c>
      <c r="K142" s="17" t="b">
        <f t="shared" si="142"/>
        <v>0</v>
      </c>
      <c r="L142" s="17"/>
      <c r="M142" s="47" t="b">
        <v>1</v>
      </c>
      <c r="N142" s="47" t="b">
        <v>1</v>
      </c>
      <c r="O142" s="47" t="b">
        <v>1</v>
      </c>
      <c r="P142" s="47" t="b">
        <v>0</v>
      </c>
      <c r="Q142" s="16" t="str">
        <f t="shared" si="3"/>
        <v>Préhistomuseum</v>
      </c>
      <c r="R142" s="48">
        <v>16.0</v>
      </c>
      <c r="S142" s="47" t="b">
        <v>0</v>
      </c>
      <c r="T142" s="47" t="b">
        <v>0</v>
      </c>
      <c r="U142" s="16"/>
      <c r="V142" s="16"/>
      <c r="W142" s="16"/>
      <c r="X142" s="16"/>
      <c r="Y142" s="51"/>
      <c r="Z142" s="16"/>
      <c r="AA142" s="16"/>
      <c r="AB142" s="16"/>
      <c r="AC142" s="16"/>
    </row>
    <row r="143">
      <c r="A143" s="16"/>
      <c r="B143" s="16" t="s">
        <v>312</v>
      </c>
      <c r="C143" s="17" t="s">
        <v>43</v>
      </c>
      <c r="D143" s="16" t="s">
        <v>9</v>
      </c>
      <c r="E143" s="17" t="b">
        <f t="shared" ref="E143:K143" si="143">IF(IFERROR(SEARCH(E$1, $D143),0) &gt;= 1, TRUE,FALSE)</f>
        <v>0</v>
      </c>
      <c r="F143" s="17" t="b">
        <f t="shared" si="143"/>
        <v>0</v>
      </c>
      <c r="G143" s="17" t="b">
        <f t="shared" si="143"/>
        <v>0</v>
      </c>
      <c r="H143" s="17" t="b">
        <f t="shared" si="143"/>
        <v>0</v>
      </c>
      <c r="I143" s="17" t="b">
        <f t="shared" si="143"/>
        <v>0</v>
      </c>
      <c r="J143" s="17" t="b">
        <f t="shared" si="143"/>
        <v>1</v>
      </c>
      <c r="K143" s="17" t="b">
        <f t="shared" si="143"/>
        <v>0</v>
      </c>
      <c r="L143" s="17"/>
      <c r="M143" s="47" t="b">
        <v>1</v>
      </c>
      <c r="N143" s="47" t="b">
        <v>1</v>
      </c>
      <c r="O143" s="47" t="b">
        <v>1</v>
      </c>
      <c r="P143" s="47" t="b">
        <v>1</v>
      </c>
      <c r="Q143" s="16" t="str">
        <f t="shared" si="3"/>
        <v>Trinkhall museum</v>
      </c>
      <c r="R143" s="48">
        <v>9.0</v>
      </c>
      <c r="S143" s="47" t="b">
        <v>0</v>
      </c>
      <c r="T143" s="52" t="b">
        <v>1</v>
      </c>
      <c r="U143" s="48">
        <v>9.0</v>
      </c>
      <c r="V143" s="16"/>
      <c r="W143" s="16"/>
      <c r="X143" s="16"/>
      <c r="Y143" s="51"/>
      <c r="Z143" s="16"/>
      <c r="AA143" s="16"/>
      <c r="AB143" s="16"/>
      <c r="AC143" s="16"/>
    </row>
    <row r="144">
      <c r="A144" s="16"/>
      <c r="B144" s="16" t="s">
        <v>313</v>
      </c>
      <c r="C144" s="17" t="s">
        <v>43</v>
      </c>
      <c r="D144" s="16" t="s">
        <v>5</v>
      </c>
      <c r="E144" s="17" t="b">
        <f t="shared" ref="E144:K144" si="144">IF(IFERROR(SEARCH(E$1, $D144),0) &gt;= 1, TRUE,FALSE)</f>
        <v>0</v>
      </c>
      <c r="F144" s="17" t="b">
        <f t="shared" si="144"/>
        <v>1</v>
      </c>
      <c r="G144" s="17" t="b">
        <f t="shared" si="144"/>
        <v>0</v>
      </c>
      <c r="H144" s="17" t="b">
        <f t="shared" si="144"/>
        <v>0</v>
      </c>
      <c r="I144" s="17" t="b">
        <f t="shared" si="144"/>
        <v>0</v>
      </c>
      <c r="J144" s="17" t="b">
        <f t="shared" si="144"/>
        <v>0</v>
      </c>
      <c r="K144" s="17" t="b">
        <f t="shared" si="144"/>
        <v>0</v>
      </c>
      <c r="L144" s="17"/>
      <c r="M144" s="47" t="b">
        <v>0</v>
      </c>
      <c r="N144" s="47" t="b">
        <v>1</v>
      </c>
      <c r="O144" s="47" t="b">
        <v>0</v>
      </c>
      <c r="P144" s="47" t="b">
        <v>1</v>
      </c>
      <c r="Q144" s="16" t="str">
        <f t="shared" si="3"/>
        <v>WaterHouse</v>
      </c>
      <c r="R144" s="48">
        <v>10.0</v>
      </c>
      <c r="S144" s="47" t="b">
        <v>1</v>
      </c>
      <c r="T144" s="47" t="b">
        <v>0</v>
      </c>
      <c r="U144" s="16"/>
      <c r="V144" s="16"/>
      <c r="W144" s="16"/>
      <c r="X144" s="16"/>
      <c r="Y144" s="51"/>
      <c r="Z144" s="16"/>
      <c r="AA144" s="16"/>
      <c r="AB144" s="16"/>
      <c r="AC144" s="16"/>
    </row>
    <row r="145">
      <c r="A145" s="16" t="s">
        <v>314</v>
      </c>
      <c r="B145" s="16" t="s">
        <v>315</v>
      </c>
      <c r="C145" s="17" t="s">
        <v>45</v>
      </c>
      <c r="D145" s="16" t="s">
        <v>316</v>
      </c>
      <c r="E145" s="17" t="b">
        <f t="shared" ref="E145:K145" si="145">IF(IFERROR(SEARCH(E$1, $D145),0) &gt;= 1, TRUE,FALSE)</f>
        <v>1</v>
      </c>
      <c r="F145" s="17" t="b">
        <f t="shared" si="145"/>
        <v>1</v>
      </c>
      <c r="G145" s="17" t="b">
        <f t="shared" si="145"/>
        <v>0</v>
      </c>
      <c r="H145" s="17" t="b">
        <f t="shared" si="145"/>
        <v>0</v>
      </c>
      <c r="I145" s="17" t="b">
        <f t="shared" si="145"/>
        <v>1</v>
      </c>
      <c r="J145" s="17" t="b">
        <f t="shared" si="145"/>
        <v>1</v>
      </c>
      <c r="K145" s="17" t="b">
        <f t="shared" si="145"/>
        <v>0</v>
      </c>
      <c r="L145" s="17"/>
      <c r="M145" s="47" t="b">
        <v>1</v>
      </c>
      <c r="N145" s="47" t="b">
        <v>0</v>
      </c>
      <c r="O145" s="47" t="b">
        <v>0</v>
      </c>
      <c r="P145" s="47" t="b">
        <v>0</v>
      </c>
      <c r="Q145" s="16" t="str">
        <f t="shared" si="3"/>
        <v>Artotheek </v>
      </c>
      <c r="R145" s="48">
        <v>6.0</v>
      </c>
      <c r="S145" s="47" t="b">
        <v>0</v>
      </c>
      <c r="T145" s="47" t="b">
        <v>0</v>
      </c>
      <c r="U145" s="16"/>
      <c r="V145" s="16"/>
      <c r="W145" s="16"/>
      <c r="X145" s="16"/>
      <c r="Y145" s="51"/>
      <c r="Z145" s="16"/>
      <c r="AA145" s="16"/>
      <c r="AB145" s="16"/>
      <c r="AC145" s="16"/>
    </row>
    <row r="146">
      <c r="A146" s="16" t="s">
        <v>317</v>
      </c>
      <c r="B146" s="16" t="s">
        <v>318</v>
      </c>
      <c r="C146" s="17" t="s">
        <v>45</v>
      </c>
      <c r="D146" s="16" t="s">
        <v>319</v>
      </c>
      <c r="E146" s="17" t="b">
        <f t="shared" ref="E146:K146" si="146">IF(IFERROR(SEARCH(E$1, $D146),0) &gt;= 1, TRUE,FALSE)</f>
        <v>1</v>
      </c>
      <c r="F146" s="17" t="b">
        <f t="shared" si="146"/>
        <v>0</v>
      </c>
      <c r="G146" s="17" t="b">
        <f t="shared" si="146"/>
        <v>0</v>
      </c>
      <c r="H146" s="17" t="b">
        <f t="shared" si="146"/>
        <v>0</v>
      </c>
      <c r="I146" s="17" t="b">
        <f t="shared" si="146"/>
        <v>1</v>
      </c>
      <c r="J146" s="17" t="b">
        <f t="shared" si="146"/>
        <v>0</v>
      </c>
      <c r="K146" s="17" t="b">
        <f t="shared" si="146"/>
        <v>0</v>
      </c>
      <c r="L146" s="17"/>
      <c r="M146" s="47" t="b">
        <v>1</v>
      </c>
      <c r="N146" s="47" t="b">
        <v>0</v>
      </c>
      <c r="O146" s="47" t="b">
        <v>0</v>
      </c>
      <c r="P146" s="47" t="b">
        <v>0</v>
      </c>
      <c r="Q146" s="16" t="str">
        <f t="shared" si="3"/>
        <v>Belfort van Bergen</v>
      </c>
      <c r="R146" s="48">
        <v>9.0</v>
      </c>
      <c r="S146" s="47" t="b">
        <v>0</v>
      </c>
      <c r="T146" s="47" t="b">
        <v>1</v>
      </c>
      <c r="U146" s="48">
        <v>9.0</v>
      </c>
      <c r="V146" s="16"/>
      <c r="W146" s="16"/>
      <c r="X146" s="16"/>
      <c r="Y146" s="51"/>
      <c r="Z146" s="16"/>
      <c r="AA146" s="16"/>
      <c r="AB146" s="16"/>
      <c r="AC146" s="16"/>
    </row>
    <row r="147">
      <c r="A147" s="16" t="s">
        <v>320</v>
      </c>
      <c r="B147" s="16" t="s">
        <v>321</v>
      </c>
      <c r="C147" s="17" t="s">
        <v>45</v>
      </c>
      <c r="D147" s="16" t="s">
        <v>322</v>
      </c>
      <c r="E147" s="17" t="b">
        <f t="shared" ref="E147:K147" si="147">IF(IFERROR(SEARCH(E$1, $D147),0) &gt;= 1, TRUE,FALSE)</f>
        <v>1</v>
      </c>
      <c r="F147" s="17" t="b">
        <f t="shared" si="147"/>
        <v>1</v>
      </c>
      <c r="G147" s="17" t="b">
        <f t="shared" si="147"/>
        <v>0</v>
      </c>
      <c r="H147" s="17" t="b">
        <f t="shared" si="147"/>
        <v>0</v>
      </c>
      <c r="I147" s="17" t="b">
        <f t="shared" si="147"/>
        <v>1</v>
      </c>
      <c r="J147" s="17" t="b">
        <f t="shared" si="147"/>
        <v>0</v>
      </c>
      <c r="K147" s="17" t="b">
        <f t="shared" si="147"/>
        <v>0</v>
      </c>
      <c r="L147" s="17"/>
      <c r="M147" s="47" t="b">
        <v>1</v>
      </c>
      <c r="N147" s="47" t="b">
        <v>1</v>
      </c>
      <c r="O147" s="47" t="b">
        <v>0</v>
      </c>
      <c r="P147" s="47" t="b">
        <v>1</v>
      </c>
      <c r="Q147" s="16" t="str">
        <f t="shared" si="3"/>
        <v>Museum van Mijnbouw en Duurzame Ontwikkeling</v>
      </c>
      <c r="R147" s="48">
        <v>9.0</v>
      </c>
      <c r="S147" s="47" t="b">
        <v>0</v>
      </c>
      <c r="T147" s="47" t="b">
        <v>1</v>
      </c>
      <c r="U147" s="48">
        <v>9.0</v>
      </c>
      <c r="V147" s="16"/>
      <c r="W147" s="16"/>
      <c r="X147" s="16"/>
      <c r="Y147" s="51"/>
      <c r="Z147" s="16"/>
      <c r="AA147" s="16"/>
      <c r="AB147" s="16"/>
      <c r="AC147" s="16"/>
    </row>
    <row r="148">
      <c r="A148" s="16" t="s">
        <v>323</v>
      </c>
      <c r="B148" s="16" t="s">
        <v>324</v>
      </c>
      <c r="C148" s="17" t="s">
        <v>45</v>
      </c>
      <c r="D148" s="16" t="s">
        <v>9</v>
      </c>
      <c r="E148" s="17" t="b">
        <f t="shared" ref="E148:K148" si="148">IF(IFERROR(SEARCH(E$1, $D148),0) &gt;= 1, TRUE,FALSE)</f>
        <v>0</v>
      </c>
      <c r="F148" s="17" t="b">
        <f t="shared" si="148"/>
        <v>0</v>
      </c>
      <c r="G148" s="17" t="b">
        <f t="shared" si="148"/>
        <v>0</v>
      </c>
      <c r="H148" s="17" t="b">
        <f t="shared" si="148"/>
        <v>0</v>
      </c>
      <c r="I148" s="17" t="b">
        <f t="shared" si="148"/>
        <v>0</v>
      </c>
      <c r="J148" s="17" t="b">
        <f t="shared" si="148"/>
        <v>1</v>
      </c>
      <c r="K148" s="17" t="b">
        <f t="shared" si="148"/>
        <v>0</v>
      </c>
      <c r="L148" s="17"/>
      <c r="M148" s="47" t="b">
        <v>1</v>
      </c>
      <c r="N148" s="47" t="b">
        <v>0</v>
      </c>
      <c r="O148" s="47" t="b">
        <v>0</v>
      </c>
      <c r="P148" s="47" t="b">
        <v>0</v>
      </c>
      <c r="Q148" s="16" t="str">
        <f t="shared" si="3"/>
        <v>Museum voor kunst van de Provincie Henegouwen</v>
      </c>
      <c r="R148" s="48">
        <v>6.0</v>
      </c>
      <c r="S148" s="47" t="b">
        <v>0</v>
      </c>
      <c r="T148" s="47" t="b">
        <v>1</v>
      </c>
      <c r="U148" s="48">
        <v>6.0</v>
      </c>
      <c r="V148" s="16"/>
      <c r="W148" s="16"/>
      <c r="X148" s="16"/>
      <c r="Y148" s="51"/>
      <c r="Z148" s="16"/>
      <c r="AA148" s="16"/>
      <c r="AB148" s="16"/>
      <c r="AC148" s="16"/>
    </row>
    <row r="149">
      <c r="A149" s="16" t="s">
        <v>325</v>
      </c>
      <c r="B149" s="16" t="s">
        <v>326</v>
      </c>
      <c r="C149" s="17" t="s">
        <v>45</v>
      </c>
      <c r="D149" s="16" t="s">
        <v>327</v>
      </c>
      <c r="E149" s="17" t="b">
        <f t="shared" ref="E149:K149" si="149">IF(IFERROR(SEARCH(E$1, $D149),0) &gt;= 1, TRUE,FALSE)</f>
        <v>0</v>
      </c>
      <c r="F149" s="17" t="b">
        <f t="shared" si="149"/>
        <v>0</v>
      </c>
      <c r="G149" s="17" t="b">
        <f t="shared" si="149"/>
        <v>0</v>
      </c>
      <c r="H149" s="17" t="b">
        <f t="shared" si="149"/>
        <v>0</v>
      </c>
      <c r="I149" s="17" t="b">
        <f t="shared" si="149"/>
        <v>0</v>
      </c>
      <c r="J149" s="17" t="b">
        <f t="shared" si="149"/>
        <v>1</v>
      </c>
      <c r="K149" s="17" t="b">
        <f t="shared" si="149"/>
        <v>1</v>
      </c>
      <c r="L149" s="17"/>
      <c r="M149" s="47" t="b">
        <v>1</v>
      </c>
      <c r="N149" s="47" t="b">
        <v>0</v>
      </c>
      <c r="O149" s="47" t="b">
        <v>0</v>
      </c>
      <c r="P149" s="47" t="b">
        <v>0</v>
      </c>
      <c r="Q149" s="16" t="str">
        <f t="shared" si="3"/>
        <v>CAP/museum voor Schone Kunsten van Bergen</v>
      </c>
      <c r="R149" s="48">
        <v>16.0</v>
      </c>
      <c r="S149" s="47" t="b">
        <v>0</v>
      </c>
      <c r="T149" s="47" t="b">
        <v>1</v>
      </c>
      <c r="U149" s="48">
        <v>16.0</v>
      </c>
      <c r="V149" s="16"/>
      <c r="W149" s="16"/>
      <c r="X149" s="16"/>
      <c r="Y149" s="51"/>
      <c r="Z149" s="16"/>
      <c r="AA149" s="16"/>
      <c r="AB149" s="16"/>
      <c r="AC149" s="16"/>
    </row>
    <row r="150">
      <c r="A150" s="16" t="s">
        <v>328</v>
      </c>
      <c r="B150" s="16" t="s">
        <v>329</v>
      </c>
      <c r="C150" s="17" t="s">
        <v>45</v>
      </c>
      <c r="D150" s="16" t="s">
        <v>319</v>
      </c>
      <c r="E150" s="17" t="b">
        <f t="shared" ref="E150:K150" si="150">IF(IFERROR(SEARCH(E$1, $D150),0) &gt;= 1, TRUE,FALSE)</f>
        <v>1</v>
      </c>
      <c r="F150" s="17" t="b">
        <f t="shared" si="150"/>
        <v>0</v>
      </c>
      <c r="G150" s="17" t="b">
        <f t="shared" si="150"/>
        <v>0</v>
      </c>
      <c r="H150" s="17" t="b">
        <f t="shared" si="150"/>
        <v>0</v>
      </c>
      <c r="I150" s="17" t="b">
        <f t="shared" si="150"/>
        <v>1</v>
      </c>
      <c r="J150" s="17" t="b">
        <f t="shared" si="150"/>
        <v>0</v>
      </c>
      <c r="K150" s="17" t="b">
        <f t="shared" si="150"/>
        <v>0</v>
      </c>
      <c r="L150" s="17"/>
      <c r="M150" s="47" t="b">
        <v>1</v>
      </c>
      <c r="N150" s="47" t="b">
        <v>0</v>
      </c>
      <c r="O150" s="47" t="b">
        <v>0</v>
      </c>
      <c r="P150" s="47" t="b">
        <v>0</v>
      </c>
      <c r="Q150" s="16" t="str">
        <f t="shared" si="3"/>
        <v>CAP/het Collectiehuis</v>
      </c>
      <c r="R150" s="48">
        <v>4.0</v>
      </c>
      <c r="S150" s="47" t="b">
        <v>0</v>
      </c>
      <c r="T150" s="47" t="b">
        <v>0</v>
      </c>
      <c r="U150" s="16"/>
      <c r="V150" s="16"/>
      <c r="W150" s="16"/>
      <c r="X150" s="16"/>
      <c r="Y150" s="51"/>
      <c r="Z150" s="16"/>
      <c r="AA150" s="16"/>
      <c r="AB150" s="16"/>
      <c r="AC150" s="16"/>
    </row>
    <row r="151">
      <c r="A151" s="16"/>
      <c r="B151" s="16" t="s">
        <v>330</v>
      </c>
      <c r="C151" s="17" t="s">
        <v>45</v>
      </c>
      <c r="D151" s="16" t="s">
        <v>331</v>
      </c>
      <c r="E151" s="17" t="b">
        <f t="shared" ref="E151:K151" si="151">IF(IFERROR(SEARCH(E$1, $D151),0) &gt;= 1, TRUE,FALSE)</f>
        <v>0</v>
      </c>
      <c r="F151" s="17" t="b">
        <f t="shared" si="151"/>
        <v>0</v>
      </c>
      <c r="G151" s="17" t="b">
        <f t="shared" si="151"/>
        <v>0</v>
      </c>
      <c r="H151" s="17" t="b">
        <f t="shared" si="151"/>
        <v>1</v>
      </c>
      <c r="I151" s="17" t="b">
        <f t="shared" si="151"/>
        <v>0</v>
      </c>
      <c r="J151" s="17" t="b">
        <f t="shared" si="151"/>
        <v>1</v>
      </c>
      <c r="K151" s="17" t="b">
        <f t="shared" si="151"/>
        <v>0</v>
      </c>
      <c r="L151" s="17"/>
      <c r="M151" s="47" t="b">
        <v>1</v>
      </c>
      <c r="N151" s="47" t="b">
        <v>0</v>
      </c>
      <c r="O151" s="47" t="b">
        <v>0</v>
      </c>
      <c r="P151" s="47" t="b">
        <v>1</v>
      </c>
      <c r="Q151" s="16" t="str">
        <f t="shared" si="3"/>
        <v>Centre Daily-Bul &amp; C° </v>
      </c>
      <c r="R151" s="48">
        <v>0.0</v>
      </c>
      <c r="S151" s="47" t="b">
        <v>0</v>
      </c>
      <c r="T151" s="47" t="b">
        <v>1</v>
      </c>
      <c r="U151" s="48">
        <v>0.0</v>
      </c>
      <c r="V151" s="16"/>
      <c r="W151" s="16"/>
      <c r="X151" s="16"/>
      <c r="Y151" s="51"/>
      <c r="Z151" s="16"/>
      <c r="AA151" s="16"/>
      <c r="AB151" s="16"/>
      <c r="AC151" s="16"/>
    </row>
    <row r="152">
      <c r="A152" s="16" t="s">
        <v>332</v>
      </c>
      <c r="B152" s="16" t="s">
        <v>333</v>
      </c>
      <c r="C152" s="17" t="s">
        <v>45</v>
      </c>
      <c r="D152" s="16" t="s">
        <v>5</v>
      </c>
      <c r="E152" s="17" t="b">
        <f t="shared" ref="E152:K152" si="152">IF(IFERROR(SEARCH(E$1, $D152),0) &gt;= 1, TRUE,FALSE)</f>
        <v>0</v>
      </c>
      <c r="F152" s="17" t="b">
        <f t="shared" si="152"/>
        <v>1</v>
      </c>
      <c r="G152" s="17" t="b">
        <f t="shared" si="152"/>
        <v>0</v>
      </c>
      <c r="H152" s="17" t="b">
        <f t="shared" si="152"/>
        <v>0</v>
      </c>
      <c r="I152" s="17" t="b">
        <f t="shared" si="152"/>
        <v>0</v>
      </c>
      <c r="J152" s="17" t="b">
        <f t="shared" si="152"/>
        <v>0</v>
      </c>
      <c r="K152" s="17" t="b">
        <f t="shared" si="152"/>
        <v>0</v>
      </c>
      <c r="L152" s="17"/>
      <c r="M152" s="47" t="b">
        <v>1</v>
      </c>
      <c r="N152" s="47" t="b">
        <v>1</v>
      </c>
      <c r="O152" s="47" t="b">
        <v>0</v>
      </c>
      <c r="P152" s="47" t="b">
        <v>1</v>
      </c>
      <c r="Q152" s="16" t="str">
        <f t="shared" si="3"/>
        <v>Wetenschappelijk Cultuurcentrum - ULB</v>
      </c>
      <c r="R152" s="48">
        <v>6.0</v>
      </c>
      <c r="S152" s="47" t="b">
        <v>0</v>
      </c>
      <c r="T152" s="47" t="b">
        <v>1</v>
      </c>
      <c r="U152" s="48">
        <v>6.0</v>
      </c>
      <c r="V152" s="16"/>
      <c r="W152" s="16"/>
      <c r="X152" s="16"/>
      <c r="Y152" s="51"/>
      <c r="Z152" s="16"/>
      <c r="AA152" s="16"/>
      <c r="AB152" s="16"/>
      <c r="AC152" s="16"/>
    </row>
    <row r="153">
      <c r="A153" s="16"/>
      <c r="B153" s="16" t="s">
        <v>334</v>
      </c>
      <c r="C153" s="17" t="s">
        <v>45</v>
      </c>
      <c r="D153" s="16" t="s">
        <v>335</v>
      </c>
      <c r="E153" s="17" t="b">
        <f t="shared" ref="E153:K153" si="153">IF(IFERROR(SEARCH(E$1, $D153),0) &gt;= 1, TRUE,FALSE)</f>
        <v>0</v>
      </c>
      <c r="F153" s="17" t="b">
        <f t="shared" si="153"/>
        <v>0</v>
      </c>
      <c r="G153" s="17" t="b">
        <f t="shared" si="153"/>
        <v>0</v>
      </c>
      <c r="H153" s="17" t="b">
        <f t="shared" si="153"/>
        <v>0</v>
      </c>
      <c r="I153" s="17" t="b">
        <f t="shared" si="153"/>
        <v>0</v>
      </c>
      <c r="J153" s="17" t="b">
        <f t="shared" si="153"/>
        <v>1</v>
      </c>
      <c r="K153" s="17" t="b">
        <f t="shared" si="153"/>
        <v>0</v>
      </c>
      <c r="L153" s="17"/>
      <c r="M153" s="47" t="b">
        <v>1</v>
      </c>
      <c r="N153" s="47" t="b">
        <v>0</v>
      </c>
      <c r="O153" s="47" t="b">
        <v>0</v>
      </c>
      <c r="P153" s="47" t="b">
        <v>0</v>
      </c>
      <c r="Q153" s="16" t="str">
        <f t="shared" si="3"/>
        <v>Centre de la Gravure et de l’Image imprimée </v>
      </c>
      <c r="R153" s="48">
        <v>8.0</v>
      </c>
      <c r="S153" s="47" t="b">
        <v>0</v>
      </c>
      <c r="T153" s="47" t="b">
        <v>1</v>
      </c>
      <c r="U153" s="48">
        <v>8.0</v>
      </c>
      <c r="V153" s="16"/>
      <c r="W153" s="16"/>
      <c r="X153" s="16"/>
      <c r="Y153" s="51"/>
      <c r="Z153" s="16"/>
      <c r="AA153" s="16"/>
      <c r="AB153" s="16"/>
      <c r="AC153" s="16"/>
    </row>
    <row r="154">
      <c r="A154" s="16" t="s">
        <v>336</v>
      </c>
      <c r="B154" s="16" t="s">
        <v>337</v>
      </c>
      <c r="C154" s="17" t="s">
        <v>45</v>
      </c>
      <c r="D154" s="16" t="s">
        <v>338</v>
      </c>
      <c r="E154" s="17" t="b">
        <f t="shared" ref="E154:K154" si="154">IF(IFERROR(SEARCH(E$1, $D154),0) &gt;= 1, TRUE,FALSE)</f>
        <v>0</v>
      </c>
      <c r="F154" s="17" t="b">
        <f t="shared" si="154"/>
        <v>0</v>
      </c>
      <c r="G154" s="17" t="b">
        <f t="shared" si="154"/>
        <v>0</v>
      </c>
      <c r="H154" s="17" t="b">
        <f t="shared" si="154"/>
        <v>0</v>
      </c>
      <c r="I154" s="17" t="b">
        <f t="shared" si="154"/>
        <v>1</v>
      </c>
      <c r="J154" s="17" t="b">
        <f t="shared" si="154"/>
        <v>1</v>
      </c>
      <c r="K154" s="17" t="b">
        <f t="shared" si="154"/>
        <v>1</v>
      </c>
      <c r="L154" s="17"/>
      <c r="M154" s="47" t="b">
        <v>1</v>
      </c>
      <c r="N154" s="47" t="b">
        <v>1</v>
      </c>
      <c r="O154" s="47" t="b">
        <v>1</v>
      </c>
      <c r="P154" s="47" t="b">
        <v>1</v>
      </c>
      <c r="Q154" s="16" t="str">
        <f t="shared" si="3"/>
        <v>Centrum voor Innovatie en Design van Grand-Hornu</v>
      </c>
      <c r="R154" s="48">
        <v>10.0</v>
      </c>
      <c r="S154" s="47" t="b">
        <v>0</v>
      </c>
      <c r="T154" s="47" t="b">
        <v>1</v>
      </c>
      <c r="U154" s="48">
        <v>10.0</v>
      </c>
      <c r="V154" s="16"/>
      <c r="W154" s="16"/>
      <c r="X154" s="16"/>
      <c r="Y154" s="51"/>
      <c r="Z154" s="16"/>
      <c r="AA154" s="16"/>
      <c r="AB154" s="16"/>
      <c r="AC154" s="16"/>
    </row>
    <row r="155">
      <c r="A155" s="16" t="s">
        <v>339</v>
      </c>
      <c r="B155" s="16" t="s">
        <v>340</v>
      </c>
      <c r="C155" s="17" t="s">
        <v>45</v>
      </c>
      <c r="D155" s="16" t="s">
        <v>341</v>
      </c>
      <c r="E155" s="17" t="b">
        <f t="shared" ref="E155:K155" si="155">IF(IFERROR(SEARCH(E$1, $D155),0) &gt;= 1, TRUE,FALSE)</f>
        <v>0</v>
      </c>
      <c r="F155" s="17" t="b">
        <f t="shared" si="155"/>
        <v>0</v>
      </c>
      <c r="G155" s="17" t="b">
        <f t="shared" si="155"/>
        <v>0</v>
      </c>
      <c r="H155" s="17" t="b">
        <f t="shared" si="155"/>
        <v>0</v>
      </c>
      <c r="I155" s="17" t="b">
        <f t="shared" si="155"/>
        <v>1</v>
      </c>
      <c r="J155" s="17" t="b">
        <f t="shared" si="155"/>
        <v>0</v>
      </c>
      <c r="K155" s="17" t="b">
        <f t="shared" si="155"/>
        <v>0</v>
      </c>
      <c r="L155" s="17"/>
      <c r="M155" s="47" t="b">
        <v>1</v>
      </c>
      <c r="N155" s="47" t="b">
        <v>1</v>
      </c>
      <c r="O155" s="47" t="b">
        <v>0</v>
      </c>
      <c r="P155" s="47" t="b">
        <v>1</v>
      </c>
      <c r="Q155" s="16" t="str">
        <f t="shared" si="3"/>
        <v>Domein van het Kasteel van Seneffe</v>
      </c>
      <c r="R155" s="48">
        <v>6.0</v>
      </c>
      <c r="S155" s="47" t="b">
        <v>0</v>
      </c>
      <c r="T155" s="47" t="b">
        <v>1</v>
      </c>
      <c r="U155" s="48">
        <v>6.0</v>
      </c>
      <c r="V155" s="16"/>
      <c r="W155" s="16"/>
      <c r="X155" s="16"/>
      <c r="Y155" s="51"/>
      <c r="Z155" s="16"/>
      <c r="AA155" s="16"/>
      <c r="AB155" s="16"/>
      <c r="AC155" s="16"/>
    </row>
    <row r="156">
      <c r="A156" s="16" t="s">
        <v>342</v>
      </c>
      <c r="B156" s="16" t="s">
        <v>343</v>
      </c>
      <c r="C156" s="17" t="s">
        <v>45</v>
      </c>
      <c r="D156" s="16" t="s">
        <v>344</v>
      </c>
      <c r="E156" s="17" t="b">
        <f t="shared" ref="E156:K156" si="156">IF(IFERROR(SEARCH(E$1, $D156),0) &gt;= 1, TRUE,FALSE)</f>
        <v>1</v>
      </c>
      <c r="F156" s="17" t="b">
        <f t="shared" si="156"/>
        <v>0</v>
      </c>
      <c r="G156" s="17" t="b">
        <f t="shared" si="156"/>
        <v>0</v>
      </c>
      <c r="H156" s="17" t="b">
        <f t="shared" si="156"/>
        <v>0</v>
      </c>
      <c r="I156" s="17" t="b">
        <f t="shared" si="156"/>
        <v>0</v>
      </c>
      <c r="J156" s="17" t="b">
        <f t="shared" si="156"/>
        <v>0</v>
      </c>
      <c r="K156" s="17" t="b">
        <f t="shared" si="156"/>
        <v>0</v>
      </c>
      <c r="L156" s="17"/>
      <c r="M156" s="47" t="b">
        <v>1</v>
      </c>
      <c r="N156" s="47" t="b">
        <v>0</v>
      </c>
      <c r="O156" s="47" t="b">
        <v>0</v>
      </c>
      <c r="P156" s="47" t="b">
        <v>0</v>
      </c>
      <c r="Q156" s="16" t="str">
        <f t="shared" si="3"/>
        <v>Gallo-Romeins Museum van Aat</v>
      </c>
      <c r="R156" s="48">
        <v>6.0</v>
      </c>
      <c r="S156" s="47" t="b">
        <v>0</v>
      </c>
      <c r="T156" s="47" t="b">
        <v>1</v>
      </c>
      <c r="U156" s="48">
        <v>6.0</v>
      </c>
      <c r="V156" s="16"/>
      <c r="W156" s="16"/>
      <c r="X156" s="16"/>
      <c r="Y156" s="51"/>
      <c r="Z156" s="16"/>
      <c r="AA156" s="16"/>
      <c r="AB156" s="16"/>
      <c r="AC156" s="16"/>
    </row>
    <row r="157">
      <c r="A157" s="16" t="s">
        <v>345</v>
      </c>
      <c r="B157" s="16" t="s">
        <v>346</v>
      </c>
      <c r="C157" s="17" t="s">
        <v>45</v>
      </c>
      <c r="D157" s="16" t="s">
        <v>344</v>
      </c>
      <c r="E157" s="17" t="b">
        <f t="shared" ref="E157:K157" si="157">IF(IFERROR(SEARCH(E$1, $D157),0) &gt;= 1, TRUE,FALSE)</f>
        <v>1</v>
      </c>
      <c r="F157" s="17" t="b">
        <f t="shared" si="157"/>
        <v>0</v>
      </c>
      <c r="G157" s="17" t="b">
        <f t="shared" si="157"/>
        <v>0</v>
      </c>
      <c r="H157" s="17" t="b">
        <f t="shared" si="157"/>
        <v>0</v>
      </c>
      <c r="I157" s="17" t="b">
        <f t="shared" si="157"/>
        <v>0</v>
      </c>
      <c r="J157" s="17" t="b">
        <f t="shared" si="157"/>
        <v>0</v>
      </c>
      <c r="K157" s="17" t="b">
        <f t="shared" si="157"/>
        <v>0</v>
      </c>
      <c r="L157" s="17"/>
      <c r="M157" s="47" t="b">
        <v>1</v>
      </c>
      <c r="N157" s="47" t="b">
        <v>0</v>
      </c>
      <c r="O157" s="47" t="b">
        <v>1</v>
      </c>
      <c r="P157" s="47" t="b">
        <v>1</v>
      </c>
      <c r="Q157" s="16" t="str">
        <f t="shared" si="3"/>
        <v>Hospitaal Onze-Lieve-Vrouw met de Roos</v>
      </c>
      <c r="R157" s="48">
        <v>13.0</v>
      </c>
      <c r="S157" s="47" t="b">
        <v>0</v>
      </c>
      <c r="T157" s="47" t="b">
        <v>1</v>
      </c>
      <c r="U157" s="48">
        <v>13.0</v>
      </c>
      <c r="V157" s="16"/>
      <c r="W157" s="16"/>
      <c r="X157" s="16"/>
      <c r="Y157" s="51"/>
      <c r="Z157" s="16"/>
      <c r="AA157" s="16"/>
      <c r="AB157" s="16"/>
      <c r="AC157" s="16"/>
    </row>
    <row r="158">
      <c r="A158" s="16" t="s">
        <v>347</v>
      </c>
      <c r="B158" s="16" t="s">
        <v>348</v>
      </c>
      <c r="C158" s="17" t="s">
        <v>45</v>
      </c>
      <c r="D158" s="16" t="s">
        <v>349</v>
      </c>
      <c r="E158" s="17" t="b">
        <f t="shared" ref="E158:K158" si="158">IF(IFERROR(SEARCH(E$1, $D158),0) &gt;= 1, TRUE,FALSE)</f>
        <v>1</v>
      </c>
      <c r="F158" s="17" t="b">
        <f t="shared" si="158"/>
        <v>0</v>
      </c>
      <c r="G158" s="17" t="b">
        <f t="shared" si="158"/>
        <v>0</v>
      </c>
      <c r="H158" s="17" t="b">
        <f t="shared" si="158"/>
        <v>0</v>
      </c>
      <c r="I158" s="17" t="b">
        <f t="shared" si="158"/>
        <v>0</v>
      </c>
      <c r="J158" s="17" t="b">
        <f t="shared" si="158"/>
        <v>1</v>
      </c>
      <c r="K158" s="17" t="b">
        <f t="shared" si="158"/>
        <v>0</v>
      </c>
      <c r="L158" s="17"/>
      <c r="M158" s="47" t="b">
        <v>1</v>
      </c>
      <c r="N158" s="47" t="b">
        <v>0</v>
      </c>
      <c r="O158" s="47" t="b">
        <v>0</v>
      </c>
      <c r="P158" s="47" t="b">
        <v>1</v>
      </c>
      <c r="Q158" s="16" t="str">
        <f t="shared" si="3"/>
        <v>Keramis - Centrum van de Keramiek</v>
      </c>
      <c r="R158" s="48">
        <v>8.0</v>
      </c>
      <c r="S158" s="47" t="b">
        <v>0</v>
      </c>
      <c r="T158" s="47" t="b">
        <v>1</v>
      </c>
      <c r="U158" s="48">
        <v>8.0</v>
      </c>
      <c r="V158" s="16"/>
      <c r="W158" s="16"/>
      <c r="X158" s="16"/>
      <c r="Y158" s="51"/>
      <c r="Z158" s="16"/>
      <c r="AA158" s="16"/>
      <c r="AB158" s="16"/>
      <c r="AC158" s="16"/>
    </row>
    <row r="159">
      <c r="A159" s="16" t="s">
        <v>350</v>
      </c>
      <c r="B159" s="16" t="s">
        <v>351</v>
      </c>
      <c r="C159" s="17" t="s">
        <v>45</v>
      </c>
      <c r="D159" s="16" t="s">
        <v>349</v>
      </c>
      <c r="E159" s="17" t="b">
        <f t="shared" ref="E159:K159" si="159">IF(IFERROR(SEARCH(E$1, $D159),0) &gt;= 1, TRUE,FALSE)</f>
        <v>1</v>
      </c>
      <c r="F159" s="17" t="b">
        <f t="shared" si="159"/>
        <v>0</v>
      </c>
      <c r="G159" s="17" t="b">
        <f t="shared" si="159"/>
        <v>0</v>
      </c>
      <c r="H159" s="17" t="b">
        <f t="shared" si="159"/>
        <v>0</v>
      </c>
      <c r="I159" s="17" t="b">
        <f t="shared" si="159"/>
        <v>0</v>
      </c>
      <c r="J159" s="17" t="b">
        <f t="shared" si="159"/>
        <v>1</v>
      </c>
      <c r="K159" s="17" t="b">
        <f t="shared" si="159"/>
        <v>0</v>
      </c>
      <c r="L159" s="17"/>
      <c r="M159" s="47" t="b">
        <v>1</v>
      </c>
      <c r="N159" s="47" t="b">
        <v>0</v>
      </c>
      <c r="O159" s="47" t="b">
        <v>0</v>
      </c>
      <c r="P159" s="47" t="b">
        <v>0</v>
      </c>
      <c r="Q159" s="16" t="str">
        <f t="shared" si="3"/>
        <v>Het Reuzenhuis</v>
      </c>
      <c r="R159" s="48">
        <v>8.0</v>
      </c>
      <c r="S159" s="47" t="b">
        <v>0</v>
      </c>
      <c r="T159" s="47" t="b">
        <v>0</v>
      </c>
      <c r="U159" s="16"/>
      <c r="V159" s="16"/>
      <c r="W159" s="16"/>
      <c r="X159" s="16"/>
      <c r="Y159" s="51"/>
      <c r="Z159" s="16"/>
      <c r="AA159" s="16"/>
      <c r="AB159" s="16"/>
      <c r="AC159" s="16"/>
    </row>
    <row r="160">
      <c r="A160" s="16" t="s">
        <v>352</v>
      </c>
      <c r="B160" s="16" t="s">
        <v>353</v>
      </c>
      <c r="C160" s="17" t="s">
        <v>45</v>
      </c>
      <c r="D160" s="16" t="s">
        <v>344</v>
      </c>
      <c r="E160" s="17" t="b">
        <f t="shared" ref="E160:K160" si="160">IF(IFERROR(SEARCH(E$1, $D160),0) &gt;= 1, TRUE,FALSE)</f>
        <v>1</v>
      </c>
      <c r="F160" s="17" t="b">
        <f t="shared" si="160"/>
        <v>0</v>
      </c>
      <c r="G160" s="17" t="b">
        <f t="shared" si="160"/>
        <v>0</v>
      </c>
      <c r="H160" s="17" t="b">
        <f t="shared" si="160"/>
        <v>0</v>
      </c>
      <c r="I160" s="17" t="b">
        <f t="shared" si="160"/>
        <v>0</v>
      </c>
      <c r="J160" s="17" t="b">
        <f t="shared" si="160"/>
        <v>0</v>
      </c>
      <c r="K160" s="17" t="b">
        <f t="shared" si="160"/>
        <v>0</v>
      </c>
      <c r="L160" s="17"/>
      <c r="M160" s="47" t="b">
        <v>1</v>
      </c>
      <c r="N160" s="47" t="b">
        <v>0</v>
      </c>
      <c r="O160" s="47" t="b">
        <v>0</v>
      </c>
      <c r="P160" s="47" t="b">
        <v>0</v>
      </c>
      <c r="Q160" s="16" t="str">
        <f t="shared" si="3"/>
        <v>Het Huis Van Gogh</v>
      </c>
      <c r="R160" s="48">
        <v>4.0</v>
      </c>
      <c r="S160" s="47" t="b">
        <v>0</v>
      </c>
      <c r="T160" s="47" t="b">
        <v>1</v>
      </c>
      <c r="U160" s="48">
        <v>4.0</v>
      </c>
      <c r="V160" s="16"/>
      <c r="W160" s="16"/>
      <c r="X160" s="16"/>
      <c r="Y160" s="51"/>
      <c r="Z160" s="16"/>
      <c r="AA160" s="16"/>
      <c r="AB160" s="16"/>
      <c r="AC160" s="16"/>
    </row>
    <row r="161">
      <c r="A161" s="16"/>
      <c r="B161" s="16" t="s">
        <v>354</v>
      </c>
      <c r="C161" s="17" t="s">
        <v>45</v>
      </c>
      <c r="D161" s="16" t="s">
        <v>355</v>
      </c>
      <c r="E161" s="17" t="b">
        <f t="shared" ref="E161:K161" si="161">IF(IFERROR(SEARCH(E$1, $D161),0) &gt;= 1, TRUE,FALSE)</f>
        <v>1</v>
      </c>
      <c r="F161" s="17" t="b">
        <f t="shared" si="161"/>
        <v>1</v>
      </c>
      <c r="G161" s="17" t="b">
        <f t="shared" si="161"/>
        <v>0</v>
      </c>
      <c r="H161" s="17" t="b">
        <f t="shared" si="161"/>
        <v>0</v>
      </c>
      <c r="I161" s="17" t="b">
        <f t="shared" si="161"/>
        <v>0</v>
      </c>
      <c r="J161" s="17" t="b">
        <f t="shared" si="161"/>
        <v>0</v>
      </c>
      <c r="K161" s="17" t="b">
        <f t="shared" si="161"/>
        <v>0</v>
      </c>
      <c r="L161" s="17"/>
      <c r="M161" s="47" t="b">
        <v>1</v>
      </c>
      <c r="N161" s="47" t="b">
        <v>1</v>
      </c>
      <c r="O161" s="47" t="b">
        <v>1</v>
      </c>
      <c r="P161" s="47" t="b">
        <v>1</v>
      </c>
      <c r="Q161" s="16" t="str">
        <f t="shared" si="3"/>
        <v>Le Bois du Cazier </v>
      </c>
      <c r="R161" s="48">
        <v>9.0</v>
      </c>
      <c r="S161" s="47" t="b">
        <v>0</v>
      </c>
      <c r="T161" s="47" t="b">
        <v>1</v>
      </c>
      <c r="U161" s="48">
        <v>9.0</v>
      </c>
      <c r="V161" s="16"/>
      <c r="W161" s="16"/>
      <c r="X161" s="16"/>
      <c r="Y161" s="51"/>
      <c r="Z161" s="16"/>
      <c r="AA161" s="16"/>
      <c r="AB161" s="16"/>
      <c r="AC161" s="16"/>
    </row>
    <row r="162">
      <c r="A162" s="16" t="s">
        <v>356</v>
      </c>
      <c r="B162" s="16" t="s">
        <v>357</v>
      </c>
      <c r="C162" s="17" t="s">
        <v>45</v>
      </c>
      <c r="D162" s="16" t="s">
        <v>358</v>
      </c>
      <c r="E162" s="17" t="b">
        <f t="shared" ref="E162:K162" si="162">IF(IFERROR(SEARCH(E$1, $D162),0) &gt;= 1, TRUE,FALSE)</f>
        <v>0</v>
      </c>
      <c r="F162" s="17" t="b">
        <f t="shared" si="162"/>
        <v>0</v>
      </c>
      <c r="G162" s="17" t="b">
        <f t="shared" si="162"/>
        <v>0</v>
      </c>
      <c r="H162" s="17" t="b">
        <f t="shared" si="162"/>
        <v>0</v>
      </c>
      <c r="I162" s="17" t="b">
        <f t="shared" si="162"/>
        <v>1</v>
      </c>
      <c r="J162" s="17" t="b">
        <f t="shared" si="162"/>
        <v>0</v>
      </c>
      <c r="K162" s="17" t="b">
        <f t="shared" si="162"/>
        <v>1</v>
      </c>
      <c r="L162" s="17"/>
      <c r="M162" s="47" t="b">
        <v>1</v>
      </c>
      <c r="N162" s="47" t="b">
        <v>1</v>
      </c>
      <c r="O162" s="47" t="b">
        <v>0</v>
      </c>
      <c r="P162" s="47" t="b">
        <v>1</v>
      </c>
      <c r="Q162" s="16" t="str">
        <f t="shared" si="3"/>
        <v>MACS | Museum voor Hedendaagse Kunsten Grand-Hornu</v>
      </c>
      <c r="R162" s="48">
        <v>10.0</v>
      </c>
      <c r="S162" s="47" t="b">
        <v>0</v>
      </c>
      <c r="T162" s="47" t="b">
        <v>1</v>
      </c>
      <c r="U162" s="48">
        <v>10.0</v>
      </c>
      <c r="V162" s="16"/>
      <c r="W162" s="16"/>
      <c r="X162" s="16"/>
      <c r="Y162" s="51"/>
      <c r="Z162" s="16"/>
      <c r="AA162" s="16"/>
      <c r="AB162" s="16"/>
      <c r="AC162" s="16"/>
    </row>
    <row r="163">
      <c r="A163" s="16"/>
      <c r="B163" s="16" t="s">
        <v>359</v>
      </c>
      <c r="C163" s="17" t="s">
        <v>45</v>
      </c>
      <c r="D163" s="16" t="s">
        <v>360</v>
      </c>
      <c r="E163" s="17" t="b">
        <f t="shared" ref="E163:K163" si="163">IF(IFERROR(SEARCH(E$1, $D163),0) &gt;= 1, TRUE,FALSE)</f>
        <v>0</v>
      </c>
      <c r="F163" s="17" t="b">
        <f t="shared" si="163"/>
        <v>1</v>
      </c>
      <c r="G163" s="17" t="b">
        <f t="shared" si="163"/>
        <v>0</v>
      </c>
      <c r="H163" s="17" t="b">
        <f t="shared" si="163"/>
        <v>0</v>
      </c>
      <c r="I163" s="17" t="b">
        <f t="shared" si="163"/>
        <v>0</v>
      </c>
      <c r="J163" s="17" t="b">
        <f t="shared" si="163"/>
        <v>0</v>
      </c>
      <c r="K163" s="17" t="b">
        <f t="shared" si="163"/>
        <v>0</v>
      </c>
      <c r="L163" s="17"/>
      <c r="M163" s="47" t="b">
        <v>1</v>
      </c>
      <c r="N163" s="47" t="b">
        <v>1</v>
      </c>
      <c r="O163" s="47" t="b">
        <v>0</v>
      </c>
      <c r="P163" s="47" t="b">
        <v>1</v>
      </c>
      <c r="Q163" s="16" t="str">
        <f t="shared" si="3"/>
        <v>Maison de l’Imprimerie </v>
      </c>
      <c r="R163" s="48">
        <v>5.0</v>
      </c>
      <c r="S163" s="47" t="b">
        <v>0</v>
      </c>
      <c r="T163" s="47" t="b">
        <v>1</v>
      </c>
      <c r="U163" s="48">
        <v>5.0</v>
      </c>
      <c r="V163" s="16"/>
      <c r="W163" s="16"/>
      <c r="X163" s="16"/>
      <c r="Y163" s="51"/>
      <c r="Z163" s="16"/>
      <c r="AA163" s="16"/>
      <c r="AB163" s="16"/>
      <c r="AC163" s="16"/>
    </row>
    <row r="164">
      <c r="A164" s="16"/>
      <c r="B164" s="16" t="s">
        <v>361</v>
      </c>
      <c r="C164" s="17" t="s">
        <v>45</v>
      </c>
      <c r="D164" s="16" t="s">
        <v>362</v>
      </c>
      <c r="E164" s="17" t="b">
        <f t="shared" ref="E164:K164" si="164">IF(IFERROR(SEARCH(E$1, $D164),0) &gt;= 1, TRUE,FALSE)</f>
        <v>1</v>
      </c>
      <c r="F164" s="17" t="b">
        <f t="shared" si="164"/>
        <v>0</v>
      </c>
      <c r="G164" s="17" t="b">
        <f t="shared" si="164"/>
        <v>0</v>
      </c>
      <c r="H164" s="17" t="b">
        <f t="shared" si="164"/>
        <v>1</v>
      </c>
      <c r="I164" s="17" t="b">
        <f t="shared" si="164"/>
        <v>1</v>
      </c>
      <c r="J164" s="17" t="b">
        <f t="shared" si="164"/>
        <v>1</v>
      </c>
      <c r="K164" s="17" t="b">
        <f t="shared" si="164"/>
        <v>0</v>
      </c>
      <c r="L164" s="17"/>
      <c r="M164" s="47" t="b">
        <v>1</v>
      </c>
      <c r="N164" s="47" t="b">
        <v>0</v>
      </c>
      <c r="O164" s="47" t="b">
        <v>0</v>
      </c>
      <c r="P164" s="47" t="b">
        <v>0</v>
      </c>
      <c r="Q164" s="16" t="str">
        <f t="shared" si="3"/>
        <v>Maison Losseau </v>
      </c>
      <c r="R164" s="48">
        <v>5.0</v>
      </c>
      <c r="S164" s="47" t="b">
        <v>0</v>
      </c>
      <c r="T164" s="47" t="b">
        <v>1</v>
      </c>
      <c r="U164" s="48">
        <v>5.0</v>
      </c>
      <c r="V164" s="16"/>
      <c r="W164" s="16"/>
      <c r="X164" s="16"/>
      <c r="Y164" s="51"/>
      <c r="Z164" s="16"/>
      <c r="AA164" s="16"/>
      <c r="AB164" s="16"/>
      <c r="AC164" s="16"/>
    </row>
    <row r="165">
      <c r="A165" s="16"/>
      <c r="B165" s="16" t="s">
        <v>363</v>
      </c>
      <c r="C165" s="17" t="s">
        <v>45</v>
      </c>
      <c r="D165" s="16" t="s">
        <v>319</v>
      </c>
      <c r="E165" s="17" t="b">
        <f t="shared" ref="E165:K165" si="165">IF(IFERROR(SEARCH(E$1, $D165),0) &gt;= 1, TRUE,FALSE)</f>
        <v>1</v>
      </c>
      <c r="F165" s="17" t="b">
        <f t="shared" si="165"/>
        <v>0</v>
      </c>
      <c r="G165" s="17" t="b">
        <f t="shared" si="165"/>
        <v>0</v>
      </c>
      <c r="H165" s="17" t="b">
        <f t="shared" si="165"/>
        <v>0</v>
      </c>
      <c r="I165" s="17" t="b">
        <f t="shared" si="165"/>
        <v>1</v>
      </c>
      <c r="J165" s="17" t="b">
        <f t="shared" si="165"/>
        <v>0</v>
      </c>
      <c r="K165" s="17" t="b">
        <f t="shared" si="165"/>
        <v>0</v>
      </c>
      <c r="L165" s="17"/>
      <c r="M165" s="47" t="b">
        <v>1</v>
      </c>
      <c r="N165" s="47" t="b">
        <v>0</v>
      </c>
      <c r="O165" s="47" t="b">
        <v>0</v>
      </c>
      <c r="P165" s="47" t="b">
        <v>0</v>
      </c>
      <c r="Q165" s="16" t="str">
        <f t="shared" si="3"/>
        <v>Mons Memorial Museum </v>
      </c>
      <c r="R165" s="48">
        <v>9.0</v>
      </c>
      <c r="S165" s="47" t="b">
        <v>0</v>
      </c>
      <c r="T165" s="47" t="b">
        <v>1</v>
      </c>
      <c r="U165" s="48">
        <v>9.0</v>
      </c>
      <c r="V165" s="16"/>
      <c r="W165" s="16"/>
      <c r="X165" s="16"/>
      <c r="Y165" s="51"/>
      <c r="Z165" s="16"/>
      <c r="AA165" s="16"/>
      <c r="AB165" s="16"/>
      <c r="AC165" s="16"/>
    </row>
    <row r="166">
      <c r="A166" s="16"/>
      <c r="B166" s="16" t="s">
        <v>364</v>
      </c>
      <c r="C166" s="17" t="s">
        <v>45</v>
      </c>
      <c r="D166" s="16" t="s">
        <v>360</v>
      </c>
      <c r="E166" s="17" t="b">
        <f t="shared" ref="E166:K166" si="166">IF(IFERROR(SEARCH(E$1, $D166),0) &gt;= 1, TRUE,FALSE)</f>
        <v>0</v>
      </c>
      <c r="F166" s="17" t="b">
        <f t="shared" si="166"/>
        <v>1</v>
      </c>
      <c r="G166" s="17" t="b">
        <f t="shared" si="166"/>
        <v>0</v>
      </c>
      <c r="H166" s="17" t="b">
        <f t="shared" si="166"/>
        <v>0</v>
      </c>
      <c r="I166" s="17" t="b">
        <f t="shared" si="166"/>
        <v>0</v>
      </c>
      <c r="J166" s="17" t="b">
        <f t="shared" si="166"/>
        <v>0</v>
      </c>
      <c r="K166" s="17" t="b">
        <f t="shared" si="166"/>
        <v>0</v>
      </c>
      <c r="L166" s="17"/>
      <c r="M166" s="47" t="b">
        <v>1</v>
      </c>
      <c r="N166" s="47" t="b">
        <v>1</v>
      </c>
      <c r="O166" s="47" t="b">
        <v>0</v>
      </c>
      <c r="P166" s="47" t="b">
        <v>1</v>
      </c>
      <c r="Q166" s="16" t="str">
        <f t="shared" si="3"/>
        <v>MUMONS </v>
      </c>
      <c r="R166" s="48">
        <v>5.0</v>
      </c>
      <c r="S166" s="47" t="b">
        <v>0</v>
      </c>
      <c r="T166" s="47" t="b">
        <v>1</v>
      </c>
      <c r="U166" s="48">
        <v>5.0</v>
      </c>
      <c r="V166" s="16"/>
      <c r="W166" s="16"/>
      <c r="X166" s="16"/>
      <c r="Y166" s="51"/>
      <c r="Z166" s="16"/>
      <c r="AA166" s="16"/>
      <c r="AB166" s="16"/>
      <c r="AC166" s="16"/>
    </row>
    <row r="167">
      <c r="A167" s="16"/>
      <c r="B167" s="16" t="s">
        <v>365</v>
      </c>
      <c r="C167" s="17" t="s">
        <v>45</v>
      </c>
      <c r="D167" s="16" t="s">
        <v>316</v>
      </c>
      <c r="E167" s="17" t="b">
        <f t="shared" ref="E167:K167" si="167">IF(IFERROR(SEARCH(E$1, $D167),0) &gt;= 1, TRUE,FALSE)</f>
        <v>1</v>
      </c>
      <c r="F167" s="17" t="b">
        <f t="shared" si="167"/>
        <v>1</v>
      </c>
      <c r="G167" s="17" t="b">
        <f t="shared" si="167"/>
        <v>0</v>
      </c>
      <c r="H167" s="17" t="b">
        <f t="shared" si="167"/>
        <v>0</v>
      </c>
      <c r="I167" s="17" t="b">
        <f t="shared" si="167"/>
        <v>1</v>
      </c>
      <c r="J167" s="17" t="b">
        <f t="shared" si="167"/>
        <v>1</v>
      </c>
      <c r="K167" s="17" t="b">
        <f t="shared" si="167"/>
        <v>0</v>
      </c>
      <c r="L167" s="17"/>
      <c r="M167" s="47" t="b">
        <v>1</v>
      </c>
      <c r="N167" s="47" t="b">
        <v>0</v>
      </c>
      <c r="O167" s="47" t="b">
        <v>0</v>
      </c>
      <c r="P167" s="47" t="b">
        <v>0</v>
      </c>
      <c r="Q167" s="16" t="str">
        <f t="shared" si="3"/>
        <v>Mundaneum </v>
      </c>
      <c r="R167" s="48">
        <v>9.0</v>
      </c>
      <c r="S167" s="47" t="b">
        <v>0</v>
      </c>
      <c r="T167" s="47" t="b">
        <v>1</v>
      </c>
      <c r="U167" s="48">
        <v>9.0</v>
      </c>
      <c r="V167" s="16"/>
      <c r="W167" s="16"/>
      <c r="X167" s="16"/>
      <c r="Y167" s="51"/>
      <c r="Z167" s="16"/>
      <c r="AA167" s="16"/>
      <c r="AB167" s="16"/>
      <c r="AC167" s="16"/>
    </row>
    <row r="168">
      <c r="A168" s="16" t="s">
        <v>366</v>
      </c>
      <c r="B168" s="16" t="s">
        <v>367</v>
      </c>
      <c r="C168" s="17" t="s">
        <v>45</v>
      </c>
      <c r="D168" s="16" t="s">
        <v>344</v>
      </c>
      <c r="E168" s="17" t="b">
        <f t="shared" ref="E168:K168" si="168">IF(IFERROR(SEARCH(E$1, $D168),0) &gt;= 1, TRUE,FALSE)</f>
        <v>1</v>
      </c>
      <c r="F168" s="17" t="b">
        <f t="shared" si="168"/>
        <v>0</v>
      </c>
      <c r="G168" s="17" t="b">
        <f t="shared" si="168"/>
        <v>0</v>
      </c>
      <c r="H168" s="17" t="b">
        <f t="shared" si="168"/>
        <v>0</v>
      </c>
      <c r="I168" s="17" t="b">
        <f t="shared" si="168"/>
        <v>0</v>
      </c>
      <c r="J168" s="17" t="b">
        <f t="shared" si="168"/>
        <v>0</v>
      </c>
      <c r="K168" s="17" t="b">
        <f t="shared" si="168"/>
        <v>0</v>
      </c>
      <c r="L168" s="17"/>
      <c r="M168" s="47" t="b">
        <v>1</v>
      </c>
      <c r="N168" s="47" t="b">
        <v>0</v>
      </c>
      <c r="O168" s="47" t="b">
        <v>0</v>
      </c>
      <c r="P168" s="47" t="b">
        <v>0</v>
      </c>
      <c r="Q168" s="16" t="str">
        <f t="shared" si="3"/>
        <v>Archeologiemuseum</v>
      </c>
      <c r="R168" s="48">
        <v>0.0</v>
      </c>
      <c r="S168" s="47" t="b">
        <v>1</v>
      </c>
      <c r="T168" s="47" t="b">
        <v>1</v>
      </c>
      <c r="U168" s="16"/>
      <c r="V168" s="16"/>
      <c r="W168" s="16"/>
      <c r="X168" s="16"/>
      <c r="Y168" s="51"/>
      <c r="Z168" s="16"/>
      <c r="AA168" s="16"/>
      <c r="AB168" s="16"/>
      <c r="AC168" s="16"/>
    </row>
    <row r="169">
      <c r="A169" s="16" t="s">
        <v>368</v>
      </c>
      <c r="B169" s="16" t="s">
        <v>369</v>
      </c>
      <c r="C169" s="17" t="s">
        <v>45</v>
      </c>
      <c r="D169" s="16" t="s">
        <v>4</v>
      </c>
      <c r="E169" s="17" t="b">
        <f t="shared" ref="E169:K169" si="169">IF(IFERROR(SEARCH(E$1, $D169),0) &gt;= 1, TRUE,FALSE)</f>
        <v>1</v>
      </c>
      <c r="F169" s="17" t="b">
        <f t="shared" si="169"/>
        <v>0</v>
      </c>
      <c r="G169" s="17" t="b">
        <f t="shared" si="169"/>
        <v>0</v>
      </c>
      <c r="H169" s="17" t="b">
        <f t="shared" si="169"/>
        <v>0</v>
      </c>
      <c r="I169" s="17" t="b">
        <f t="shared" si="169"/>
        <v>0</v>
      </c>
      <c r="J169" s="17" t="b">
        <f t="shared" si="169"/>
        <v>0</v>
      </c>
      <c r="K169" s="17" t="b">
        <f t="shared" si="169"/>
        <v>0</v>
      </c>
      <c r="L169" s="17"/>
      <c r="M169" s="47" t="b">
        <v>1</v>
      </c>
      <c r="N169" s="47" t="b">
        <v>0</v>
      </c>
      <c r="O169" s="47" t="b">
        <v>0</v>
      </c>
      <c r="P169" s="47" t="b">
        <v>0</v>
      </c>
      <c r="Q169" s="16" t="str">
        <f t="shared" si="3"/>
        <v>Folkloremuseum</v>
      </c>
      <c r="R169" s="48">
        <v>4.0</v>
      </c>
      <c r="S169" s="47" t="b">
        <v>0</v>
      </c>
      <c r="T169" s="47" t="b">
        <v>1</v>
      </c>
      <c r="U169" s="48">
        <v>4.0</v>
      </c>
      <c r="V169" s="16"/>
      <c r="W169" s="16"/>
      <c r="X169" s="16"/>
      <c r="Y169" s="51"/>
      <c r="Z169" s="16"/>
      <c r="AA169" s="16"/>
      <c r="AB169" s="16"/>
      <c r="AC169" s="16"/>
    </row>
    <row r="170">
      <c r="A170" s="16" t="s">
        <v>370</v>
      </c>
      <c r="B170" s="16" t="s">
        <v>371</v>
      </c>
      <c r="C170" s="17" t="s">
        <v>45</v>
      </c>
      <c r="D170" s="16" t="s">
        <v>335</v>
      </c>
      <c r="E170" s="17" t="b">
        <f t="shared" ref="E170:K170" si="170">IF(IFERROR(SEARCH(E$1, $D170),0) &gt;= 1, TRUE,FALSE)</f>
        <v>0</v>
      </c>
      <c r="F170" s="17" t="b">
        <f t="shared" si="170"/>
        <v>0</v>
      </c>
      <c r="G170" s="17" t="b">
        <f t="shared" si="170"/>
        <v>0</v>
      </c>
      <c r="H170" s="17" t="b">
        <f t="shared" si="170"/>
        <v>0</v>
      </c>
      <c r="I170" s="17" t="b">
        <f t="shared" si="170"/>
        <v>0</v>
      </c>
      <c r="J170" s="17" t="b">
        <f t="shared" si="170"/>
        <v>1</v>
      </c>
      <c r="K170" s="17" t="b">
        <f t="shared" si="170"/>
        <v>0</v>
      </c>
      <c r="L170" s="17"/>
      <c r="M170" s="47" t="b">
        <v>1</v>
      </c>
      <c r="N170" s="47" t="b">
        <v>1</v>
      </c>
      <c r="O170" s="47" t="b">
        <v>0</v>
      </c>
      <c r="P170" s="47" t="b">
        <v>0</v>
      </c>
      <c r="Q170" s="16" t="str">
        <f t="shared" si="3"/>
        <v>Fotografiemuseum</v>
      </c>
      <c r="R170" s="48">
        <v>4.0</v>
      </c>
      <c r="S170" s="47" t="b">
        <v>0</v>
      </c>
      <c r="T170" s="47" t="b">
        <v>1</v>
      </c>
      <c r="U170" s="48">
        <v>8.0</v>
      </c>
      <c r="V170" s="16"/>
      <c r="W170" s="16"/>
      <c r="X170" s="16"/>
      <c r="Y170" s="51"/>
      <c r="Z170" s="16"/>
      <c r="AA170" s="16"/>
      <c r="AB170" s="16"/>
      <c r="AC170" s="16"/>
    </row>
    <row r="171">
      <c r="A171" s="16" t="s">
        <v>372</v>
      </c>
      <c r="B171" s="16" t="s">
        <v>373</v>
      </c>
      <c r="C171" s="17" t="s">
        <v>45</v>
      </c>
      <c r="D171" s="16" t="s">
        <v>374</v>
      </c>
      <c r="E171" s="17" t="b">
        <f t="shared" ref="E171:K171" si="171">IF(IFERROR(SEARCH(E$1, $D171),0) &gt;= 1, TRUE,FALSE)</f>
        <v>1</v>
      </c>
      <c r="F171" s="17" t="b">
        <f t="shared" si="171"/>
        <v>1</v>
      </c>
      <c r="G171" s="17" t="b">
        <f t="shared" si="171"/>
        <v>0</v>
      </c>
      <c r="H171" s="17" t="b">
        <f t="shared" si="171"/>
        <v>0</v>
      </c>
      <c r="I171" s="17" t="b">
        <f t="shared" si="171"/>
        <v>0</v>
      </c>
      <c r="J171" s="17" t="b">
        <f t="shared" si="171"/>
        <v>0</v>
      </c>
      <c r="K171" s="17" t="b">
        <f t="shared" si="171"/>
        <v>1</v>
      </c>
      <c r="L171" s="17"/>
      <c r="M171" s="47" t="b">
        <v>1</v>
      </c>
      <c r="N171" s="47" t="b">
        <v>1</v>
      </c>
      <c r="O171" s="47" t="b">
        <v>0</v>
      </c>
      <c r="P171" s="47" t="b">
        <v>0</v>
      </c>
      <c r="Q171" s="16" t="str">
        <f t="shared" si="3"/>
        <v>Lintweverijmuseum van Komen</v>
      </c>
      <c r="R171" s="48">
        <v>7.0</v>
      </c>
      <c r="S171" s="47" t="b">
        <v>0</v>
      </c>
      <c r="T171" s="47" t="b">
        <v>1</v>
      </c>
      <c r="U171" s="48">
        <v>7.0</v>
      </c>
      <c r="V171" s="16"/>
      <c r="W171" s="16"/>
      <c r="X171" s="16"/>
      <c r="Y171" s="51"/>
      <c r="Z171" s="16"/>
      <c r="AA171" s="16"/>
      <c r="AB171" s="16"/>
      <c r="AC171" s="16"/>
    </row>
    <row r="172">
      <c r="A172" s="16"/>
      <c r="B172" s="16" t="s">
        <v>375</v>
      </c>
      <c r="C172" s="17" t="s">
        <v>45</v>
      </c>
      <c r="D172" s="16" t="s">
        <v>349</v>
      </c>
      <c r="E172" s="17" t="b">
        <f t="shared" ref="E172:K172" si="172">IF(IFERROR(SEARCH(E$1, $D172),0) &gt;= 1, TRUE,FALSE)</f>
        <v>1</v>
      </c>
      <c r="F172" s="17" t="b">
        <f t="shared" si="172"/>
        <v>0</v>
      </c>
      <c r="G172" s="17" t="b">
        <f t="shared" si="172"/>
        <v>0</v>
      </c>
      <c r="H172" s="17" t="b">
        <f t="shared" si="172"/>
        <v>0</v>
      </c>
      <c r="I172" s="17" t="b">
        <f t="shared" si="172"/>
        <v>0</v>
      </c>
      <c r="J172" s="17" t="b">
        <f t="shared" si="172"/>
        <v>1</v>
      </c>
      <c r="K172" s="17" t="b">
        <f t="shared" si="172"/>
        <v>0</v>
      </c>
      <c r="L172" s="17"/>
      <c r="M172" s="47" t="b">
        <v>1</v>
      </c>
      <c r="N172" s="47" t="b">
        <v>0</v>
      </c>
      <c r="O172" s="47" t="b">
        <v>0</v>
      </c>
      <c r="P172" s="47" t="b">
        <v>0</v>
      </c>
      <c r="Q172" s="16" t="str">
        <f t="shared" si="3"/>
        <v>Musée des arts de la Marionnette </v>
      </c>
      <c r="R172" s="48">
        <v>0.0</v>
      </c>
      <c r="S172" s="47" t="b">
        <v>0</v>
      </c>
      <c r="T172" s="47" t="b">
        <v>0</v>
      </c>
      <c r="U172" s="16"/>
      <c r="V172" s="16"/>
      <c r="W172" s="16"/>
      <c r="X172" s="16"/>
      <c r="Y172" s="51"/>
      <c r="Z172" s="16"/>
      <c r="AA172" s="16"/>
      <c r="AB172" s="16"/>
      <c r="AC172" s="16"/>
    </row>
    <row r="173">
      <c r="A173" s="16" t="s">
        <v>376</v>
      </c>
      <c r="B173" s="16" t="s">
        <v>377</v>
      </c>
      <c r="C173" s="17" t="s">
        <v>45</v>
      </c>
      <c r="D173" s="16" t="s">
        <v>335</v>
      </c>
      <c r="E173" s="17" t="b">
        <f t="shared" ref="E173:K173" si="173">IF(IFERROR(SEARCH(E$1, $D173),0) &gt;= 1, TRUE,FALSE)</f>
        <v>0</v>
      </c>
      <c r="F173" s="17" t="b">
        <f t="shared" si="173"/>
        <v>0</v>
      </c>
      <c r="G173" s="17" t="b">
        <f t="shared" si="173"/>
        <v>0</v>
      </c>
      <c r="H173" s="17" t="b">
        <f t="shared" si="173"/>
        <v>0</v>
      </c>
      <c r="I173" s="17" t="b">
        <f t="shared" si="173"/>
        <v>0</v>
      </c>
      <c r="J173" s="17" t="b">
        <f t="shared" si="173"/>
        <v>1</v>
      </c>
      <c r="K173" s="17" t="b">
        <f t="shared" si="173"/>
        <v>0</v>
      </c>
      <c r="L173" s="17"/>
      <c r="M173" s="47" t="b">
        <v>1</v>
      </c>
      <c r="N173" s="47" t="b">
        <v>1</v>
      </c>
      <c r="O173" s="47" t="b">
        <v>0</v>
      </c>
      <c r="P173" s="47" t="b">
        <v>0</v>
      </c>
      <c r="Q173" s="16" t="str">
        <f t="shared" si="3"/>
        <v>Museum voor Schone Kunsten van Doornik</v>
      </c>
      <c r="R173" s="48">
        <v>4.0</v>
      </c>
      <c r="S173" s="47" t="b">
        <v>0</v>
      </c>
      <c r="T173" s="47" t="b">
        <v>1</v>
      </c>
      <c r="U173" s="48">
        <v>4.0</v>
      </c>
      <c r="V173" s="16"/>
      <c r="W173" s="16"/>
      <c r="X173" s="16"/>
      <c r="Y173" s="51"/>
      <c r="Z173" s="16"/>
      <c r="AA173" s="16"/>
      <c r="AB173" s="16"/>
      <c r="AC173" s="16"/>
    </row>
    <row r="174">
      <c r="A174" s="16" t="s">
        <v>378</v>
      </c>
      <c r="B174" s="16" t="s">
        <v>379</v>
      </c>
      <c r="C174" s="17" t="s">
        <v>45</v>
      </c>
      <c r="D174" s="16" t="s">
        <v>4</v>
      </c>
      <c r="E174" s="17" t="b">
        <f t="shared" ref="E174:K174" si="174">IF(IFERROR(SEARCH(E$1, $D174),0) &gt;= 1, TRUE,FALSE)</f>
        <v>1</v>
      </c>
      <c r="F174" s="17" t="b">
        <f t="shared" si="174"/>
        <v>0</v>
      </c>
      <c r="G174" s="17" t="b">
        <f t="shared" si="174"/>
        <v>0</v>
      </c>
      <c r="H174" s="17" t="b">
        <f t="shared" si="174"/>
        <v>0</v>
      </c>
      <c r="I174" s="17" t="b">
        <f t="shared" si="174"/>
        <v>0</v>
      </c>
      <c r="J174" s="17" t="b">
        <f t="shared" si="174"/>
        <v>0</v>
      </c>
      <c r="K174" s="17" t="b">
        <f t="shared" si="174"/>
        <v>0</v>
      </c>
      <c r="L174" s="17"/>
      <c r="M174" s="47" t="b">
        <v>1</v>
      </c>
      <c r="N174" s="47" t="b">
        <v>0</v>
      </c>
      <c r="O174" s="47" t="b">
        <v>0</v>
      </c>
      <c r="P174" s="47" t="b">
        <v>0</v>
      </c>
      <c r="Q174" s="16" t="str">
        <f t="shared" si="3"/>
        <v>Museum voor militaire geschiedenis</v>
      </c>
      <c r="R174" s="48">
        <v>4.0</v>
      </c>
      <c r="S174" s="47" t="b">
        <v>0</v>
      </c>
      <c r="T174" s="47" t="b">
        <v>1</v>
      </c>
      <c r="U174" s="48">
        <v>4.0</v>
      </c>
      <c r="V174" s="16"/>
      <c r="W174" s="16"/>
      <c r="X174" s="16"/>
      <c r="Y174" s="51"/>
      <c r="Z174" s="16"/>
      <c r="AA174" s="16"/>
      <c r="AB174" s="16"/>
      <c r="AC174" s="16"/>
    </row>
    <row r="175">
      <c r="A175" s="16" t="s">
        <v>380</v>
      </c>
      <c r="B175" s="16" t="s">
        <v>381</v>
      </c>
      <c r="C175" s="17" t="s">
        <v>45</v>
      </c>
      <c r="D175" s="16" t="s">
        <v>360</v>
      </c>
      <c r="E175" s="17" t="b">
        <f t="shared" ref="E175:K175" si="175">IF(IFERROR(SEARCH(E$1, $D175),0) &gt;= 1, TRUE,FALSE)</f>
        <v>0</v>
      </c>
      <c r="F175" s="17" t="b">
        <f t="shared" si="175"/>
        <v>1</v>
      </c>
      <c r="G175" s="17" t="b">
        <f t="shared" si="175"/>
        <v>0</v>
      </c>
      <c r="H175" s="17" t="b">
        <f t="shared" si="175"/>
        <v>0</v>
      </c>
      <c r="I175" s="17" t="b">
        <f t="shared" si="175"/>
        <v>0</v>
      </c>
      <c r="J175" s="17" t="b">
        <f t="shared" si="175"/>
        <v>0</v>
      </c>
      <c r="K175" s="17" t="b">
        <f t="shared" si="175"/>
        <v>0</v>
      </c>
      <c r="L175" s="17"/>
      <c r="M175" s="47" t="b">
        <v>1</v>
      </c>
      <c r="N175" s="47" t="b">
        <v>1</v>
      </c>
      <c r="O175" s="47" t="b">
        <v>0</v>
      </c>
      <c r="P175" s="47" t="b">
        <v>0</v>
      </c>
      <c r="Q175" s="16" t="str">
        <f t="shared" si="3"/>
        <v>Natuurhistorisch Museum en Vivarium</v>
      </c>
      <c r="R175" s="48">
        <v>4.0</v>
      </c>
      <c r="S175" s="47" t="b">
        <v>1</v>
      </c>
      <c r="T175" s="47" t="b">
        <v>1</v>
      </c>
      <c r="U175" s="48">
        <v>4.0</v>
      </c>
      <c r="V175" s="16"/>
      <c r="W175" s="16"/>
      <c r="X175" s="16"/>
      <c r="Y175" s="51"/>
      <c r="Z175" s="16"/>
      <c r="AA175" s="16"/>
      <c r="AB175" s="16"/>
      <c r="AC175" s="16"/>
    </row>
    <row r="176">
      <c r="A176" s="16" t="s">
        <v>382</v>
      </c>
      <c r="B176" s="16" t="s">
        <v>383</v>
      </c>
      <c r="C176" s="17" t="s">
        <v>45</v>
      </c>
      <c r="D176" s="16" t="s">
        <v>4</v>
      </c>
      <c r="E176" s="17" t="b">
        <f t="shared" ref="E176:K176" si="176">IF(IFERROR(SEARCH(E$1, $D176),0) &gt;= 1, TRUE,FALSE)</f>
        <v>1</v>
      </c>
      <c r="F176" s="17" t="b">
        <f t="shared" si="176"/>
        <v>0</v>
      </c>
      <c r="G176" s="17" t="b">
        <f t="shared" si="176"/>
        <v>0</v>
      </c>
      <c r="H176" s="17" t="b">
        <f t="shared" si="176"/>
        <v>0</v>
      </c>
      <c r="I176" s="17" t="b">
        <f t="shared" si="176"/>
        <v>0</v>
      </c>
      <c r="J176" s="17" t="b">
        <f t="shared" si="176"/>
        <v>0</v>
      </c>
      <c r="K176" s="17" t="b">
        <f t="shared" si="176"/>
        <v>0</v>
      </c>
      <c r="L176" s="17"/>
      <c r="M176" s="47" t="b">
        <v>1</v>
      </c>
      <c r="N176" s="47" t="b">
        <v>0</v>
      </c>
      <c r="O176" s="47" t="b">
        <v>0</v>
      </c>
      <c r="P176" s="47" t="b">
        <v>0</v>
      </c>
      <c r="Q176" s="16" t="str">
        <f t="shared" si="3"/>
        <v>Doudoumuseum</v>
      </c>
      <c r="R176" s="48">
        <v>9.0</v>
      </c>
      <c r="S176" s="47" t="b">
        <v>0</v>
      </c>
      <c r="T176" s="47" t="b">
        <v>0</v>
      </c>
      <c r="U176" s="16"/>
      <c r="V176" s="16"/>
      <c r="W176" s="16"/>
      <c r="X176" s="16"/>
      <c r="Y176" s="51"/>
      <c r="Z176" s="16"/>
      <c r="AA176" s="16"/>
      <c r="AB176" s="16"/>
      <c r="AC176" s="16"/>
    </row>
    <row r="177">
      <c r="A177" s="16" t="s">
        <v>384</v>
      </c>
      <c r="B177" s="16" t="s">
        <v>385</v>
      </c>
      <c r="C177" s="17" t="s">
        <v>45</v>
      </c>
      <c r="D177" s="16" t="s">
        <v>344</v>
      </c>
      <c r="E177" s="17" t="b">
        <f t="shared" ref="E177:K177" si="177">IF(IFERROR(SEARCH(E$1, $D177),0) &gt;= 1, TRUE,FALSE)</f>
        <v>1</v>
      </c>
      <c r="F177" s="17" t="b">
        <f t="shared" si="177"/>
        <v>0</v>
      </c>
      <c r="G177" s="17" t="b">
        <f t="shared" si="177"/>
        <v>0</v>
      </c>
      <c r="H177" s="17" t="b">
        <f t="shared" si="177"/>
        <v>0</v>
      </c>
      <c r="I177" s="17" t="b">
        <f t="shared" si="177"/>
        <v>0</v>
      </c>
      <c r="J177" s="17" t="b">
        <f t="shared" si="177"/>
        <v>0</v>
      </c>
      <c r="K177" s="17" t="b">
        <f t="shared" si="177"/>
        <v>0</v>
      </c>
      <c r="L177" s="17"/>
      <c r="M177" s="47" t="b">
        <v>1</v>
      </c>
      <c r="N177" s="47" t="b">
        <v>1</v>
      </c>
      <c r="O177" s="47" t="b">
        <v>1</v>
      </c>
      <c r="P177" s="47" t="b">
        <v>1</v>
      </c>
      <c r="Q177" s="16" t="str">
        <f t="shared" si="3"/>
        <v>Internationaal Museum van het Carnaval en het Masker</v>
      </c>
      <c r="R177" s="48">
        <v>8.0</v>
      </c>
      <c r="S177" s="47" t="b">
        <v>0</v>
      </c>
      <c r="T177" s="47" t="b">
        <v>1</v>
      </c>
      <c r="U177" s="48">
        <v>8.0</v>
      </c>
      <c r="V177" s="16"/>
      <c r="W177" s="16"/>
      <c r="X177" s="16"/>
      <c r="Y177" s="51"/>
      <c r="Z177" s="16"/>
      <c r="AA177" s="16"/>
      <c r="AB177" s="16"/>
      <c r="AC177" s="16"/>
    </row>
    <row r="178">
      <c r="A178" s="16" t="s">
        <v>386</v>
      </c>
      <c r="B178" s="16" t="s">
        <v>387</v>
      </c>
      <c r="C178" s="17" t="s">
        <v>45</v>
      </c>
      <c r="D178" s="16" t="s">
        <v>349</v>
      </c>
      <c r="E178" s="17" t="b">
        <f t="shared" ref="E178:K178" si="178">IF(IFERROR(SEARCH(E$1, $D178),0) &gt;= 1, TRUE,FALSE)</f>
        <v>1</v>
      </c>
      <c r="F178" s="17" t="b">
        <f t="shared" si="178"/>
        <v>0</v>
      </c>
      <c r="G178" s="17" t="b">
        <f t="shared" si="178"/>
        <v>0</v>
      </c>
      <c r="H178" s="17" t="b">
        <f t="shared" si="178"/>
        <v>0</v>
      </c>
      <c r="I178" s="17" t="b">
        <f t="shared" si="178"/>
        <v>0</v>
      </c>
      <c r="J178" s="17" t="b">
        <f t="shared" si="178"/>
        <v>1</v>
      </c>
      <c r="K178" s="17" t="b">
        <f t="shared" si="178"/>
        <v>0</v>
      </c>
      <c r="L178" s="17"/>
      <c r="M178" s="47" t="b">
        <v>1</v>
      </c>
      <c r="N178" s="47" t="b">
        <v>1</v>
      </c>
      <c r="O178" s="47" t="b">
        <v>0</v>
      </c>
      <c r="P178" s="47" t="b">
        <v>1</v>
      </c>
      <c r="Q178" s="16" t="str">
        <f t="shared" si="3"/>
        <v>Koninklijk Museum van Mariemont</v>
      </c>
      <c r="R178" s="48">
        <v>9.0</v>
      </c>
      <c r="S178" s="47" t="b">
        <v>1</v>
      </c>
      <c r="T178" s="47" t="b">
        <v>1</v>
      </c>
      <c r="U178" s="48">
        <v>9.0</v>
      </c>
      <c r="V178" s="16"/>
      <c r="W178" s="16"/>
      <c r="X178" s="16"/>
      <c r="Y178" s="51"/>
      <c r="Z178" s="16"/>
      <c r="AA178" s="16"/>
      <c r="AB178" s="16"/>
      <c r="AC178" s="16"/>
    </row>
    <row r="179">
      <c r="A179" s="16"/>
      <c r="B179" s="16" t="s">
        <v>388</v>
      </c>
      <c r="C179" s="17" t="s">
        <v>45</v>
      </c>
      <c r="D179" s="16" t="s">
        <v>344</v>
      </c>
      <c r="E179" s="17" t="b">
        <f t="shared" ref="E179:K179" si="179">IF(IFERROR(SEARCH(E$1, $D179),0) &gt;= 1, TRUE,FALSE)</f>
        <v>1</v>
      </c>
      <c r="F179" s="17" t="b">
        <f t="shared" si="179"/>
        <v>0</v>
      </c>
      <c r="G179" s="17" t="b">
        <f t="shared" si="179"/>
        <v>0</v>
      </c>
      <c r="H179" s="17" t="b">
        <f t="shared" si="179"/>
        <v>0</v>
      </c>
      <c r="I179" s="17" t="b">
        <f t="shared" si="179"/>
        <v>0</v>
      </c>
      <c r="J179" s="17" t="b">
        <f t="shared" si="179"/>
        <v>0</v>
      </c>
      <c r="K179" s="17" t="b">
        <f t="shared" si="179"/>
        <v>0</v>
      </c>
      <c r="L179" s="17"/>
      <c r="M179" s="47" t="b">
        <v>1</v>
      </c>
      <c r="N179" s="47" t="b">
        <v>1</v>
      </c>
      <c r="O179" s="47" t="b">
        <v>0</v>
      </c>
      <c r="P179" s="47" t="b">
        <v>1</v>
      </c>
      <c r="Q179" s="16" t="str">
        <f t="shared" si="3"/>
        <v>Plugstreet 14-18 experience </v>
      </c>
      <c r="R179" s="48">
        <v>5.0</v>
      </c>
      <c r="S179" s="47" t="b">
        <v>0</v>
      </c>
      <c r="T179" s="47" t="b">
        <v>0</v>
      </c>
      <c r="U179" s="48">
        <v>5.0</v>
      </c>
      <c r="V179" s="16"/>
      <c r="W179" s="16"/>
      <c r="X179" s="16"/>
      <c r="Y179" s="51"/>
      <c r="Z179" s="16"/>
      <c r="AA179" s="16"/>
      <c r="AB179" s="16"/>
      <c r="AC179" s="16"/>
    </row>
    <row r="180">
      <c r="A180" s="16"/>
      <c r="B180" s="16" t="s">
        <v>389</v>
      </c>
      <c r="C180" s="17" t="s">
        <v>45</v>
      </c>
      <c r="D180" s="16" t="s">
        <v>344</v>
      </c>
      <c r="E180" s="17" t="b">
        <f t="shared" ref="E180:K180" si="180">IF(IFERROR(SEARCH(E$1, $D180),0) &gt;= 1, TRUE,FALSE)</f>
        <v>1</v>
      </c>
      <c r="F180" s="17" t="b">
        <f t="shared" si="180"/>
        <v>0</v>
      </c>
      <c r="G180" s="17" t="b">
        <f t="shared" si="180"/>
        <v>0</v>
      </c>
      <c r="H180" s="17" t="b">
        <f t="shared" si="180"/>
        <v>0</v>
      </c>
      <c r="I180" s="17" t="b">
        <f t="shared" si="180"/>
        <v>0</v>
      </c>
      <c r="J180" s="17" t="b">
        <f t="shared" si="180"/>
        <v>0</v>
      </c>
      <c r="K180" s="17" t="b">
        <f t="shared" si="180"/>
        <v>0</v>
      </c>
      <c r="L180" s="17"/>
      <c r="M180" s="47" t="b">
        <v>1</v>
      </c>
      <c r="N180" s="47" t="b">
        <v>0</v>
      </c>
      <c r="O180" s="47" t="b">
        <v>0</v>
      </c>
      <c r="P180" s="47" t="b">
        <v>0</v>
      </c>
      <c r="Q180" s="16" t="str">
        <f t="shared" si="3"/>
        <v>Silex’s </v>
      </c>
      <c r="R180" s="48">
        <v>6.0</v>
      </c>
      <c r="S180" s="47" t="b">
        <v>0</v>
      </c>
      <c r="T180" s="47" t="b">
        <v>0</v>
      </c>
      <c r="U180" s="16"/>
      <c r="V180" s="16"/>
      <c r="W180" s="16"/>
      <c r="X180" s="16"/>
      <c r="Y180" s="51"/>
      <c r="Z180" s="16"/>
      <c r="AA180" s="16"/>
      <c r="AB180" s="16"/>
      <c r="AC180" s="16"/>
    </row>
    <row r="181">
      <c r="A181" s="16" t="s">
        <v>390</v>
      </c>
      <c r="B181" s="16" t="s">
        <v>391</v>
      </c>
      <c r="C181" s="17" t="s">
        <v>45</v>
      </c>
      <c r="D181" s="16" t="s">
        <v>392</v>
      </c>
      <c r="E181" s="17" t="b">
        <f t="shared" ref="E181:K181" si="181">IF(IFERROR(SEARCH(E$1, $D181),0) &gt;= 1, TRUE,FALSE)</f>
        <v>0</v>
      </c>
      <c r="F181" s="17" t="b">
        <f t="shared" si="181"/>
        <v>0</v>
      </c>
      <c r="G181" s="17" t="b">
        <f t="shared" si="181"/>
        <v>1</v>
      </c>
      <c r="H181" s="17" t="b">
        <f t="shared" si="181"/>
        <v>0</v>
      </c>
      <c r="I181" s="17" t="b">
        <f t="shared" si="181"/>
        <v>0</v>
      </c>
      <c r="J181" s="17" t="b">
        <f t="shared" si="181"/>
        <v>1</v>
      </c>
      <c r="K181" s="17" t="b">
        <f t="shared" si="181"/>
        <v>1</v>
      </c>
      <c r="L181" s="17"/>
      <c r="M181" s="47" t="b">
        <v>1</v>
      </c>
      <c r="N181" s="47" t="b">
        <v>0</v>
      </c>
      <c r="O181" s="47" t="b">
        <v>0</v>
      </c>
      <c r="P181" s="47" t="b">
        <v>0</v>
      </c>
      <c r="Q181" s="16" t="str">
        <f t="shared" si="3"/>
        <v>TAMAT | Museum voor Wandtapijten en Textielkunsten van de Federatie Wallonië-Brussel</v>
      </c>
      <c r="R181" s="48">
        <v>7.0</v>
      </c>
      <c r="S181" s="47" t="b">
        <v>0</v>
      </c>
      <c r="T181" s="47" t="b">
        <v>0</v>
      </c>
      <c r="U181" s="16"/>
      <c r="V181" s="16"/>
      <c r="W181" s="16"/>
      <c r="X181" s="16"/>
      <c r="Y181" s="51"/>
      <c r="Z181" s="16"/>
      <c r="AA181" s="16"/>
      <c r="AB181" s="16"/>
      <c r="AC181" s="16"/>
    </row>
    <row r="182">
      <c r="A182" s="16"/>
      <c r="B182" s="16" t="s">
        <v>393</v>
      </c>
      <c r="C182" s="17" t="s">
        <v>48</v>
      </c>
      <c r="D182" s="16" t="s">
        <v>4</v>
      </c>
      <c r="E182" s="17" t="b">
        <f t="shared" ref="E182:K182" si="182">IF(IFERROR(SEARCH(E$1, $D182),0) &gt;= 1, TRUE,FALSE)</f>
        <v>1</v>
      </c>
      <c r="F182" s="17" t="b">
        <f t="shared" si="182"/>
        <v>0</v>
      </c>
      <c r="G182" s="17" t="b">
        <f t="shared" si="182"/>
        <v>0</v>
      </c>
      <c r="H182" s="17" t="b">
        <f t="shared" si="182"/>
        <v>0</v>
      </c>
      <c r="I182" s="17" t="b">
        <f t="shared" si="182"/>
        <v>0</v>
      </c>
      <c r="J182" s="17" t="b">
        <f t="shared" si="182"/>
        <v>0</v>
      </c>
      <c r="K182" s="17" t="b">
        <f t="shared" si="182"/>
        <v>0</v>
      </c>
      <c r="L182" s="17"/>
      <c r="M182" s="47" t="b">
        <v>0</v>
      </c>
      <c r="N182" s="47" t="b">
        <v>1</v>
      </c>
      <c r="O182" s="47" t="b">
        <v>0</v>
      </c>
      <c r="P182" s="47" t="b">
        <v>0</v>
      </c>
      <c r="Q182" s="16" t="str">
        <f t="shared" si="3"/>
        <v>Bastogne Barracks</v>
      </c>
      <c r="R182" s="48">
        <v>12.0</v>
      </c>
      <c r="S182" s="47" t="b">
        <v>0</v>
      </c>
      <c r="T182" s="47" t="b">
        <v>0</v>
      </c>
      <c r="U182" s="16"/>
      <c r="V182" s="16"/>
      <c r="W182" s="16"/>
      <c r="X182" s="16"/>
      <c r="Y182" s="51"/>
      <c r="Z182" s="16"/>
      <c r="AA182" s="16"/>
      <c r="AB182" s="16"/>
      <c r="AC182" s="16"/>
    </row>
    <row r="183">
      <c r="A183" s="16"/>
      <c r="B183" s="16" t="s">
        <v>394</v>
      </c>
      <c r="C183" s="17" t="s">
        <v>48</v>
      </c>
      <c r="D183" s="16" t="s">
        <v>198</v>
      </c>
      <c r="E183" s="17" t="b">
        <f t="shared" ref="E183:K183" si="183">IF(IFERROR(SEARCH(E$1, $D183),0) &gt;= 1, TRUE,FALSE)</f>
        <v>1</v>
      </c>
      <c r="F183" s="17" t="b">
        <f t="shared" si="183"/>
        <v>0</v>
      </c>
      <c r="G183" s="17" t="b">
        <f t="shared" si="183"/>
        <v>0</v>
      </c>
      <c r="H183" s="17" t="b">
        <f t="shared" si="183"/>
        <v>0</v>
      </c>
      <c r="I183" s="17" t="b">
        <f t="shared" si="183"/>
        <v>1</v>
      </c>
      <c r="J183" s="17" t="b">
        <f t="shared" si="183"/>
        <v>1</v>
      </c>
      <c r="K183" s="17" t="b">
        <f t="shared" si="183"/>
        <v>0</v>
      </c>
      <c r="L183" s="17"/>
      <c r="M183" s="47" t="b">
        <v>1</v>
      </c>
      <c r="N183" s="47" t="b">
        <v>0</v>
      </c>
      <c r="O183" s="47" t="b">
        <v>0</v>
      </c>
      <c r="P183" s="47" t="b">
        <v>0</v>
      </c>
      <c r="Q183" s="16" t="str">
        <f t="shared" si="3"/>
        <v>DHAM | Durbuy History &amp; Art Museum</v>
      </c>
      <c r="R183" s="48">
        <v>6.0</v>
      </c>
      <c r="S183" s="47" t="b">
        <v>0</v>
      </c>
      <c r="T183" s="47" t="b">
        <v>1</v>
      </c>
      <c r="U183" s="48">
        <v>6.0</v>
      </c>
      <c r="V183" s="16"/>
      <c r="W183" s="16"/>
      <c r="X183" s="16"/>
      <c r="Y183" s="51"/>
      <c r="Z183" s="16"/>
      <c r="AA183" s="16"/>
      <c r="AB183" s="16"/>
      <c r="AC183" s="16"/>
    </row>
    <row r="184">
      <c r="A184" s="16"/>
      <c r="B184" s="16" t="s">
        <v>395</v>
      </c>
      <c r="C184" s="17" t="s">
        <v>48</v>
      </c>
      <c r="D184" s="16" t="s">
        <v>396</v>
      </c>
      <c r="E184" s="17" t="b">
        <f t="shared" ref="E184:K184" si="184">IF(IFERROR(SEARCH(E$1, $D184),0) &gt;= 1, TRUE,FALSE)</f>
        <v>1</v>
      </c>
      <c r="F184" s="17" t="b">
        <f t="shared" si="184"/>
        <v>0</v>
      </c>
      <c r="G184" s="17" t="b">
        <f t="shared" si="184"/>
        <v>1</v>
      </c>
      <c r="H184" s="17" t="b">
        <f t="shared" si="184"/>
        <v>0</v>
      </c>
      <c r="I184" s="17" t="b">
        <f t="shared" si="184"/>
        <v>1</v>
      </c>
      <c r="J184" s="17" t="b">
        <f t="shared" si="184"/>
        <v>1</v>
      </c>
      <c r="K184" s="17" t="b">
        <f t="shared" si="184"/>
        <v>1</v>
      </c>
      <c r="L184" s="17"/>
      <c r="M184" s="47" t="b">
        <v>1</v>
      </c>
      <c r="N184" s="47" t="b">
        <v>0</v>
      </c>
      <c r="O184" s="47" t="b">
        <v>0</v>
      </c>
      <c r="P184" s="47" t="b">
        <v>0</v>
      </c>
      <c r="Q184" s="16" t="str">
        <f t="shared" si="3"/>
        <v>FAM | Famenne &amp; Art Museum</v>
      </c>
      <c r="R184" s="48">
        <v>5.0</v>
      </c>
      <c r="S184" s="47" t="b">
        <v>0</v>
      </c>
      <c r="T184" s="47" t="b">
        <v>1</v>
      </c>
      <c r="U184" s="48">
        <v>5.0</v>
      </c>
      <c r="V184" s="16"/>
      <c r="W184" s="16"/>
      <c r="X184" s="16"/>
      <c r="Y184" s="51"/>
      <c r="Z184" s="16"/>
      <c r="AA184" s="16"/>
      <c r="AB184" s="16"/>
      <c r="AC184" s="16"/>
    </row>
    <row r="185">
      <c r="A185" s="16" t="s">
        <v>397</v>
      </c>
      <c r="B185" s="16" t="s">
        <v>398</v>
      </c>
      <c r="C185" s="17" t="s">
        <v>48</v>
      </c>
      <c r="D185" s="16" t="s">
        <v>344</v>
      </c>
      <c r="E185" s="17" t="b">
        <f t="shared" ref="E185:K185" si="185">IF(IFERROR(SEARCH(E$1, $D185),0) &gt;= 1, TRUE,FALSE)</f>
        <v>1</v>
      </c>
      <c r="F185" s="17" t="b">
        <f t="shared" si="185"/>
        <v>0</v>
      </c>
      <c r="G185" s="17" t="b">
        <f t="shared" si="185"/>
        <v>0</v>
      </c>
      <c r="H185" s="17" t="b">
        <f t="shared" si="185"/>
        <v>0</v>
      </c>
      <c r="I185" s="17" t="b">
        <f t="shared" si="185"/>
        <v>0</v>
      </c>
      <c r="J185" s="17" t="b">
        <f t="shared" si="185"/>
        <v>0</v>
      </c>
      <c r="K185" s="17" t="b">
        <f t="shared" si="185"/>
        <v>0</v>
      </c>
      <c r="L185" s="17"/>
      <c r="M185" s="47" t="b">
        <v>1</v>
      </c>
      <c r="N185" s="47" t="b">
        <v>0</v>
      </c>
      <c r="O185" s="47" t="b">
        <v>1</v>
      </c>
      <c r="P185" s="47" t="b">
        <v>1</v>
      </c>
      <c r="Q185" s="16" t="str">
        <f t="shared" si="3"/>
        <v>Megalietenhuis</v>
      </c>
      <c r="R185" s="48">
        <v>4.0</v>
      </c>
      <c r="S185" s="47" t="b">
        <v>0</v>
      </c>
      <c r="T185" s="47" t="b">
        <v>1</v>
      </c>
      <c r="U185" s="48">
        <v>4.0</v>
      </c>
      <c r="V185" s="16"/>
      <c r="W185" s="16"/>
      <c r="X185" s="16"/>
      <c r="Y185" s="51"/>
      <c r="Z185" s="16"/>
      <c r="AA185" s="16"/>
      <c r="AB185" s="16"/>
      <c r="AC185" s="16"/>
    </row>
    <row r="186">
      <c r="A186" s="16"/>
      <c r="B186" s="16" t="s">
        <v>399</v>
      </c>
      <c r="C186" s="17" t="s">
        <v>48</v>
      </c>
      <c r="D186" s="16" t="s">
        <v>9</v>
      </c>
      <c r="E186" s="17" t="b">
        <f t="shared" ref="E186:K186" si="186">IF(IFERROR(SEARCH(E$1, $D186),0) &gt;= 1, TRUE,FALSE)</f>
        <v>0</v>
      </c>
      <c r="F186" s="17" t="b">
        <f t="shared" si="186"/>
        <v>0</v>
      </c>
      <c r="G186" s="17" t="b">
        <f t="shared" si="186"/>
        <v>0</v>
      </c>
      <c r="H186" s="17" t="b">
        <f t="shared" si="186"/>
        <v>0</v>
      </c>
      <c r="I186" s="17" t="b">
        <f t="shared" si="186"/>
        <v>0</v>
      </c>
      <c r="J186" s="17" t="b">
        <f t="shared" si="186"/>
        <v>1</v>
      </c>
      <c r="K186" s="17" t="b">
        <f t="shared" si="186"/>
        <v>0</v>
      </c>
      <c r="L186" s="17"/>
      <c r="M186" s="47" t="b">
        <v>1</v>
      </c>
      <c r="N186" s="47" t="b">
        <v>0</v>
      </c>
      <c r="O186" s="47" t="b">
        <v>0</v>
      </c>
      <c r="P186" s="47" t="b">
        <v>1</v>
      </c>
      <c r="Q186" s="16" t="str">
        <f t="shared" si="3"/>
        <v>Mudia</v>
      </c>
      <c r="R186" s="48">
        <v>15.5</v>
      </c>
      <c r="S186" s="47" t="b">
        <v>0</v>
      </c>
      <c r="T186" s="47" t="b">
        <v>0</v>
      </c>
      <c r="U186" s="16"/>
      <c r="V186" s="16"/>
      <c r="W186" s="16"/>
      <c r="X186" s="16"/>
      <c r="Y186" s="51"/>
      <c r="Z186" s="16"/>
      <c r="AA186" s="16"/>
      <c r="AB186" s="16"/>
      <c r="AC186" s="16"/>
    </row>
    <row r="187">
      <c r="A187" s="16" t="s">
        <v>400</v>
      </c>
      <c r="B187" s="16" t="s">
        <v>401</v>
      </c>
      <c r="C187" s="17" t="s">
        <v>48</v>
      </c>
      <c r="D187" s="16" t="s">
        <v>344</v>
      </c>
      <c r="E187" s="17" t="b">
        <f t="shared" ref="E187:K187" si="187">IF(IFERROR(SEARCH(E$1, $D187),0) &gt;= 1, TRUE,FALSE)</f>
        <v>1</v>
      </c>
      <c r="F187" s="17" t="b">
        <f t="shared" si="187"/>
        <v>0</v>
      </c>
      <c r="G187" s="17" t="b">
        <f t="shared" si="187"/>
        <v>0</v>
      </c>
      <c r="H187" s="17" t="b">
        <f t="shared" si="187"/>
        <v>0</v>
      </c>
      <c r="I187" s="17" t="b">
        <f t="shared" si="187"/>
        <v>0</v>
      </c>
      <c r="J187" s="17" t="b">
        <f t="shared" si="187"/>
        <v>0</v>
      </c>
      <c r="K187" s="17" t="b">
        <f t="shared" si="187"/>
        <v>0</v>
      </c>
      <c r="L187" s="17"/>
      <c r="M187" s="47" t="b">
        <v>1</v>
      </c>
      <c r="N187" s="47" t="b">
        <v>0</v>
      </c>
      <c r="O187" s="47" t="b">
        <v>0</v>
      </c>
      <c r="P187" s="47" t="b">
        <v>0</v>
      </c>
      <c r="Q187" s="16" t="str">
        <f t="shared" si="3"/>
        <v>Archeologisch Museum van Aarlen</v>
      </c>
      <c r="R187" s="48">
        <v>6.0</v>
      </c>
      <c r="S187" s="47" t="b">
        <v>0</v>
      </c>
      <c r="T187" s="47" t="b">
        <v>1</v>
      </c>
      <c r="U187" s="48">
        <v>6.0</v>
      </c>
      <c r="V187" s="16"/>
      <c r="W187" s="16"/>
      <c r="X187" s="16"/>
      <c r="Y187" s="51"/>
      <c r="Z187" s="16"/>
      <c r="AA187" s="16"/>
      <c r="AB187" s="16"/>
      <c r="AC187" s="16"/>
    </row>
    <row r="188">
      <c r="A188" s="16" t="s">
        <v>402</v>
      </c>
      <c r="B188" s="16" t="s">
        <v>403</v>
      </c>
      <c r="C188" s="17" t="s">
        <v>48</v>
      </c>
      <c r="D188" s="16" t="s">
        <v>198</v>
      </c>
      <c r="E188" s="17" t="b">
        <f t="shared" ref="E188:K188" si="188">IF(IFERROR(SEARCH(E$1, $D188),0) &gt;= 1, TRUE,FALSE)</f>
        <v>1</v>
      </c>
      <c r="F188" s="17" t="b">
        <f t="shared" si="188"/>
        <v>0</v>
      </c>
      <c r="G188" s="17" t="b">
        <f t="shared" si="188"/>
        <v>0</v>
      </c>
      <c r="H188" s="17" t="b">
        <f t="shared" si="188"/>
        <v>0</v>
      </c>
      <c r="I188" s="17" t="b">
        <f t="shared" si="188"/>
        <v>1</v>
      </c>
      <c r="J188" s="17" t="b">
        <f t="shared" si="188"/>
        <v>1</v>
      </c>
      <c r="K188" s="17" t="b">
        <f t="shared" si="188"/>
        <v>0</v>
      </c>
      <c r="L188" s="17"/>
      <c r="M188" s="47" t="b">
        <v>1</v>
      </c>
      <c r="N188" s="47" t="b">
        <v>0</v>
      </c>
      <c r="O188" s="47" t="b">
        <v>0</v>
      </c>
      <c r="P188" s="47" t="b">
        <v>0</v>
      </c>
      <c r="Q188" s="16" t="str">
        <f t="shared" si="3"/>
        <v>Gaspar Museum</v>
      </c>
      <c r="R188" s="48">
        <v>6.0</v>
      </c>
      <c r="S188" s="47" t="b">
        <v>0</v>
      </c>
      <c r="T188" s="47" t="b">
        <v>1</v>
      </c>
      <c r="U188" s="48">
        <v>6.0</v>
      </c>
      <c r="V188" s="16"/>
      <c r="W188" s="16"/>
      <c r="X188" s="16"/>
      <c r="Y188" s="51"/>
      <c r="Z188" s="16"/>
      <c r="AA188" s="16"/>
      <c r="AB188" s="16"/>
      <c r="AC188" s="16"/>
    </row>
    <row r="189">
      <c r="A189" s="16" t="s">
        <v>404</v>
      </c>
      <c r="B189" s="16" t="s">
        <v>405</v>
      </c>
      <c r="C189" s="17" t="s">
        <v>48</v>
      </c>
      <c r="D189" s="16" t="s">
        <v>195</v>
      </c>
      <c r="E189" s="17" t="b">
        <f t="shared" ref="E189:K189" si="189">IF(IFERROR(SEARCH(E$1, $D189),0) &gt;= 1, TRUE,FALSE)</f>
        <v>1</v>
      </c>
      <c r="F189" s="17" t="b">
        <f t="shared" si="189"/>
        <v>1</v>
      </c>
      <c r="G189" s="17" t="b">
        <f t="shared" si="189"/>
        <v>0</v>
      </c>
      <c r="H189" s="17" t="b">
        <f t="shared" si="189"/>
        <v>1</v>
      </c>
      <c r="I189" s="17" t="b">
        <f t="shared" si="189"/>
        <v>1</v>
      </c>
      <c r="J189" s="17" t="b">
        <f t="shared" si="189"/>
        <v>1</v>
      </c>
      <c r="K189" s="17" t="b">
        <f t="shared" si="189"/>
        <v>0</v>
      </c>
      <c r="L189" s="17"/>
      <c r="M189" s="47" t="b">
        <v>1</v>
      </c>
      <c r="N189" s="47" t="b">
        <v>1</v>
      </c>
      <c r="O189" s="47" t="b">
        <v>0</v>
      </c>
      <c r="P189" s="47" t="b">
        <v>1</v>
      </c>
      <c r="Q189" s="16" t="str">
        <f t="shared" si="3"/>
        <v>Het Gaume Museum</v>
      </c>
      <c r="R189" s="48">
        <v>0.0</v>
      </c>
      <c r="S189" s="47" t="b">
        <v>0</v>
      </c>
      <c r="T189" s="47" t="b">
        <v>1</v>
      </c>
      <c r="U189" s="48">
        <v>0.0</v>
      </c>
      <c r="V189" s="16"/>
      <c r="W189" s="16"/>
      <c r="X189" s="16"/>
      <c r="Y189" s="51"/>
      <c r="Z189" s="16"/>
      <c r="AA189" s="16"/>
      <c r="AB189" s="16"/>
      <c r="AC189" s="16"/>
    </row>
    <row r="190">
      <c r="A190" s="16" t="s">
        <v>406</v>
      </c>
      <c r="B190" s="16" t="s">
        <v>407</v>
      </c>
      <c r="C190" s="17" t="s">
        <v>48</v>
      </c>
      <c r="D190" s="16" t="s">
        <v>408</v>
      </c>
      <c r="E190" s="17" t="b">
        <f t="shared" ref="E190:K190" si="190">IF(IFERROR(SEARCH(E$1, $D190),0) &gt;= 1, TRUE,FALSE)</f>
        <v>1</v>
      </c>
      <c r="F190" s="17" t="b">
        <f t="shared" si="190"/>
        <v>0</v>
      </c>
      <c r="G190" s="17" t="b">
        <f t="shared" si="190"/>
        <v>0</v>
      </c>
      <c r="H190" s="17" t="b">
        <f t="shared" si="190"/>
        <v>1</v>
      </c>
      <c r="I190" s="17" t="b">
        <f t="shared" si="190"/>
        <v>0</v>
      </c>
      <c r="J190" s="17" t="b">
        <f t="shared" si="190"/>
        <v>1</v>
      </c>
      <c r="K190" s="17" t="b">
        <f t="shared" si="190"/>
        <v>0</v>
      </c>
      <c r="L190" s="17"/>
      <c r="M190" s="47" t="b">
        <v>1</v>
      </c>
      <c r="N190" s="47" t="b">
        <v>0</v>
      </c>
      <c r="O190" s="47" t="b">
        <v>1</v>
      </c>
      <c r="P190" s="47" t="b">
        <v>1</v>
      </c>
      <c r="Q190" s="16" t="str">
        <f t="shared" si="3"/>
        <v>Museum van de Grote Ardennen</v>
      </c>
      <c r="R190" s="48">
        <v>9.0</v>
      </c>
      <c r="S190" s="47" t="b">
        <v>0</v>
      </c>
      <c r="T190" s="47" t="b">
        <v>1</v>
      </c>
      <c r="U190" s="48">
        <v>9.0</v>
      </c>
      <c r="V190" s="16"/>
      <c r="W190" s="16"/>
      <c r="X190" s="16"/>
      <c r="Y190" s="51"/>
      <c r="Z190" s="16"/>
      <c r="AA190" s="16"/>
      <c r="AB190" s="16"/>
      <c r="AC190" s="16"/>
    </row>
    <row r="191">
      <c r="A191" s="16" t="s">
        <v>409</v>
      </c>
      <c r="B191" s="16" t="s">
        <v>410</v>
      </c>
      <c r="C191" s="17" t="s">
        <v>51</v>
      </c>
      <c r="D191" s="16" t="s">
        <v>248</v>
      </c>
      <c r="E191" s="17" t="b">
        <f t="shared" ref="E191:K191" si="191">IF(IFERROR(SEARCH(E$1, $D191),0) &gt;= 1, TRUE,FALSE)</f>
        <v>1</v>
      </c>
      <c r="F191" s="17" t="b">
        <f t="shared" si="191"/>
        <v>0</v>
      </c>
      <c r="G191" s="17" t="b">
        <f t="shared" si="191"/>
        <v>0</v>
      </c>
      <c r="H191" s="17" t="b">
        <f t="shared" si="191"/>
        <v>1</v>
      </c>
      <c r="I191" s="17" t="b">
        <f t="shared" si="191"/>
        <v>1</v>
      </c>
      <c r="J191" s="17" t="b">
        <f t="shared" si="191"/>
        <v>1</v>
      </c>
      <c r="K191" s="17" t="b">
        <f t="shared" si="191"/>
        <v>1</v>
      </c>
      <c r="L191" s="17"/>
      <c r="M191" s="47" t="b">
        <v>0</v>
      </c>
      <c r="N191" s="47" t="b">
        <v>0</v>
      </c>
      <c r="O191" s="47" t="b">
        <v>0</v>
      </c>
      <c r="P191" s="47" t="b">
        <v>0</v>
      </c>
      <c r="Q191" s="16" t="str">
        <f t="shared" si="3"/>
        <v>AMVB | Archief en Museum voor het Vlaams leven te Brussel</v>
      </c>
      <c r="R191" s="48">
        <v>6.0</v>
      </c>
      <c r="S191" s="47" t="b">
        <v>0</v>
      </c>
      <c r="T191" s="47" t="b">
        <v>1</v>
      </c>
      <c r="U191" s="48">
        <v>0.0</v>
      </c>
      <c r="V191" s="16"/>
      <c r="W191" s="16"/>
      <c r="X191" s="16"/>
      <c r="Y191" s="51"/>
      <c r="Z191" s="16"/>
      <c r="AA191" s="16"/>
      <c r="AB191" s="16"/>
      <c r="AC191" s="16"/>
    </row>
    <row r="192">
      <c r="A192" s="16"/>
      <c r="B192" s="16" t="s">
        <v>411</v>
      </c>
      <c r="C192" s="17" t="s">
        <v>51</v>
      </c>
      <c r="D192" s="16" t="s">
        <v>9</v>
      </c>
      <c r="E192" s="17" t="b">
        <f t="shared" ref="E192:K192" si="192">IF(IFERROR(SEARCH(E$1, $D192),0) &gt;= 1, TRUE,FALSE)</f>
        <v>0</v>
      </c>
      <c r="F192" s="17" t="b">
        <f t="shared" si="192"/>
        <v>0</v>
      </c>
      <c r="G192" s="17" t="b">
        <f t="shared" si="192"/>
        <v>0</v>
      </c>
      <c r="H192" s="17" t="b">
        <f t="shared" si="192"/>
        <v>0</v>
      </c>
      <c r="I192" s="17" t="b">
        <f t="shared" si="192"/>
        <v>0</v>
      </c>
      <c r="J192" s="17" t="b">
        <f t="shared" si="192"/>
        <v>1</v>
      </c>
      <c r="K192" s="17" t="b">
        <f t="shared" si="192"/>
        <v>0</v>
      </c>
      <c r="L192" s="17"/>
      <c r="M192" s="47" t="b">
        <v>1</v>
      </c>
      <c r="N192" s="47" t="b">
        <v>1</v>
      </c>
      <c r="O192" s="47" t="b">
        <v>0</v>
      </c>
      <c r="P192" s="47" t="b">
        <v>0</v>
      </c>
      <c r="Q192" s="16" t="str">
        <f t="shared" si="3"/>
        <v>ARGOS | centre for audiovisual arts</v>
      </c>
      <c r="R192" s="48">
        <v>10.0</v>
      </c>
      <c r="S192" s="47" t="b">
        <v>0</v>
      </c>
      <c r="T192" s="47" t="b">
        <v>1</v>
      </c>
      <c r="U192" s="48">
        <v>10.0</v>
      </c>
      <c r="V192" s="16"/>
      <c r="W192" s="16"/>
      <c r="X192" s="16"/>
      <c r="Y192" s="51"/>
      <c r="Z192" s="16"/>
      <c r="AA192" s="16"/>
      <c r="AB192" s="16"/>
      <c r="AC192" s="16"/>
    </row>
    <row r="193">
      <c r="A193" s="16"/>
      <c r="B193" s="16" t="s">
        <v>412</v>
      </c>
      <c r="C193" s="17" t="s">
        <v>51</v>
      </c>
      <c r="D193" s="16" t="s">
        <v>180</v>
      </c>
      <c r="E193" s="17" t="b">
        <f t="shared" ref="E193:K193" si="193">IF(IFERROR(SEARCH(E$1, $D193),0) &gt;= 1, TRUE,FALSE)</f>
        <v>0</v>
      </c>
      <c r="F193" s="17" t="b">
        <f t="shared" si="193"/>
        <v>0</v>
      </c>
      <c r="G193" s="17" t="b">
        <f t="shared" si="193"/>
        <v>0</v>
      </c>
      <c r="H193" s="17" t="b">
        <f t="shared" si="193"/>
        <v>0</v>
      </c>
      <c r="I193" s="17" t="b">
        <f t="shared" si="193"/>
        <v>0</v>
      </c>
      <c r="J193" s="17" t="b">
        <f t="shared" si="193"/>
        <v>1</v>
      </c>
      <c r="K193" s="17" t="b">
        <f t="shared" si="193"/>
        <v>1</v>
      </c>
      <c r="L193" s="17"/>
      <c r="M193" s="47" t="b">
        <v>0</v>
      </c>
      <c r="N193" s="47" t="b">
        <v>0</v>
      </c>
      <c r="O193" s="47" t="b">
        <v>0</v>
      </c>
      <c r="P193" s="47" t="b">
        <v>0</v>
      </c>
      <c r="Q193" s="16" t="str">
        <f t="shared" si="3"/>
        <v>Art et marges musée museum</v>
      </c>
      <c r="R193" s="48">
        <v>6.0</v>
      </c>
      <c r="S193" s="47" t="b">
        <v>0</v>
      </c>
      <c r="T193" s="47" t="b">
        <v>1</v>
      </c>
      <c r="U193" s="48">
        <v>6.0</v>
      </c>
      <c r="V193" s="16"/>
      <c r="W193" s="16"/>
      <c r="X193" s="16"/>
      <c r="Y193" s="51"/>
      <c r="Z193" s="16"/>
      <c r="AA193" s="16"/>
      <c r="AB193" s="16"/>
      <c r="AC193" s="16"/>
    </row>
    <row r="194">
      <c r="A194" s="16" t="s">
        <v>413</v>
      </c>
      <c r="B194" s="16"/>
      <c r="C194" s="17" t="s">
        <v>51</v>
      </c>
      <c r="D194" s="16" t="s">
        <v>5</v>
      </c>
      <c r="E194" s="17" t="b">
        <f t="shared" ref="E194:K194" si="194">IF(IFERROR(SEARCH(E$1, $D194),0) &gt;= 1, TRUE,FALSE)</f>
        <v>0</v>
      </c>
      <c r="F194" s="17" t="b">
        <f t="shared" si="194"/>
        <v>1</v>
      </c>
      <c r="G194" s="17" t="b">
        <f t="shared" si="194"/>
        <v>0</v>
      </c>
      <c r="H194" s="17" t="b">
        <f t="shared" si="194"/>
        <v>0</v>
      </c>
      <c r="I194" s="17" t="b">
        <f t="shared" si="194"/>
        <v>0</v>
      </c>
      <c r="J194" s="17" t="b">
        <f t="shared" si="194"/>
        <v>0</v>
      </c>
      <c r="K194" s="17" t="b">
        <f t="shared" si="194"/>
        <v>0</v>
      </c>
      <c r="L194" s="17"/>
      <c r="M194" s="47" t="b">
        <v>1</v>
      </c>
      <c r="N194" s="47" t="b">
        <v>1</v>
      </c>
      <c r="O194" s="47" t="b">
        <v>1</v>
      </c>
      <c r="P194" s="47" t="b">
        <v>1</v>
      </c>
      <c r="Q194" s="16" t="str">
        <f t="shared" si="3"/>
        <v>Autoworld Brussels</v>
      </c>
      <c r="R194" s="48">
        <v>15.0</v>
      </c>
      <c r="S194" s="47" t="b">
        <v>0</v>
      </c>
      <c r="T194" s="47" t="b">
        <v>1</v>
      </c>
      <c r="U194" s="48">
        <v>16.0</v>
      </c>
      <c r="V194" s="16"/>
      <c r="W194" s="16"/>
      <c r="X194" s="16"/>
      <c r="Y194" s="51"/>
      <c r="Z194" s="16"/>
      <c r="AA194" s="16"/>
      <c r="AB194" s="16"/>
      <c r="AC194" s="16"/>
    </row>
    <row r="195">
      <c r="A195" s="16"/>
      <c r="B195" s="16" t="s">
        <v>414</v>
      </c>
      <c r="C195" s="17" t="s">
        <v>51</v>
      </c>
      <c r="D195" s="16" t="s">
        <v>9</v>
      </c>
      <c r="E195" s="17" t="b">
        <f t="shared" ref="E195:K195" si="195">IF(IFERROR(SEARCH(E$1, $D195),0) &gt;= 1, TRUE,FALSE)</f>
        <v>0</v>
      </c>
      <c r="F195" s="17" t="b">
        <f t="shared" si="195"/>
        <v>0</v>
      </c>
      <c r="G195" s="17" t="b">
        <f t="shared" si="195"/>
        <v>0</v>
      </c>
      <c r="H195" s="17" t="b">
        <f t="shared" si="195"/>
        <v>0</v>
      </c>
      <c r="I195" s="17" t="b">
        <f t="shared" si="195"/>
        <v>0</v>
      </c>
      <c r="J195" s="17" t="b">
        <f t="shared" si="195"/>
        <v>1</v>
      </c>
      <c r="K195" s="17" t="b">
        <f t="shared" si="195"/>
        <v>0</v>
      </c>
      <c r="L195" s="17"/>
      <c r="M195" s="47" t="b">
        <v>0</v>
      </c>
      <c r="N195" s="47" t="b">
        <v>1</v>
      </c>
      <c r="O195" s="47" t="b">
        <v>0</v>
      </c>
      <c r="P195" s="47" t="b">
        <v>1</v>
      </c>
      <c r="Q195" s="16" t="str">
        <f t="shared" si="3"/>
        <v>Botanique</v>
      </c>
      <c r="R195" s="48">
        <v>0.0</v>
      </c>
      <c r="S195" s="47" t="b">
        <v>0</v>
      </c>
      <c r="T195" s="47" t="b">
        <v>0</v>
      </c>
      <c r="U195" s="16"/>
      <c r="V195" s="16"/>
      <c r="W195" s="16"/>
      <c r="X195" s="16"/>
      <c r="Y195" s="51"/>
      <c r="Z195" s="16"/>
      <c r="AA195" s="16"/>
      <c r="AB195" s="16"/>
      <c r="AC195" s="16"/>
    </row>
    <row r="196">
      <c r="A196" s="16" t="s">
        <v>415</v>
      </c>
      <c r="B196" s="16" t="s">
        <v>416</v>
      </c>
      <c r="C196" s="17" t="s">
        <v>51</v>
      </c>
      <c r="D196" s="16" t="s">
        <v>417</v>
      </c>
      <c r="E196" s="17" t="b">
        <f t="shared" ref="E196:K196" si="196">IF(IFERROR(SEARCH(E$1, $D196),0) &gt;= 1, TRUE,FALSE)</f>
        <v>1</v>
      </c>
      <c r="F196" s="17" t="b">
        <f t="shared" si="196"/>
        <v>1</v>
      </c>
      <c r="G196" s="17" t="b">
        <f t="shared" si="196"/>
        <v>1</v>
      </c>
      <c r="H196" s="17" t="b">
        <f t="shared" si="196"/>
        <v>0</v>
      </c>
      <c r="I196" s="17" t="b">
        <f t="shared" si="196"/>
        <v>1</v>
      </c>
      <c r="J196" s="17" t="b">
        <f t="shared" si="196"/>
        <v>1</v>
      </c>
      <c r="K196" s="17" t="b">
        <f t="shared" si="196"/>
        <v>1</v>
      </c>
      <c r="L196" s="17"/>
      <c r="M196" s="47" t="b">
        <v>1</v>
      </c>
      <c r="N196" s="47" t="b">
        <v>1</v>
      </c>
      <c r="O196" s="47" t="b">
        <v>0</v>
      </c>
      <c r="P196" s="47" t="b">
        <v>1</v>
      </c>
      <c r="Q196" s="16" t="str">
        <f t="shared" si="3"/>
        <v>Paleis voor Schone Kunsten</v>
      </c>
      <c r="R196" s="48">
        <v>8.0</v>
      </c>
      <c r="S196" s="47" t="b">
        <v>0</v>
      </c>
      <c r="T196" s="47" t="b">
        <v>1</v>
      </c>
      <c r="U196" s="48">
        <v>6.0</v>
      </c>
      <c r="V196" s="16"/>
      <c r="W196" s="16"/>
      <c r="X196" s="16"/>
      <c r="Y196" s="51"/>
      <c r="Z196" s="16"/>
      <c r="AA196" s="16"/>
      <c r="AB196" s="16"/>
      <c r="AC196" s="16"/>
    </row>
    <row r="197">
      <c r="A197" s="16"/>
      <c r="B197" s="16" t="s">
        <v>418</v>
      </c>
      <c r="C197" s="17" t="s">
        <v>51</v>
      </c>
      <c r="D197" s="16" t="s">
        <v>9</v>
      </c>
      <c r="E197" s="17" t="b">
        <f t="shared" ref="E197:K197" si="197">IF(IFERROR(SEARCH(E$1, $D197),0) &gt;= 1, TRUE,FALSE)</f>
        <v>0</v>
      </c>
      <c r="F197" s="17" t="b">
        <f t="shared" si="197"/>
        <v>0</v>
      </c>
      <c r="G197" s="17" t="b">
        <f t="shared" si="197"/>
        <v>0</v>
      </c>
      <c r="H197" s="17" t="b">
        <f t="shared" si="197"/>
        <v>0</v>
      </c>
      <c r="I197" s="17" t="b">
        <f t="shared" si="197"/>
        <v>0</v>
      </c>
      <c r="J197" s="17" t="b">
        <f t="shared" si="197"/>
        <v>1</v>
      </c>
      <c r="K197" s="17" t="b">
        <f t="shared" si="197"/>
        <v>0</v>
      </c>
      <c r="L197" s="17"/>
      <c r="M197" s="47" t="b">
        <v>1</v>
      </c>
      <c r="N197" s="47" t="b">
        <v>0</v>
      </c>
      <c r="O197" s="47" t="b">
        <v>0</v>
      </c>
      <c r="P197" s="47" t="b">
        <v>0</v>
      </c>
      <c r="Q197" s="16" t="str">
        <f t="shared" si="3"/>
        <v>CENTRALE for contemporary art</v>
      </c>
      <c r="R197" s="48">
        <v>10.0</v>
      </c>
      <c r="S197" s="47" t="b">
        <v>0</v>
      </c>
      <c r="T197" s="47" t="b">
        <v>1</v>
      </c>
      <c r="U197" s="48">
        <v>10.0</v>
      </c>
      <c r="V197" s="16"/>
      <c r="W197" s="16"/>
      <c r="X197" s="16"/>
      <c r="Y197" s="51"/>
      <c r="Z197" s="16"/>
      <c r="AA197" s="16"/>
      <c r="AB197" s="16"/>
      <c r="AC197" s="16"/>
    </row>
    <row r="198">
      <c r="A198" s="16" t="s">
        <v>419</v>
      </c>
      <c r="B198" s="16"/>
      <c r="C198" s="17" t="s">
        <v>51</v>
      </c>
      <c r="D198" s="16" t="s">
        <v>8</v>
      </c>
      <c r="E198" s="17" t="b">
        <f t="shared" ref="E198:K198" si="198">IF(IFERROR(SEARCH(E$1, $D198),0) &gt;= 1, TRUE,FALSE)</f>
        <v>0</v>
      </c>
      <c r="F198" s="17" t="b">
        <f t="shared" si="198"/>
        <v>0</v>
      </c>
      <c r="G198" s="17" t="b">
        <f t="shared" si="198"/>
        <v>0</v>
      </c>
      <c r="H198" s="17" t="b">
        <f t="shared" si="198"/>
        <v>0</v>
      </c>
      <c r="I198" s="17" t="b">
        <f t="shared" si="198"/>
        <v>1</v>
      </c>
      <c r="J198" s="17" t="b">
        <f t="shared" si="198"/>
        <v>0</v>
      </c>
      <c r="K198" s="17" t="b">
        <f t="shared" si="198"/>
        <v>0</v>
      </c>
      <c r="L198" s="17"/>
      <c r="M198" s="47" t="b">
        <v>1</v>
      </c>
      <c r="N198" s="47" t="b">
        <v>0</v>
      </c>
      <c r="O198" s="47" t="b">
        <v>0</v>
      </c>
      <c r="P198" s="47" t="b">
        <v>0</v>
      </c>
      <c r="Q198" s="16" t="str">
        <f t="shared" si="3"/>
        <v>CIVA</v>
      </c>
      <c r="R198" s="48">
        <v>10.0</v>
      </c>
      <c r="S198" s="47" t="b">
        <v>0</v>
      </c>
      <c r="T198" s="47" t="b">
        <v>0</v>
      </c>
      <c r="U198" s="16"/>
      <c r="V198" s="16"/>
      <c r="W198" s="16"/>
      <c r="X198" s="16"/>
      <c r="Y198" s="51"/>
      <c r="Z198" s="16"/>
      <c r="AA198" s="16"/>
      <c r="AB198" s="16"/>
      <c r="AC198" s="16"/>
    </row>
    <row r="199">
      <c r="A199" s="16" t="s">
        <v>420</v>
      </c>
      <c r="B199" s="16"/>
      <c r="C199" s="17" t="s">
        <v>51</v>
      </c>
      <c r="D199" s="16" t="s">
        <v>10</v>
      </c>
      <c r="E199" s="17" t="b">
        <f t="shared" ref="E199:K199" si="199">IF(IFERROR(SEARCH(E$1, $D199),0) &gt;= 1, TRUE,FALSE)</f>
        <v>0</v>
      </c>
      <c r="F199" s="17" t="b">
        <f t="shared" si="199"/>
        <v>0</v>
      </c>
      <c r="G199" s="17" t="b">
        <f t="shared" si="199"/>
        <v>0</v>
      </c>
      <c r="H199" s="17" t="b">
        <f t="shared" si="199"/>
        <v>0</v>
      </c>
      <c r="I199" s="17" t="b">
        <f t="shared" si="199"/>
        <v>0</v>
      </c>
      <c r="J199" s="17" t="b">
        <f t="shared" si="199"/>
        <v>0</v>
      </c>
      <c r="K199" s="17" t="b">
        <f t="shared" si="199"/>
        <v>1</v>
      </c>
      <c r="L199" s="17"/>
      <c r="M199" s="47" t="b">
        <v>1</v>
      </c>
      <c r="N199" s="47" t="b">
        <v>0</v>
      </c>
      <c r="O199" s="47" t="b">
        <v>1</v>
      </c>
      <c r="P199" s="47" t="b">
        <v>1</v>
      </c>
      <c r="Q199" s="16" t="str">
        <f t="shared" si="3"/>
        <v>Design Museum Brussels</v>
      </c>
      <c r="R199" s="48">
        <v>10.0</v>
      </c>
      <c r="S199" s="47" t="b">
        <v>0</v>
      </c>
      <c r="T199" s="47" t="b">
        <v>1</v>
      </c>
      <c r="U199" s="48">
        <v>8.0</v>
      </c>
      <c r="V199" s="16"/>
      <c r="W199" s="16"/>
      <c r="X199" s="16"/>
      <c r="Y199" s="51"/>
      <c r="Z199" s="16"/>
      <c r="AA199" s="16"/>
      <c r="AB199" s="16"/>
      <c r="AC199" s="16"/>
    </row>
    <row r="200">
      <c r="A200" s="16"/>
      <c r="B200" s="16" t="s">
        <v>421</v>
      </c>
      <c r="C200" s="17" t="s">
        <v>51</v>
      </c>
      <c r="D200" s="16" t="s">
        <v>9</v>
      </c>
      <c r="E200" s="17" t="b">
        <f t="shared" ref="E200:K200" si="200">IF(IFERROR(SEARCH(E$1, $D200),0) &gt;= 1, TRUE,FALSE)</f>
        <v>0</v>
      </c>
      <c r="F200" s="17" t="b">
        <f t="shared" si="200"/>
        <v>0</v>
      </c>
      <c r="G200" s="17" t="b">
        <f t="shared" si="200"/>
        <v>0</v>
      </c>
      <c r="H200" s="17" t="b">
        <f t="shared" si="200"/>
        <v>0</v>
      </c>
      <c r="I200" s="17" t="b">
        <f t="shared" si="200"/>
        <v>0</v>
      </c>
      <c r="J200" s="17" t="b">
        <f t="shared" si="200"/>
        <v>1</v>
      </c>
      <c r="K200" s="17" t="b">
        <f t="shared" si="200"/>
        <v>0</v>
      </c>
      <c r="L200" s="17"/>
      <c r="M200" s="47" t="b">
        <v>1</v>
      </c>
      <c r="N200" s="47" t="b">
        <v>0</v>
      </c>
      <c r="O200" s="47" t="b">
        <v>0</v>
      </c>
      <c r="P200" s="47" t="b">
        <v>0</v>
      </c>
      <c r="Q200" s="16" t="str">
        <f t="shared" si="3"/>
        <v>Fondation A Stichting</v>
      </c>
      <c r="R200" s="48">
        <v>7.0</v>
      </c>
      <c r="S200" s="47" t="b">
        <v>0</v>
      </c>
      <c r="T200" s="47" t="b">
        <v>0</v>
      </c>
      <c r="U200" s="16"/>
      <c r="V200" s="16"/>
      <c r="W200" s="16"/>
      <c r="X200" s="16"/>
      <c r="Y200" s="51"/>
      <c r="Z200" s="16"/>
      <c r="AA200" s="16"/>
      <c r="AB200" s="16"/>
      <c r="AC200" s="16"/>
    </row>
    <row r="201">
      <c r="A201" s="16" t="s">
        <v>422</v>
      </c>
      <c r="B201" s="16" t="s">
        <v>423</v>
      </c>
      <c r="C201" s="17" t="s">
        <v>51</v>
      </c>
      <c r="D201" s="16" t="s">
        <v>9</v>
      </c>
      <c r="E201" s="17" t="b">
        <f t="shared" ref="E201:K201" si="201">IF(IFERROR(SEARCH(E$1, $D201),0) &gt;= 1, TRUE,FALSE)</f>
        <v>0</v>
      </c>
      <c r="F201" s="17" t="b">
        <f t="shared" si="201"/>
        <v>0</v>
      </c>
      <c r="G201" s="17" t="b">
        <f t="shared" si="201"/>
        <v>0</v>
      </c>
      <c r="H201" s="17" t="b">
        <f t="shared" si="201"/>
        <v>0</v>
      </c>
      <c r="I201" s="17" t="b">
        <f t="shared" si="201"/>
        <v>0</v>
      </c>
      <c r="J201" s="17" t="b">
        <f t="shared" si="201"/>
        <v>1</v>
      </c>
      <c r="K201" s="17" t="b">
        <f t="shared" si="201"/>
        <v>0</v>
      </c>
      <c r="L201" s="17"/>
      <c r="M201" s="47" t="b">
        <v>1</v>
      </c>
      <c r="N201" s="47" t="b">
        <v>1</v>
      </c>
      <c r="O201" s="47" t="b">
        <v>0</v>
      </c>
      <c r="P201" s="47" t="b">
        <v>0</v>
      </c>
      <c r="Q201" s="16" t="str">
        <f t="shared" si="3"/>
        <v>Villa Empain - Stichting Boghossian</v>
      </c>
      <c r="R201" s="48">
        <v>12.0</v>
      </c>
      <c r="S201" s="47" t="b">
        <v>0</v>
      </c>
      <c r="T201" s="47" t="b">
        <v>1</v>
      </c>
      <c r="U201" s="48">
        <v>12.0</v>
      </c>
      <c r="V201" s="16"/>
      <c r="W201" s="16"/>
      <c r="X201" s="16"/>
      <c r="Y201" s="51"/>
      <c r="Z201" s="16"/>
      <c r="AA201" s="16"/>
      <c r="AB201" s="16"/>
      <c r="AC201" s="16"/>
    </row>
    <row r="202">
      <c r="A202" s="16" t="s">
        <v>424</v>
      </c>
      <c r="B202" s="16" t="s">
        <v>425</v>
      </c>
      <c r="C202" s="17" t="s">
        <v>51</v>
      </c>
      <c r="D202" s="16" t="s">
        <v>344</v>
      </c>
      <c r="E202" s="17" t="b">
        <f t="shared" ref="E202:K202" si="202">IF(IFERROR(SEARCH(E$1, $D202),0) &gt;= 1, TRUE,FALSE)</f>
        <v>1</v>
      </c>
      <c r="F202" s="17" t="b">
        <f t="shared" si="202"/>
        <v>0</v>
      </c>
      <c r="G202" s="17" t="b">
        <f t="shared" si="202"/>
        <v>0</v>
      </c>
      <c r="H202" s="17" t="b">
        <f t="shared" si="202"/>
        <v>0</v>
      </c>
      <c r="I202" s="17" t="b">
        <f t="shared" si="202"/>
        <v>0</v>
      </c>
      <c r="J202" s="17" t="b">
        <f t="shared" si="202"/>
        <v>0</v>
      </c>
      <c r="K202" s="17" t="b">
        <f t="shared" si="202"/>
        <v>0</v>
      </c>
      <c r="L202" s="17"/>
      <c r="M202" s="47" t="b">
        <v>1</v>
      </c>
      <c r="N202" s="47" t="b">
        <v>0</v>
      </c>
      <c r="O202" s="47" t="b">
        <v>0</v>
      </c>
      <c r="P202" s="47" t="b">
        <v>0</v>
      </c>
      <c r="Q202" s="16" t="str">
        <f t="shared" si="3"/>
        <v>Brel Stichting</v>
      </c>
      <c r="R202" s="48">
        <v>14.0</v>
      </c>
      <c r="S202" s="47" t="b">
        <v>0</v>
      </c>
      <c r="T202" s="47" t="b">
        <v>0</v>
      </c>
      <c r="U202" s="16"/>
      <c r="V202" s="16"/>
      <c r="W202" s="16"/>
      <c r="X202" s="16"/>
      <c r="Y202" s="51"/>
      <c r="Z202" s="16"/>
      <c r="AA202" s="16"/>
      <c r="AB202" s="16"/>
      <c r="AC202" s="16"/>
    </row>
    <row r="203">
      <c r="A203" s="16"/>
      <c r="B203" s="16" t="s">
        <v>426</v>
      </c>
      <c r="C203" s="17" t="s">
        <v>51</v>
      </c>
      <c r="D203" s="16" t="s">
        <v>10</v>
      </c>
      <c r="E203" s="17" t="b">
        <f t="shared" ref="E203:K203" si="203">IF(IFERROR(SEARCH(E$1, $D203),0) &gt;= 1, TRUE,FALSE)</f>
        <v>0</v>
      </c>
      <c r="F203" s="17" t="b">
        <f t="shared" si="203"/>
        <v>0</v>
      </c>
      <c r="G203" s="17" t="b">
        <f t="shared" si="203"/>
        <v>0</v>
      </c>
      <c r="H203" s="17" t="b">
        <f t="shared" si="203"/>
        <v>0</v>
      </c>
      <c r="I203" s="17" t="b">
        <f t="shared" si="203"/>
        <v>0</v>
      </c>
      <c r="J203" s="17" t="b">
        <f t="shared" si="203"/>
        <v>0</v>
      </c>
      <c r="K203" s="17" t="b">
        <f t="shared" si="203"/>
        <v>1</v>
      </c>
      <c r="L203" s="17"/>
      <c r="M203" s="47" t="b">
        <v>1</v>
      </c>
      <c r="N203" s="47" t="b">
        <v>0</v>
      </c>
      <c r="O203" s="47" t="b">
        <v>0</v>
      </c>
      <c r="P203" s="47" t="b">
        <v>0</v>
      </c>
      <c r="Q203" s="16" t="str">
        <f t="shared" si="3"/>
        <v>Fondation CAB</v>
      </c>
      <c r="R203" s="48">
        <v>6.0</v>
      </c>
      <c r="S203" s="47" t="b">
        <v>0</v>
      </c>
      <c r="T203" s="47" t="b">
        <v>0</v>
      </c>
      <c r="U203" s="16"/>
      <c r="V203" s="16"/>
      <c r="W203" s="16"/>
      <c r="X203" s="16"/>
      <c r="Y203" s="51"/>
      <c r="Z203" s="16"/>
      <c r="AA203" s="16"/>
      <c r="AB203" s="16"/>
      <c r="AC203" s="16"/>
    </row>
    <row r="204">
      <c r="A204" s="16" t="s">
        <v>427</v>
      </c>
      <c r="B204" s="16"/>
      <c r="C204" s="17" t="s">
        <v>51</v>
      </c>
      <c r="D204" s="16" t="s">
        <v>428</v>
      </c>
      <c r="E204" s="17" t="b">
        <f t="shared" ref="E204:K204" si="204">IF(IFERROR(SEARCH(E$1, $D204),0) &gt;= 1, TRUE,FALSE)</f>
        <v>1</v>
      </c>
      <c r="F204" s="17" t="b">
        <f t="shared" si="204"/>
        <v>0</v>
      </c>
      <c r="G204" s="17" t="b">
        <f t="shared" si="204"/>
        <v>1</v>
      </c>
      <c r="H204" s="17" t="b">
        <f t="shared" si="204"/>
        <v>0</v>
      </c>
      <c r="I204" s="17" t="b">
        <f t="shared" si="204"/>
        <v>0</v>
      </c>
      <c r="J204" s="17" t="b">
        <f t="shared" si="204"/>
        <v>1</v>
      </c>
      <c r="K204" s="17" t="b">
        <f t="shared" si="204"/>
        <v>0</v>
      </c>
      <c r="L204" s="17"/>
      <c r="M204" s="47" t="b">
        <v>1</v>
      </c>
      <c r="N204" s="47" t="b">
        <v>0</v>
      </c>
      <c r="O204" s="47" t="b">
        <v>0</v>
      </c>
      <c r="P204" s="47" t="b">
        <v>0</v>
      </c>
      <c r="Q204" s="16" t="str">
        <f t="shared" si="3"/>
        <v>GardeRobe MannekenPis</v>
      </c>
      <c r="R204" s="48">
        <v>5.0</v>
      </c>
      <c r="S204" s="47" t="b">
        <v>0</v>
      </c>
      <c r="T204" s="47" t="b">
        <v>1</v>
      </c>
      <c r="U204" s="48">
        <v>0.0</v>
      </c>
      <c r="V204" s="16"/>
      <c r="W204" s="16"/>
      <c r="X204" s="16"/>
      <c r="Y204" s="51"/>
      <c r="Z204" s="16"/>
      <c r="AA204" s="16"/>
      <c r="AB204" s="16"/>
      <c r="AC204" s="16"/>
    </row>
    <row r="205">
      <c r="A205" s="16" t="s">
        <v>429</v>
      </c>
      <c r="B205" s="16"/>
      <c r="C205" s="17" t="s">
        <v>51</v>
      </c>
      <c r="D205" s="16" t="s">
        <v>430</v>
      </c>
      <c r="E205" s="17" t="b">
        <f t="shared" ref="E205:K205" si="205">IF(IFERROR(SEARCH(E$1, $D205),0) &gt;= 1, TRUE,FALSE)</f>
        <v>0</v>
      </c>
      <c r="F205" s="17" t="b">
        <f t="shared" si="205"/>
        <v>1</v>
      </c>
      <c r="G205" s="17" t="b">
        <f t="shared" si="205"/>
        <v>0</v>
      </c>
      <c r="H205" s="17" t="b">
        <f t="shared" si="205"/>
        <v>0</v>
      </c>
      <c r="I205" s="17" t="b">
        <f t="shared" si="205"/>
        <v>0</v>
      </c>
      <c r="J205" s="17" t="b">
        <f t="shared" si="205"/>
        <v>1</v>
      </c>
      <c r="K205" s="17" t="b">
        <f t="shared" si="205"/>
        <v>1</v>
      </c>
      <c r="L205" s="17"/>
      <c r="M205" s="47" t="b">
        <v>0</v>
      </c>
      <c r="N205" s="47" t="b">
        <v>1</v>
      </c>
      <c r="O205" s="47" t="b">
        <v>0</v>
      </c>
      <c r="P205" s="47" t="b">
        <v>0</v>
      </c>
      <c r="Q205" s="16" t="str">
        <f t="shared" si="3"/>
        <v>iMAL</v>
      </c>
      <c r="R205" s="50">
        <v>10.0</v>
      </c>
      <c r="S205" s="47" t="b">
        <v>0</v>
      </c>
      <c r="T205" s="47" t="b">
        <v>1</v>
      </c>
      <c r="U205" s="48">
        <v>0.0</v>
      </c>
      <c r="V205" s="16"/>
      <c r="W205" s="16"/>
      <c r="X205" s="16"/>
      <c r="Y205" s="51"/>
      <c r="Z205" s="16"/>
      <c r="AA205" s="16"/>
      <c r="AB205" s="16"/>
      <c r="AC205" s="16"/>
    </row>
    <row r="206">
      <c r="A206" s="16"/>
      <c r="B206" s="16" t="s">
        <v>431</v>
      </c>
      <c r="C206" s="17" t="s">
        <v>51</v>
      </c>
      <c r="D206" s="16" t="s">
        <v>432</v>
      </c>
      <c r="E206" s="17" t="b">
        <f t="shared" ref="E206:K206" si="206">IF(IFERROR(SEARCH(E$1, $D206),0) &gt;= 1, TRUE,FALSE)</f>
        <v>0</v>
      </c>
      <c r="F206" s="17" t="b">
        <f t="shared" si="206"/>
        <v>0</v>
      </c>
      <c r="G206" s="17" t="b">
        <f t="shared" si="206"/>
        <v>0</v>
      </c>
      <c r="H206" s="17" t="b">
        <f t="shared" si="206"/>
        <v>0</v>
      </c>
      <c r="I206" s="17" t="b">
        <f t="shared" si="206"/>
        <v>1</v>
      </c>
      <c r="J206" s="17" t="b">
        <f t="shared" si="206"/>
        <v>1</v>
      </c>
      <c r="K206" s="17" t="b">
        <f t="shared" si="206"/>
        <v>0</v>
      </c>
      <c r="L206" s="17"/>
      <c r="M206" s="47" t="b">
        <v>1</v>
      </c>
      <c r="N206" s="47" t="b">
        <v>1</v>
      </c>
      <c r="O206" s="47" t="b">
        <v>0</v>
      </c>
      <c r="P206" s="47" t="b">
        <v>1</v>
      </c>
      <c r="Q206" s="16" t="str">
        <f t="shared" si="3"/>
        <v>KANAL | Centre Pompidou</v>
      </c>
      <c r="R206" s="50">
        <v>0.0</v>
      </c>
      <c r="S206" s="47" t="b">
        <v>1</v>
      </c>
      <c r="T206" s="47" t="b">
        <v>0</v>
      </c>
      <c r="U206" s="16"/>
      <c r="V206" s="16"/>
      <c r="W206" s="16"/>
      <c r="X206" s="16"/>
      <c r="Y206" s="51"/>
      <c r="Z206" s="16"/>
      <c r="AA206" s="16"/>
      <c r="AB206" s="16"/>
      <c r="AC206" s="16"/>
    </row>
    <row r="207">
      <c r="A207" s="16" t="s">
        <v>433</v>
      </c>
      <c r="B207" s="16"/>
      <c r="C207" s="17" t="s">
        <v>51</v>
      </c>
      <c r="D207" s="16" t="s">
        <v>434</v>
      </c>
      <c r="E207" s="17" t="b">
        <f t="shared" ref="E207:K207" si="207">IF(IFERROR(SEARCH(E$1, $D207),0) &gt;= 1, TRUE,FALSE)</f>
        <v>1</v>
      </c>
      <c r="F207" s="17" t="b">
        <f t="shared" si="207"/>
        <v>0</v>
      </c>
      <c r="G207" s="17" t="b">
        <f t="shared" si="207"/>
        <v>0</v>
      </c>
      <c r="H207" s="17" t="b">
        <f t="shared" si="207"/>
        <v>1</v>
      </c>
      <c r="I207" s="17" t="b">
        <f t="shared" si="207"/>
        <v>0</v>
      </c>
      <c r="J207" s="17" t="b">
        <f t="shared" si="207"/>
        <v>1</v>
      </c>
      <c r="K207" s="17" t="b">
        <f t="shared" si="207"/>
        <v>0</v>
      </c>
      <c r="L207" s="17"/>
      <c r="M207" s="47" t="b">
        <v>1</v>
      </c>
      <c r="N207" s="47" t="b">
        <v>1</v>
      </c>
      <c r="O207" s="47" t="b">
        <v>0</v>
      </c>
      <c r="P207" s="47" t="b">
        <v>1</v>
      </c>
      <c r="Q207" s="16" t="str">
        <f t="shared" si="3"/>
        <v>KBR museum</v>
      </c>
      <c r="R207" s="48">
        <v>11.0</v>
      </c>
      <c r="S207" s="47" t="b">
        <v>0</v>
      </c>
      <c r="T207" s="47" t="b">
        <v>0</v>
      </c>
      <c r="U207" s="16"/>
      <c r="V207" s="16"/>
      <c r="W207" s="16"/>
      <c r="X207" s="16"/>
      <c r="Y207" s="51"/>
      <c r="Z207" s="16"/>
      <c r="AA207" s="16"/>
      <c r="AB207" s="16"/>
      <c r="AC207" s="16"/>
    </row>
    <row r="208">
      <c r="A208" s="16" t="s">
        <v>435</v>
      </c>
      <c r="B208" s="16" t="s">
        <v>436</v>
      </c>
      <c r="C208" s="17" t="s">
        <v>51</v>
      </c>
      <c r="D208" s="16" t="s">
        <v>437</v>
      </c>
      <c r="E208" s="17" t="b">
        <f t="shared" ref="E208:K208" si="208">IF(IFERROR(SEARCH(E$1, $D208),0) &gt;= 1, TRUE,FALSE)</f>
        <v>1</v>
      </c>
      <c r="F208" s="17" t="b">
        <f t="shared" si="208"/>
        <v>0</v>
      </c>
      <c r="G208" s="17" t="b">
        <f t="shared" si="208"/>
        <v>0</v>
      </c>
      <c r="H208" s="17" t="b">
        <f t="shared" si="208"/>
        <v>0</v>
      </c>
      <c r="I208" s="17" t="b">
        <f t="shared" si="208"/>
        <v>1</v>
      </c>
      <c r="J208" s="17" t="b">
        <f t="shared" si="208"/>
        <v>0</v>
      </c>
      <c r="K208" s="17" t="b">
        <f t="shared" si="208"/>
        <v>1</v>
      </c>
      <c r="L208" s="17"/>
      <c r="M208" s="47" t="b">
        <v>1</v>
      </c>
      <c r="N208" s="47" t="b">
        <v>0</v>
      </c>
      <c r="O208" s="47" t="b">
        <v>0</v>
      </c>
      <c r="P208" s="47" t="b">
        <v>0</v>
      </c>
      <c r="Q208" s="16" t="str">
        <f t="shared" si="3"/>
        <v>LAB·AN x Hotel van Eetvelde</v>
      </c>
      <c r="R208" s="48">
        <v>12.0</v>
      </c>
      <c r="S208" s="47" t="b">
        <v>0</v>
      </c>
      <c r="T208" s="47" t="b">
        <v>0</v>
      </c>
      <c r="U208" s="16"/>
      <c r="V208" s="16"/>
      <c r="W208" s="16"/>
      <c r="X208" s="16"/>
      <c r="Y208" s="51"/>
      <c r="Z208" s="16"/>
      <c r="AA208" s="16"/>
      <c r="AB208" s="16"/>
      <c r="AC208" s="16"/>
    </row>
    <row r="209">
      <c r="A209" s="16" t="s">
        <v>438</v>
      </c>
      <c r="B209" s="16" t="s">
        <v>439</v>
      </c>
      <c r="C209" s="17" t="s">
        <v>51</v>
      </c>
      <c r="D209" s="16" t="s">
        <v>4</v>
      </c>
      <c r="E209" s="17" t="b">
        <f t="shared" ref="E209:K209" si="209">IF(IFERROR(SEARCH(E$1, $D209),0) &gt;= 1, TRUE,FALSE)</f>
        <v>1</v>
      </c>
      <c r="F209" s="17" t="b">
        <f t="shared" si="209"/>
        <v>0</v>
      </c>
      <c r="G209" s="17" t="b">
        <f t="shared" si="209"/>
        <v>0</v>
      </c>
      <c r="H209" s="17" t="b">
        <f t="shared" si="209"/>
        <v>0</v>
      </c>
      <c r="I209" s="17" t="b">
        <f t="shared" si="209"/>
        <v>0</v>
      </c>
      <c r="J209" s="17" t="b">
        <f t="shared" si="209"/>
        <v>0</v>
      </c>
      <c r="K209" s="17" t="b">
        <f t="shared" si="209"/>
        <v>0</v>
      </c>
      <c r="L209" s="17"/>
      <c r="M209" s="47" t="b">
        <v>0</v>
      </c>
      <c r="N209" s="47" t="b">
        <v>1</v>
      </c>
      <c r="O209" s="47" t="b">
        <v>0</v>
      </c>
      <c r="P209" s="47" t="b">
        <v>0</v>
      </c>
      <c r="Q209" s="16" t="str">
        <f t="shared" si="3"/>
        <v>Brussels Museum voor Arbeid en Industrie</v>
      </c>
      <c r="R209" s="48">
        <v>8.0</v>
      </c>
      <c r="S209" s="47" t="b">
        <v>0</v>
      </c>
      <c r="T209" s="47" t="b">
        <v>1</v>
      </c>
      <c r="U209" s="48">
        <v>8.0</v>
      </c>
      <c r="V209" s="16"/>
      <c r="W209" s="16"/>
      <c r="X209" s="16"/>
      <c r="Y209" s="51"/>
      <c r="Z209" s="16"/>
      <c r="AA209" s="16"/>
      <c r="AB209" s="16"/>
      <c r="AC209" s="16"/>
    </row>
    <row r="210">
      <c r="A210" s="16" t="s">
        <v>440</v>
      </c>
      <c r="B210" s="16" t="s">
        <v>441</v>
      </c>
      <c r="C210" s="17" t="s">
        <v>51</v>
      </c>
      <c r="D210" s="16" t="s">
        <v>341</v>
      </c>
      <c r="E210" s="17" t="b">
        <f t="shared" ref="E210:K210" si="210">IF(IFERROR(SEARCH(E$1, $D210),0) &gt;= 1, TRUE,FALSE)</f>
        <v>0</v>
      </c>
      <c r="F210" s="17" t="b">
        <f t="shared" si="210"/>
        <v>0</v>
      </c>
      <c r="G210" s="17" t="b">
        <f t="shared" si="210"/>
        <v>0</v>
      </c>
      <c r="H210" s="17" t="b">
        <f t="shared" si="210"/>
        <v>0</v>
      </c>
      <c r="I210" s="17" t="b">
        <f t="shared" si="210"/>
        <v>1</v>
      </c>
      <c r="J210" s="17" t="b">
        <f t="shared" si="210"/>
        <v>0</v>
      </c>
      <c r="K210" s="17" t="b">
        <f t="shared" si="210"/>
        <v>0</v>
      </c>
      <c r="L210" s="17"/>
      <c r="M210" s="47" t="b">
        <v>1</v>
      </c>
      <c r="N210" s="47" t="b">
        <v>0</v>
      </c>
      <c r="O210" s="47" t="b">
        <v>0</v>
      </c>
      <c r="P210" s="47" t="b">
        <v>0</v>
      </c>
      <c r="Q210" s="16" t="str">
        <f t="shared" si="3"/>
        <v>Het Autrique Huis</v>
      </c>
      <c r="R210" s="48">
        <v>9.0</v>
      </c>
      <c r="S210" s="47" t="b">
        <v>0</v>
      </c>
      <c r="T210" s="47" t="b">
        <v>0</v>
      </c>
      <c r="U210" s="16"/>
      <c r="V210" s="16"/>
      <c r="W210" s="16"/>
      <c r="X210" s="16"/>
      <c r="Y210" s="51"/>
      <c r="Z210" s="16"/>
      <c r="AA210" s="16"/>
      <c r="AB210" s="16"/>
      <c r="AC210" s="16"/>
    </row>
    <row r="211">
      <c r="A211" s="16" t="s">
        <v>442</v>
      </c>
      <c r="B211" s="16" t="s">
        <v>443</v>
      </c>
      <c r="C211" s="17" t="s">
        <v>51</v>
      </c>
      <c r="D211" s="16" t="s">
        <v>444</v>
      </c>
      <c r="E211" s="17" t="b">
        <f t="shared" ref="E211:K211" si="211">IF(IFERROR(SEARCH(E$1, $D211),0) &gt;= 1, TRUE,FALSE)</f>
        <v>1</v>
      </c>
      <c r="F211" s="17" t="b">
        <f t="shared" si="211"/>
        <v>0</v>
      </c>
      <c r="G211" s="17" t="b">
        <f t="shared" si="211"/>
        <v>0</v>
      </c>
      <c r="H211" s="17" t="b">
        <f t="shared" si="211"/>
        <v>0</v>
      </c>
      <c r="I211" s="17" t="b">
        <f t="shared" si="211"/>
        <v>1</v>
      </c>
      <c r="J211" s="17" t="b">
        <f t="shared" si="211"/>
        <v>1</v>
      </c>
      <c r="K211" s="17" t="b">
        <f t="shared" si="211"/>
        <v>0</v>
      </c>
      <c r="L211" s="17"/>
      <c r="M211" s="47" t="b">
        <v>0</v>
      </c>
      <c r="N211" s="47" t="b">
        <v>0</v>
      </c>
      <c r="O211" s="47" t="b">
        <v>0</v>
      </c>
      <c r="P211" s="47" t="b">
        <v>0</v>
      </c>
      <c r="Q211" s="16" t="str">
        <f t="shared" si="3"/>
        <v>Het Stadhuis van Brussel</v>
      </c>
      <c r="R211" s="48">
        <v>15.0</v>
      </c>
      <c r="S211" s="47" t="b">
        <v>0</v>
      </c>
      <c r="T211" s="47" t="b">
        <v>0</v>
      </c>
      <c r="U211" s="16"/>
      <c r="V211" s="16"/>
      <c r="W211" s="16"/>
      <c r="X211" s="16"/>
      <c r="Y211" s="51"/>
      <c r="Z211" s="16"/>
      <c r="AA211" s="16"/>
      <c r="AB211" s="16"/>
      <c r="AC211" s="16"/>
    </row>
    <row r="212">
      <c r="A212" s="16" t="s">
        <v>445</v>
      </c>
      <c r="B212" s="16" t="s">
        <v>446</v>
      </c>
      <c r="C212" s="17" t="s">
        <v>51</v>
      </c>
      <c r="D212" s="16" t="s">
        <v>362</v>
      </c>
      <c r="E212" s="17" t="b">
        <f t="shared" ref="E212:K212" si="212">IF(IFERROR(SEARCH(E$1, $D212),0) &gt;= 1, TRUE,FALSE)</f>
        <v>1</v>
      </c>
      <c r="F212" s="17" t="b">
        <f t="shared" si="212"/>
        <v>0</v>
      </c>
      <c r="G212" s="17" t="b">
        <f t="shared" si="212"/>
        <v>0</v>
      </c>
      <c r="H212" s="17" t="b">
        <f t="shared" si="212"/>
        <v>1</v>
      </c>
      <c r="I212" s="17" t="b">
        <f t="shared" si="212"/>
        <v>1</v>
      </c>
      <c r="J212" s="17" t="b">
        <f t="shared" si="212"/>
        <v>1</v>
      </c>
      <c r="K212" s="17" t="b">
        <f t="shared" si="212"/>
        <v>0</v>
      </c>
      <c r="L212" s="17"/>
      <c r="M212" s="47" t="b">
        <v>1</v>
      </c>
      <c r="N212" s="47" t="b">
        <v>0</v>
      </c>
      <c r="O212" s="47" t="b">
        <v>0</v>
      </c>
      <c r="P212" s="47" t="b">
        <v>0</v>
      </c>
      <c r="Q212" s="16" t="str">
        <f t="shared" si="3"/>
        <v>Erasmushuis &amp; Begijnhof</v>
      </c>
      <c r="R212" s="48">
        <v>5.0</v>
      </c>
      <c r="S212" s="47" t="b">
        <v>0</v>
      </c>
      <c r="T212" s="47" t="b">
        <v>0</v>
      </c>
      <c r="U212" s="16"/>
      <c r="V212" s="16"/>
      <c r="W212" s="16"/>
      <c r="X212" s="16"/>
      <c r="Y212" s="51"/>
      <c r="Z212" s="16"/>
      <c r="AA212" s="16"/>
      <c r="AB212" s="16"/>
      <c r="AC212" s="16"/>
    </row>
    <row r="213">
      <c r="A213" s="16"/>
      <c r="B213" s="16" t="s">
        <v>447</v>
      </c>
      <c r="C213" s="17" t="s">
        <v>51</v>
      </c>
      <c r="D213" s="16" t="s">
        <v>281</v>
      </c>
      <c r="E213" s="17" t="b">
        <f t="shared" ref="E213:K213" si="213">IF(IFERROR(SEARCH(E$1, $D213),0) &gt;= 1, TRUE,FALSE)</f>
        <v>0</v>
      </c>
      <c r="F213" s="17" t="b">
        <f t="shared" si="213"/>
        <v>0</v>
      </c>
      <c r="G213" s="17" t="b">
        <f t="shared" si="213"/>
        <v>0</v>
      </c>
      <c r="H213" s="17" t="b">
        <f t="shared" si="213"/>
        <v>0</v>
      </c>
      <c r="I213" s="17" t="b">
        <f t="shared" si="213"/>
        <v>1</v>
      </c>
      <c r="J213" s="17" t="b">
        <f t="shared" si="213"/>
        <v>1</v>
      </c>
      <c r="K213" s="17" t="b">
        <f t="shared" si="213"/>
        <v>1</v>
      </c>
      <c r="L213" s="17"/>
      <c r="M213" s="47" t="b">
        <v>1</v>
      </c>
      <c r="N213" s="47" t="b">
        <v>0</v>
      </c>
      <c r="O213" s="47" t="b">
        <v>0</v>
      </c>
      <c r="P213" s="47" t="b">
        <v>0</v>
      </c>
      <c r="Q213" s="16" t="str">
        <f t="shared" si="3"/>
        <v>Maison Hannon</v>
      </c>
      <c r="R213" s="48">
        <v>14.0</v>
      </c>
      <c r="S213" s="47" t="b">
        <v>0</v>
      </c>
      <c r="T213" s="47" t="b">
        <v>1</v>
      </c>
      <c r="U213" s="48">
        <v>14.0</v>
      </c>
      <c r="V213" s="16"/>
      <c r="W213" s="16"/>
      <c r="X213" s="16"/>
      <c r="Y213" s="51"/>
      <c r="Z213" s="16"/>
      <c r="AA213" s="16"/>
      <c r="AB213" s="16"/>
      <c r="AC213" s="16"/>
    </row>
    <row r="214">
      <c r="A214" s="16" t="s">
        <v>448</v>
      </c>
      <c r="B214" s="16" t="s">
        <v>449</v>
      </c>
      <c r="C214" s="17" t="s">
        <v>51</v>
      </c>
      <c r="D214" s="16" t="s">
        <v>95</v>
      </c>
      <c r="E214" s="17" t="b">
        <f t="shared" ref="E214:K214" si="214">IF(IFERROR(SEARCH(E$1, $D214),0) &gt;= 1, TRUE,FALSE)</f>
        <v>1</v>
      </c>
      <c r="F214" s="17" t="b">
        <f t="shared" si="214"/>
        <v>0</v>
      </c>
      <c r="G214" s="17" t="b">
        <f t="shared" si="214"/>
        <v>0</v>
      </c>
      <c r="H214" s="17" t="b">
        <f t="shared" si="214"/>
        <v>0</v>
      </c>
      <c r="I214" s="17" t="b">
        <f t="shared" si="214"/>
        <v>0</v>
      </c>
      <c r="J214" s="17" t="b">
        <f t="shared" si="214"/>
        <v>1</v>
      </c>
      <c r="K214" s="17" t="b">
        <f t="shared" si="214"/>
        <v>0</v>
      </c>
      <c r="L214" s="17"/>
      <c r="M214" s="47" t="b">
        <v>1</v>
      </c>
      <c r="N214" s="47" t="b">
        <v>0</v>
      </c>
      <c r="O214" s="47" t="b">
        <v>0</v>
      </c>
      <c r="P214" s="47" t="b">
        <v>0</v>
      </c>
      <c r="Q214" s="16" t="str">
        <f t="shared" si="3"/>
        <v>MigratieMuseum</v>
      </c>
      <c r="R214" s="48">
        <v>8.0</v>
      </c>
      <c r="S214" s="47" t="b">
        <v>0</v>
      </c>
      <c r="T214" s="47" t="b">
        <v>0</v>
      </c>
      <c r="U214" s="16"/>
      <c r="V214" s="16"/>
      <c r="W214" s="16"/>
      <c r="X214" s="16"/>
      <c r="Y214" s="51"/>
      <c r="Z214" s="16"/>
      <c r="AA214" s="16"/>
      <c r="AB214" s="16"/>
      <c r="AC214" s="16"/>
    </row>
    <row r="215">
      <c r="A215" s="16" t="s">
        <v>450</v>
      </c>
      <c r="B215" s="16" t="s">
        <v>451</v>
      </c>
      <c r="C215" s="17" t="s">
        <v>51</v>
      </c>
      <c r="D215" s="16" t="s">
        <v>144</v>
      </c>
      <c r="E215" s="17" t="b">
        <f t="shared" ref="E215:K215" si="215">IF(IFERROR(SEARCH(E$1, $D215),0) &gt;= 1, TRUE,FALSE)</f>
        <v>1</v>
      </c>
      <c r="F215" s="17" t="b">
        <f t="shared" si="215"/>
        <v>0</v>
      </c>
      <c r="G215" s="17" t="b">
        <f t="shared" si="215"/>
        <v>0</v>
      </c>
      <c r="H215" s="17" t="b">
        <f t="shared" si="215"/>
        <v>0</v>
      </c>
      <c r="I215" s="17" t="b">
        <f t="shared" si="215"/>
        <v>1</v>
      </c>
      <c r="J215" s="17" t="b">
        <f t="shared" si="215"/>
        <v>0</v>
      </c>
      <c r="K215" s="17" t="b">
        <f t="shared" si="215"/>
        <v>0</v>
      </c>
      <c r="L215" s="17"/>
      <c r="M215" s="47" t="b">
        <v>1</v>
      </c>
      <c r="N215" s="47" t="b">
        <v>1</v>
      </c>
      <c r="O215" s="47" t="b">
        <v>0</v>
      </c>
      <c r="P215" s="47" t="b">
        <v>1</v>
      </c>
      <c r="Q215" s="16" t="str">
        <f t="shared" si="3"/>
        <v>muziekinstrumentenmuseum</v>
      </c>
      <c r="R215" s="48">
        <v>15.0</v>
      </c>
      <c r="S215" s="47" t="b">
        <v>0</v>
      </c>
      <c r="T215" s="47" t="b">
        <v>0</v>
      </c>
      <c r="U215" s="16"/>
      <c r="V215" s="16"/>
      <c r="W215" s="16"/>
      <c r="X215" s="16"/>
      <c r="Y215" s="51"/>
      <c r="Z215" s="16"/>
      <c r="AA215" s="16"/>
      <c r="AB215" s="16"/>
      <c r="AC215" s="16"/>
    </row>
    <row r="216">
      <c r="A216" s="16" t="s">
        <v>452</v>
      </c>
      <c r="B216" s="16" t="s">
        <v>453</v>
      </c>
      <c r="C216" s="17" t="s">
        <v>51</v>
      </c>
      <c r="D216" s="16" t="s">
        <v>344</v>
      </c>
      <c r="E216" s="17" t="b">
        <f t="shared" ref="E216:K216" si="216">IF(IFERROR(SEARCH(E$1, $D216),0) &gt;= 1, TRUE,FALSE)</f>
        <v>1</v>
      </c>
      <c r="F216" s="17" t="b">
        <f t="shared" si="216"/>
        <v>0</v>
      </c>
      <c r="G216" s="17" t="b">
        <f t="shared" si="216"/>
        <v>0</v>
      </c>
      <c r="H216" s="17" t="b">
        <f t="shared" si="216"/>
        <v>0</v>
      </c>
      <c r="I216" s="17" t="b">
        <f t="shared" si="216"/>
        <v>0</v>
      </c>
      <c r="J216" s="17" t="b">
        <f t="shared" si="216"/>
        <v>0</v>
      </c>
      <c r="K216" s="17" t="b">
        <f t="shared" si="216"/>
        <v>0</v>
      </c>
      <c r="L216" s="17"/>
      <c r="M216" s="47" t="b">
        <v>0</v>
      </c>
      <c r="N216" s="47" t="b">
        <v>0</v>
      </c>
      <c r="O216" s="47" t="b">
        <v>1</v>
      </c>
      <c r="P216" s="47" t="b">
        <v>0</v>
      </c>
      <c r="Q216" s="16" t="str">
        <f t="shared" si="3"/>
        <v>Gemeentelijk Museum van Sint-Jans-Molenbeek</v>
      </c>
      <c r="R216" s="48">
        <v>5.0</v>
      </c>
      <c r="S216" s="47" t="b">
        <v>0</v>
      </c>
      <c r="T216" s="47" t="b">
        <v>0</v>
      </c>
      <c r="U216" s="16"/>
      <c r="V216" s="16"/>
      <c r="W216" s="16"/>
      <c r="X216" s="16"/>
      <c r="Y216" s="51"/>
      <c r="Z216" s="16"/>
      <c r="AA216" s="16"/>
      <c r="AB216" s="16"/>
      <c r="AC216" s="16"/>
    </row>
    <row r="217">
      <c r="A217" s="16" t="s">
        <v>454</v>
      </c>
      <c r="B217" s="16" t="s">
        <v>455</v>
      </c>
      <c r="C217" s="17" t="s">
        <v>51</v>
      </c>
      <c r="D217" s="16" t="s">
        <v>344</v>
      </c>
      <c r="E217" s="17" t="b">
        <f t="shared" ref="E217:K217" si="217">IF(IFERROR(SEARCH(E$1, $D217),0) &gt;= 1, TRUE,FALSE)</f>
        <v>1</v>
      </c>
      <c r="F217" s="17" t="b">
        <f t="shared" si="217"/>
        <v>0</v>
      </c>
      <c r="G217" s="17" t="b">
        <f t="shared" si="217"/>
        <v>0</v>
      </c>
      <c r="H217" s="17" t="b">
        <f t="shared" si="217"/>
        <v>0</v>
      </c>
      <c r="I217" s="17" t="b">
        <f t="shared" si="217"/>
        <v>0</v>
      </c>
      <c r="J217" s="17" t="b">
        <f t="shared" si="217"/>
        <v>0</v>
      </c>
      <c r="K217" s="17" t="b">
        <f t="shared" si="217"/>
        <v>0</v>
      </c>
      <c r="L217" s="17"/>
      <c r="M217" s="47" t="b">
        <v>1</v>
      </c>
      <c r="N217" s="47" t="b">
        <v>1</v>
      </c>
      <c r="O217" s="47" t="b">
        <v>1</v>
      </c>
      <c r="P217" s="47" t="b">
        <v>1</v>
      </c>
      <c r="Q217" s="16" t="str">
        <f t="shared" si="3"/>
        <v>Museum Kunst &amp; Geschiedenis</v>
      </c>
      <c r="R217" s="48">
        <v>10.0</v>
      </c>
      <c r="S217" s="47" t="b">
        <v>0</v>
      </c>
      <c r="T217" s="47" t="b">
        <v>0</v>
      </c>
      <c r="U217" s="16"/>
      <c r="V217" s="16"/>
      <c r="W217" s="16"/>
      <c r="X217" s="16"/>
      <c r="Y217" s="51"/>
      <c r="Z217" s="16"/>
      <c r="AA217" s="16"/>
      <c r="AB217" s="16"/>
      <c r="AC217" s="16"/>
    </row>
    <row r="218">
      <c r="A218" s="16" t="s">
        <v>456</v>
      </c>
      <c r="B218" s="16" t="s">
        <v>457</v>
      </c>
      <c r="C218" s="17" t="s">
        <v>51</v>
      </c>
      <c r="D218" s="16" t="s">
        <v>458</v>
      </c>
      <c r="E218" s="17" t="b">
        <f t="shared" ref="E218:K218" si="218">IF(IFERROR(SEARCH(E$1, $D218),0) &gt;= 1, TRUE,FALSE)</f>
        <v>1</v>
      </c>
      <c r="F218" s="17" t="b">
        <f t="shared" si="218"/>
        <v>0</v>
      </c>
      <c r="G218" s="17" t="b">
        <f t="shared" si="218"/>
        <v>0</v>
      </c>
      <c r="H218" s="17" t="b">
        <f t="shared" si="218"/>
        <v>0</v>
      </c>
      <c r="I218" s="17" t="b">
        <f t="shared" si="218"/>
        <v>1</v>
      </c>
      <c r="J218" s="17" t="b">
        <f t="shared" si="218"/>
        <v>1</v>
      </c>
      <c r="K218" s="17" t="b">
        <f t="shared" si="218"/>
        <v>1</v>
      </c>
      <c r="L218" s="17"/>
      <c r="M218" s="47" t="b">
        <v>1</v>
      </c>
      <c r="N218" s="47" t="b">
        <v>0</v>
      </c>
      <c r="O218" s="47" t="b">
        <v>0</v>
      </c>
      <c r="P218" s="47" t="b">
        <v>0</v>
      </c>
      <c r="Q218" s="16" t="str">
        <f t="shared" si="3"/>
        <v>Belgisch Museum van de Vrijmetselarij</v>
      </c>
      <c r="R218" s="48">
        <v>10.0</v>
      </c>
      <c r="S218" s="47" t="b">
        <v>0</v>
      </c>
      <c r="T218" s="47" t="b">
        <v>1</v>
      </c>
      <c r="U218" s="48">
        <v>10.0</v>
      </c>
      <c r="V218" s="16"/>
      <c r="W218" s="16"/>
      <c r="X218" s="16"/>
      <c r="Y218" s="51"/>
      <c r="Z218" s="16"/>
      <c r="AA218" s="16"/>
      <c r="AB218" s="16"/>
      <c r="AC218" s="16"/>
    </row>
    <row r="219">
      <c r="A219" s="16" t="s">
        <v>459</v>
      </c>
      <c r="B219" s="16" t="s">
        <v>460</v>
      </c>
      <c r="C219" s="17" t="s">
        <v>51</v>
      </c>
      <c r="D219" s="16" t="s">
        <v>4</v>
      </c>
      <c r="E219" s="17" t="b">
        <f t="shared" ref="E219:K219" si="219">IF(IFERROR(SEARCH(E$1, $D219),0) &gt;= 1, TRUE,FALSE)</f>
        <v>1</v>
      </c>
      <c r="F219" s="17" t="b">
        <f t="shared" si="219"/>
        <v>0</v>
      </c>
      <c r="G219" s="17" t="b">
        <f t="shared" si="219"/>
        <v>0</v>
      </c>
      <c r="H219" s="17" t="b">
        <f t="shared" si="219"/>
        <v>0</v>
      </c>
      <c r="I219" s="17" t="b">
        <f t="shared" si="219"/>
        <v>0</v>
      </c>
      <c r="J219" s="17" t="b">
        <f t="shared" si="219"/>
        <v>0</v>
      </c>
      <c r="K219" s="17" t="b">
        <f t="shared" si="219"/>
        <v>0</v>
      </c>
      <c r="L219" s="17"/>
      <c r="M219" s="47" t="b">
        <v>1</v>
      </c>
      <c r="N219" s="47" t="b">
        <v>1</v>
      </c>
      <c r="O219" s="47" t="b">
        <v>0</v>
      </c>
      <c r="P219" s="47" t="b">
        <v>1</v>
      </c>
      <c r="Q219" s="16" t="str">
        <f t="shared" si="3"/>
        <v>BELvue museum</v>
      </c>
      <c r="R219" s="48">
        <v>10.0</v>
      </c>
      <c r="S219" s="47" t="b">
        <v>0</v>
      </c>
      <c r="T219" s="47" t="b">
        <v>1</v>
      </c>
      <c r="U219" s="48">
        <v>0.0</v>
      </c>
      <c r="V219" s="16"/>
      <c r="W219" s="16"/>
      <c r="X219" s="16"/>
      <c r="Y219" s="51"/>
      <c r="Z219" s="16"/>
      <c r="AA219" s="16"/>
      <c r="AB219" s="16"/>
      <c r="AC219" s="16"/>
    </row>
    <row r="220">
      <c r="A220" s="16" t="s">
        <v>461</v>
      </c>
      <c r="B220" s="16" t="s">
        <v>462</v>
      </c>
      <c r="C220" s="17" t="s">
        <v>51</v>
      </c>
      <c r="D220" s="16" t="s">
        <v>4</v>
      </c>
      <c r="E220" s="17" t="b">
        <f t="shared" ref="E220:K220" si="220">IF(IFERROR(SEARCH(E$1, $D220),0) &gt;= 1, TRUE,FALSE)</f>
        <v>1</v>
      </c>
      <c r="F220" s="17" t="b">
        <f t="shared" si="220"/>
        <v>0</v>
      </c>
      <c r="G220" s="17" t="b">
        <f t="shared" si="220"/>
        <v>0</v>
      </c>
      <c r="H220" s="17" t="b">
        <f t="shared" si="220"/>
        <v>0</v>
      </c>
      <c r="I220" s="17" t="b">
        <f t="shared" si="220"/>
        <v>0</v>
      </c>
      <c r="J220" s="17" t="b">
        <f t="shared" si="220"/>
        <v>0</v>
      </c>
      <c r="K220" s="17" t="b">
        <f t="shared" si="220"/>
        <v>0</v>
      </c>
      <c r="L220" s="17"/>
      <c r="M220" s="47" t="b">
        <v>1</v>
      </c>
      <c r="N220" s="47" t="b">
        <v>0</v>
      </c>
      <c r="O220" s="47" t="b">
        <v>0</v>
      </c>
      <c r="P220" s="47" t="b">
        <v>0</v>
      </c>
      <c r="Q220" s="16" t="str">
        <f t="shared" si="3"/>
        <v>Brussels Museum van de Molen en de Voeding</v>
      </c>
      <c r="R220" s="48">
        <v>5.0</v>
      </c>
      <c r="S220" s="47" t="b">
        <v>0</v>
      </c>
      <c r="T220" s="47" t="b">
        <v>1</v>
      </c>
      <c r="U220" s="48">
        <v>4.0</v>
      </c>
      <c r="V220" s="16"/>
      <c r="W220" s="16"/>
      <c r="X220" s="16"/>
      <c r="Y220" s="51"/>
      <c r="Z220" s="16"/>
      <c r="AA220" s="16"/>
      <c r="AB220" s="16"/>
      <c r="AC220" s="16"/>
    </row>
    <row r="221">
      <c r="A221" s="16" t="s">
        <v>463</v>
      </c>
      <c r="B221" s="16" t="s">
        <v>464</v>
      </c>
      <c r="C221" s="17" t="s">
        <v>51</v>
      </c>
      <c r="D221" s="16" t="s">
        <v>9</v>
      </c>
      <c r="E221" s="17" t="b">
        <f t="shared" ref="E221:K221" si="221">IF(IFERROR(SEARCH(E$1, $D221),0) &gt;= 1, TRUE,FALSE)</f>
        <v>0</v>
      </c>
      <c r="F221" s="17" t="b">
        <f t="shared" si="221"/>
        <v>0</v>
      </c>
      <c r="G221" s="17" t="b">
        <f t="shared" si="221"/>
        <v>0</v>
      </c>
      <c r="H221" s="17" t="b">
        <f t="shared" si="221"/>
        <v>0</v>
      </c>
      <c r="I221" s="17" t="b">
        <f t="shared" si="221"/>
        <v>0</v>
      </c>
      <c r="J221" s="17" t="b">
        <f t="shared" si="221"/>
        <v>1</v>
      </c>
      <c r="K221" s="17" t="b">
        <f t="shared" si="221"/>
        <v>0</v>
      </c>
      <c r="L221" s="17"/>
      <c r="M221" s="47" t="b">
        <v>1</v>
      </c>
      <c r="N221" s="47" t="b">
        <v>0</v>
      </c>
      <c r="O221" s="47" t="b">
        <v>0</v>
      </c>
      <c r="P221" s="47" t="b">
        <v>0</v>
      </c>
      <c r="Q221" s="16" t="str">
        <f t="shared" si="3"/>
        <v>Charlier Museum</v>
      </c>
      <c r="R221" s="48">
        <v>9.0</v>
      </c>
      <c r="S221" s="47" t="b">
        <v>0</v>
      </c>
      <c r="T221" s="47" t="b">
        <v>0</v>
      </c>
      <c r="U221" s="16"/>
      <c r="V221" s="16"/>
      <c r="W221" s="16"/>
      <c r="X221" s="16"/>
      <c r="Y221" s="51"/>
      <c r="Z221" s="16"/>
      <c r="AA221" s="16"/>
      <c r="AB221" s="16"/>
      <c r="AC221" s="16"/>
    </row>
    <row r="222">
      <c r="A222" s="16" t="s">
        <v>465</v>
      </c>
      <c r="B222" s="16" t="s">
        <v>466</v>
      </c>
      <c r="C222" s="17" t="s">
        <v>51</v>
      </c>
      <c r="D222" s="16" t="s">
        <v>9</v>
      </c>
      <c r="E222" s="17" t="b">
        <f t="shared" ref="E222:K222" si="222">IF(IFERROR(SEARCH(E$1, $D222),0) &gt;= 1, TRUE,FALSE)</f>
        <v>0</v>
      </c>
      <c r="F222" s="17" t="b">
        <f t="shared" si="222"/>
        <v>0</v>
      </c>
      <c r="G222" s="17" t="b">
        <f t="shared" si="222"/>
        <v>0</v>
      </c>
      <c r="H222" s="17" t="b">
        <f t="shared" si="222"/>
        <v>0</v>
      </c>
      <c r="I222" s="17" t="b">
        <f t="shared" si="222"/>
        <v>0</v>
      </c>
      <c r="J222" s="17" t="b">
        <f t="shared" si="222"/>
        <v>1</v>
      </c>
      <c r="K222" s="17" t="b">
        <f t="shared" si="222"/>
        <v>0</v>
      </c>
      <c r="L222" s="17"/>
      <c r="M222" s="47" t="b">
        <v>1</v>
      </c>
      <c r="N222" s="47" t="b">
        <v>0</v>
      </c>
      <c r="O222" s="47" t="b">
        <v>0</v>
      </c>
      <c r="P222" s="47" t="b">
        <v>0</v>
      </c>
      <c r="Q222" s="16" t="str">
        <f t="shared" si="3"/>
        <v>Museum voor Spontane Kunst</v>
      </c>
      <c r="R222" s="48">
        <v>4.0</v>
      </c>
      <c r="S222" s="47" t="b">
        <v>0</v>
      </c>
      <c r="T222" s="47" t="b">
        <v>0</v>
      </c>
      <c r="U222" s="16"/>
      <c r="V222" s="16"/>
      <c r="W222" s="16"/>
      <c r="X222" s="16"/>
      <c r="Y222" s="51"/>
      <c r="Z222" s="16"/>
      <c r="AA222" s="16"/>
      <c r="AB222" s="16"/>
      <c r="AC222" s="16"/>
    </row>
    <row r="223">
      <c r="A223" s="16" t="s">
        <v>467</v>
      </c>
      <c r="B223" s="16" t="s">
        <v>468</v>
      </c>
      <c r="C223" s="17" t="s">
        <v>51</v>
      </c>
      <c r="D223" s="16" t="s">
        <v>355</v>
      </c>
      <c r="E223" s="17" t="b">
        <f t="shared" ref="E223:K223" si="223">IF(IFERROR(SEARCH(E$1, $D223),0) &gt;= 1, TRUE,FALSE)</f>
        <v>1</v>
      </c>
      <c r="F223" s="17" t="b">
        <f t="shared" si="223"/>
        <v>1</v>
      </c>
      <c r="G223" s="17" t="b">
        <f t="shared" si="223"/>
        <v>0</v>
      </c>
      <c r="H223" s="17" t="b">
        <f t="shared" si="223"/>
        <v>0</v>
      </c>
      <c r="I223" s="17" t="b">
        <f t="shared" si="223"/>
        <v>0</v>
      </c>
      <c r="J223" s="17" t="b">
        <f t="shared" si="223"/>
        <v>0</v>
      </c>
      <c r="K223" s="17" t="b">
        <f t="shared" si="223"/>
        <v>0</v>
      </c>
      <c r="L223" s="17"/>
      <c r="M223" s="47" t="b">
        <v>1</v>
      </c>
      <c r="N223" s="47" t="b">
        <v>0</v>
      </c>
      <c r="O223" s="47" t="b">
        <v>0</v>
      </c>
      <c r="P223" s="47" t="b">
        <v>0</v>
      </c>
      <c r="Q223" s="16" t="str">
        <f t="shared" si="3"/>
        <v>Riolenmuseum</v>
      </c>
      <c r="R223" s="48">
        <v>10.0</v>
      </c>
      <c r="S223" s="47" t="b">
        <v>0</v>
      </c>
      <c r="T223" s="47" t="b">
        <v>0</v>
      </c>
      <c r="U223" s="16"/>
      <c r="V223" s="16"/>
      <c r="W223" s="16"/>
      <c r="X223" s="16"/>
      <c r="Y223" s="51"/>
      <c r="Z223" s="16"/>
      <c r="AA223" s="16"/>
      <c r="AB223" s="16"/>
      <c r="AC223" s="16"/>
    </row>
    <row r="224">
      <c r="A224" s="16" t="s">
        <v>469</v>
      </c>
      <c r="B224" s="16" t="s">
        <v>470</v>
      </c>
      <c r="C224" s="17" t="s">
        <v>51</v>
      </c>
      <c r="D224" s="16" t="s">
        <v>180</v>
      </c>
      <c r="E224" s="17" t="b">
        <f t="shared" ref="E224:K224" si="224">IF(IFERROR(SEARCH(E$1, $D224),0) &gt;= 1, TRUE,FALSE)</f>
        <v>0</v>
      </c>
      <c r="F224" s="17" t="b">
        <f t="shared" si="224"/>
        <v>0</v>
      </c>
      <c r="G224" s="17" t="b">
        <f t="shared" si="224"/>
        <v>0</v>
      </c>
      <c r="H224" s="17" t="b">
        <f t="shared" si="224"/>
        <v>0</v>
      </c>
      <c r="I224" s="17" t="b">
        <f t="shared" si="224"/>
        <v>0</v>
      </c>
      <c r="J224" s="17" t="b">
        <f t="shared" si="224"/>
        <v>1</v>
      </c>
      <c r="K224" s="17" t="b">
        <f t="shared" si="224"/>
        <v>1</v>
      </c>
      <c r="L224" s="17"/>
      <c r="M224" s="47" t="b">
        <v>1</v>
      </c>
      <c r="N224" s="47" t="b">
        <v>1</v>
      </c>
      <c r="O224" s="47" t="b">
        <v>0</v>
      </c>
      <c r="P224" s="47" t="b">
        <v>0</v>
      </c>
      <c r="Q224" s="16" t="str">
        <f t="shared" si="3"/>
        <v>Stripmuseum Brussel</v>
      </c>
      <c r="R224" s="48">
        <v>14.0</v>
      </c>
      <c r="S224" s="47" t="b">
        <v>0</v>
      </c>
      <c r="T224" s="47" t="b">
        <v>1</v>
      </c>
      <c r="U224" s="48">
        <v>0.0</v>
      </c>
      <c r="V224" s="16"/>
      <c r="W224" s="16"/>
      <c r="X224" s="16"/>
      <c r="Y224" s="51"/>
      <c r="Z224" s="16"/>
      <c r="AA224" s="16"/>
      <c r="AB224" s="16"/>
      <c r="AC224" s="16"/>
    </row>
    <row r="225">
      <c r="A225" s="16" t="s">
        <v>471</v>
      </c>
      <c r="B225" s="16" t="s">
        <v>472</v>
      </c>
      <c r="C225" s="17" t="s">
        <v>51</v>
      </c>
      <c r="D225" s="16" t="s">
        <v>355</v>
      </c>
      <c r="E225" s="17" t="b">
        <f t="shared" ref="E225:K225" si="225">IF(IFERROR(SEARCH(E$1, $D225),0) &gt;= 1, TRUE,FALSE)</f>
        <v>1</v>
      </c>
      <c r="F225" s="17" t="b">
        <f t="shared" si="225"/>
        <v>1</v>
      </c>
      <c r="G225" s="17" t="b">
        <f t="shared" si="225"/>
        <v>0</v>
      </c>
      <c r="H225" s="17" t="b">
        <f t="shared" si="225"/>
        <v>0</v>
      </c>
      <c r="I225" s="17" t="b">
        <f t="shared" si="225"/>
        <v>0</v>
      </c>
      <c r="J225" s="17" t="b">
        <f t="shared" si="225"/>
        <v>0</v>
      </c>
      <c r="K225" s="17" t="b">
        <f t="shared" si="225"/>
        <v>0</v>
      </c>
      <c r="L225" s="17"/>
      <c r="M225" s="47" t="b">
        <v>0</v>
      </c>
      <c r="N225" s="47" t="b">
        <v>0</v>
      </c>
      <c r="O225" s="47" t="b">
        <v>0</v>
      </c>
      <c r="P225" s="47" t="b">
        <v>0</v>
      </c>
      <c r="Q225" s="16" t="str">
        <f t="shared" si="3"/>
        <v>Museum van de Nationale Bank van België</v>
      </c>
      <c r="R225" s="48">
        <v>0.0</v>
      </c>
      <c r="S225" s="47" t="b">
        <v>0</v>
      </c>
      <c r="T225" s="47" t="b">
        <v>0</v>
      </c>
      <c r="U225" s="16"/>
      <c r="V225" s="16"/>
      <c r="W225" s="16"/>
      <c r="X225" s="16"/>
      <c r="Y225" s="51"/>
      <c r="Z225" s="16"/>
      <c r="AA225" s="16"/>
      <c r="AB225" s="16"/>
      <c r="AC225" s="16"/>
    </row>
    <row r="226">
      <c r="A226" s="16" t="s">
        <v>473</v>
      </c>
      <c r="B226" s="16" t="s">
        <v>474</v>
      </c>
      <c r="C226" s="17" t="s">
        <v>51</v>
      </c>
      <c r="D226" s="16" t="s">
        <v>355</v>
      </c>
      <c r="E226" s="17" t="b">
        <f t="shared" ref="E226:K226" si="226">IF(IFERROR(SEARCH(E$1, $D226),0) &gt;= 1, TRUE,FALSE)</f>
        <v>1</v>
      </c>
      <c r="F226" s="17" t="b">
        <f t="shared" si="226"/>
        <v>1</v>
      </c>
      <c r="G226" s="17" t="b">
        <f t="shared" si="226"/>
        <v>0</v>
      </c>
      <c r="H226" s="17" t="b">
        <f t="shared" si="226"/>
        <v>0</v>
      </c>
      <c r="I226" s="17" t="b">
        <f t="shared" si="226"/>
        <v>0</v>
      </c>
      <c r="J226" s="17" t="b">
        <f t="shared" si="226"/>
        <v>0</v>
      </c>
      <c r="K226" s="17" t="b">
        <f t="shared" si="226"/>
        <v>0</v>
      </c>
      <c r="L226" s="17"/>
      <c r="M226" s="47" t="b">
        <v>0</v>
      </c>
      <c r="N226" s="47" t="b">
        <v>0</v>
      </c>
      <c r="O226" s="47" t="b">
        <v>0</v>
      </c>
      <c r="P226" s="47" t="b">
        <v>0</v>
      </c>
      <c r="Q226" s="16" t="str">
        <f t="shared" si="3"/>
        <v>Geneeskundemuseum</v>
      </c>
      <c r="R226" s="48">
        <v>5.0</v>
      </c>
      <c r="S226" s="47" t="b">
        <v>0</v>
      </c>
      <c r="T226" s="47" t="b">
        <v>0</v>
      </c>
      <c r="U226" s="16"/>
      <c r="V226" s="16"/>
      <c r="W226" s="16"/>
      <c r="X226" s="16"/>
      <c r="Y226" s="51"/>
      <c r="Z226" s="16"/>
      <c r="AA226" s="16"/>
      <c r="AB226" s="16"/>
      <c r="AC226" s="16"/>
    </row>
    <row r="227">
      <c r="A227" s="16" t="s">
        <v>475</v>
      </c>
      <c r="B227" s="16" t="s">
        <v>476</v>
      </c>
      <c r="C227" s="17" t="s">
        <v>51</v>
      </c>
      <c r="D227" s="16" t="s">
        <v>198</v>
      </c>
      <c r="E227" s="17" t="b">
        <f t="shared" ref="E227:K227" si="227">IF(IFERROR(SEARCH(E$1, $D227),0) &gt;= 1, TRUE,FALSE)</f>
        <v>1</v>
      </c>
      <c r="F227" s="17" t="b">
        <f t="shared" si="227"/>
        <v>0</v>
      </c>
      <c r="G227" s="17" t="b">
        <f t="shared" si="227"/>
        <v>0</v>
      </c>
      <c r="H227" s="17" t="b">
        <f t="shared" si="227"/>
        <v>0</v>
      </c>
      <c r="I227" s="17" t="b">
        <f t="shared" si="227"/>
        <v>1</v>
      </c>
      <c r="J227" s="17" t="b">
        <f t="shared" si="227"/>
        <v>1</v>
      </c>
      <c r="K227" s="17" t="b">
        <f t="shared" si="227"/>
        <v>0</v>
      </c>
      <c r="L227" s="17"/>
      <c r="M227" s="47" t="b">
        <v>1</v>
      </c>
      <c r="N227" s="47" t="b">
        <v>0</v>
      </c>
      <c r="O227" s="47" t="b">
        <v>0</v>
      </c>
      <c r="P227" s="47" t="b">
        <v>0</v>
      </c>
      <c r="Q227" s="16" t="str">
        <f t="shared" si="3"/>
        <v>Museum van de Stad Brussel - Broodhuis</v>
      </c>
      <c r="R227" s="48">
        <v>10.0</v>
      </c>
      <c r="S227" s="47" t="b">
        <v>0</v>
      </c>
      <c r="T227" s="47" t="b">
        <v>1</v>
      </c>
      <c r="U227" s="48">
        <v>10.0</v>
      </c>
      <c r="V227" s="16"/>
      <c r="W227" s="16"/>
      <c r="X227" s="16"/>
      <c r="Y227" s="51"/>
      <c r="Z227" s="16"/>
      <c r="AA227" s="16"/>
      <c r="AB227" s="16"/>
      <c r="AC227" s="16"/>
    </row>
    <row r="228">
      <c r="A228" s="16" t="s">
        <v>477</v>
      </c>
      <c r="B228" s="16" t="s">
        <v>478</v>
      </c>
      <c r="C228" s="17" t="s">
        <v>51</v>
      </c>
      <c r="D228" s="16" t="s">
        <v>79</v>
      </c>
      <c r="E228" s="17" t="b">
        <f t="shared" ref="E228:K228" si="228">IF(IFERROR(SEARCH(E$1, $D228),0) &gt;= 1, TRUE,FALSE)</f>
        <v>1</v>
      </c>
      <c r="F228" s="17" t="b">
        <f t="shared" si="228"/>
        <v>0</v>
      </c>
      <c r="G228" s="17" t="b">
        <f t="shared" si="228"/>
        <v>0</v>
      </c>
      <c r="H228" s="17" t="b">
        <f t="shared" si="228"/>
        <v>0</v>
      </c>
      <c r="I228" s="17" t="b">
        <f t="shared" si="228"/>
        <v>0</v>
      </c>
      <c r="J228" s="17" t="b">
        <f t="shared" si="228"/>
        <v>1</v>
      </c>
      <c r="K228" s="17" t="b">
        <f t="shared" si="228"/>
        <v>1</v>
      </c>
      <c r="L228" s="17"/>
      <c r="M228" s="47" t="b">
        <v>1</v>
      </c>
      <c r="N228" s="47" t="b">
        <v>0</v>
      </c>
      <c r="O228" s="47" t="b">
        <v>0</v>
      </c>
      <c r="P228" s="47" t="b">
        <v>0</v>
      </c>
      <c r="Q228" s="16" t="str">
        <f t="shared" si="3"/>
        <v>Museum en Tuinen van Buuren</v>
      </c>
      <c r="R228" s="48">
        <v>18.0</v>
      </c>
      <c r="S228" s="47" t="b">
        <v>0</v>
      </c>
      <c r="T228" s="47" t="b">
        <v>0</v>
      </c>
      <c r="U228" s="16"/>
      <c r="V228" s="16"/>
      <c r="W228" s="16"/>
      <c r="X228" s="16"/>
      <c r="Y228" s="51"/>
      <c r="Z228" s="16"/>
      <c r="AA228" s="16"/>
      <c r="AB228" s="16"/>
      <c r="AC228" s="16"/>
    </row>
    <row r="229">
      <c r="A229" s="16" t="s">
        <v>479</v>
      </c>
      <c r="B229" s="16" t="s">
        <v>480</v>
      </c>
      <c r="C229" s="17" t="s">
        <v>51</v>
      </c>
      <c r="D229" s="16" t="s">
        <v>8</v>
      </c>
      <c r="E229" s="17" t="b">
        <f t="shared" ref="E229:K229" si="229">IF(IFERROR(SEARCH(E$1, $D229),0) &gt;= 1, TRUE,FALSE)</f>
        <v>0</v>
      </c>
      <c r="F229" s="17" t="b">
        <f t="shared" si="229"/>
        <v>0</v>
      </c>
      <c r="G229" s="17" t="b">
        <f t="shared" si="229"/>
        <v>0</v>
      </c>
      <c r="H229" s="17" t="b">
        <f t="shared" si="229"/>
        <v>0</v>
      </c>
      <c r="I229" s="17" t="b">
        <f t="shared" si="229"/>
        <v>1</v>
      </c>
      <c r="J229" s="17" t="b">
        <f t="shared" si="229"/>
        <v>0</v>
      </c>
      <c r="K229" s="17" t="b">
        <f t="shared" si="229"/>
        <v>0</v>
      </c>
      <c r="L229" s="17"/>
      <c r="M229" s="47" t="b">
        <v>1</v>
      </c>
      <c r="N229" s="47" t="b">
        <v>0</v>
      </c>
      <c r="O229" s="47" t="b">
        <v>0</v>
      </c>
      <c r="P229" s="47" t="b">
        <v>0</v>
      </c>
      <c r="Q229" s="16" t="str">
        <f t="shared" si="3"/>
        <v>Hortamuseum</v>
      </c>
      <c r="R229" s="48">
        <v>14.0</v>
      </c>
      <c r="S229" s="47" t="b">
        <v>0</v>
      </c>
      <c r="T229" s="47" t="b">
        <v>0</v>
      </c>
      <c r="U229" s="16"/>
      <c r="V229" s="16"/>
      <c r="W229" s="16"/>
      <c r="X229" s="16"/>
      <c r="Y229" s="51"/>
      <c r="Z229" s="16"/>
      <c r="AA229" s="16"/>
      <c r="AB229" s="16"/>
      <c r="AC229" s="16"/>
    </row>
    <row r="230">
      <c r="A230" s="16" t="s">
        <v>481</v>
      </c>
      <c r="B230" s="16" t="s">
        <v>482</v>
      </c>
      <c r="C230" s="17" t="s">
        <v>51</v>
      </c>
      <c r="D230" s="16" t="s">
        <v>95</v>
      </c>
      <c r="E230" s="17" t="b">
        <f t="shared" ref="E230:K230" si="230">IF(IFERROR(SEARCH(E$1, $D230),0) &gt;= 1, TRUE,FALSE)</f>
        <v>1</v>
      </c>
      <c r="F230" s="17" t="b">
        <f t="shared" si="230"/>
        <v>0</v>
      </c>
      <c r="G230" s="17" t="b">
        <f t="shared" si="230"/>
        <v>0</v>
      </c>
      <c r="H230" s="17" t="b">
        <f t="shared" si="230"/>
        <v>0</v>
      </c>
      <c r="I230" s="17" t="b">
        <f t="shared" si="230"/>
        <v>0</v>
      </c>
      <c r="J230" s="17" t="b">
        <f t="shared" si="230"/>
        <v>1</v>
      </c>
      <c r="K230" s="17" t="b">
        <f t="shared" si="230"/>
        <v>0</v>
      </c>
      <c r="L230" s="17"/>
      <c r="M230" s="47" t="b">
        <v>0</v>
      </c>
      <c r="N230" s="47" t="b">
        <v>0</v>
      </c>
      <c r="O230" s="47" t="b">
        <v>0</v>
      </c>
      <c r="P230" s="47" t="b">
        <v>0</v>
      </c>
      <c r="Q230" s="16" t="str">
        <f t="shared" si="3"/>
        <v>Joods Museum van België</v>
      </c>
      <c r="R230" s="48">
        <v>10.0</v>
      </c>
      <c r="S230" s="47" t="b">
        <v>1</v>
      </c>
      <c r="T230" s="47" t="b">
        <v>0</v>
      </c>
      <c r="U230" s="16"/>
      <c r="V230" s="16"/>
      <c r="W230" s="16"/>
      <c r="X230" s="16"/>
      <c r="Y230" s="51"/>
      <c r="Z230" s="16"/>
      <c r="AA230" s="16"/>
      <c r="AB230" s="16"/>
      <c r="AC230" s="16"/>
    </row>
    <row r="231">
      <c r="A231" s="16" t="s">
        <v>483</v>
      </c>
      <c r="B231" s="16" t="s">
        <v>484</v>
      </c>
      <c r="C231" s="17" t="s">
        <v>51</v>
      </c>
      <c r="D231" s="16" t="s">
        <v>485</v>
      </c>
      <c r="E231" s="17" t="b">
        <f t="shared" ref="E231:K231" si="231">IF(IFERROR(SEARCH(E$1, $D231),0) &gt;= 1, TRUE,FALSE)</f>
        <v>0</v>
      </c>
      <c r="F231" s="17" t="b">
        <f t="shared" si="231"/>
        <v>0</v>
      </c>
      <c r="G231" s="17" t="b">
        <f t="shared" si="231"/>
        <v>1</v>
      </c>
      <c r="H231" s="17" t="b">
        <f t="shared" si="231"/>
        <v>0</v>
      </c>
      <c r="I231" s="17" t="b">
        <f t="shared" si="231"/>
        <v>0</v>
      </c>
      <c r="J231" s="17" t="b">
        <f t="shared" si="231"/>
        <v>1</v>
      </c>
      <c r="K231" s="17" t="b">
        <f t="shared" si="231"/>
        <v>1</v>
      </c>
      <c r="L231" s="17"/>
      <c r="M231" s="47" t="b">
        <v>1</v>
      </c>
      <c r="N231" s="47" t="b">
        <v>0</v>
      </c>
      <c r="O231" s="47" t="b">
        <v>0</v>
      </c>
      <c r="P231" s="47" t="b">
        <v>0</v>
      </c>
      <c r="Q231" s="16" t="str">
        <f t="shared" si="3"/>
        <v>Mode &amp; Kant Museum</v>
      </c>
      <c r="R231" s="48">
        <v>10.0</v>
      </c>
      <c r="S231" s="47" t="b">
        <v>0</v>
      </c>
      <c r="T231" s="47" t="b">
        <v>1</v>
      </c>
      <c r="U231" s="48">
        <v>10.0</v>
      </c>
      <c r="V231" s="16"/>
      <c r="W231" s="16"/>
      <c r="X231" s="16"/>
      <c r="Y231" s="51"/>
      <c r="Z231" s="16"/>
      <c r="AA231" s="16"/>
      <c r="AB231" s="16"/>
      <c r="AC231" s="16"/>
    </row>
    <row r="232">
      <c r="A232" s="16" t="s">
        <v>486</v>
      </c>
      <c r="B232" s="16" t="s">
        <v>487</v>
      </c>
      <c r="C232" s="17" t="s">
        <v>51</v>
      </c>
      <c r="D232" s="16" t="s">
        <v>9</v>
      </c>
      <c r="E232" s="17" t="b">
        <f t="shared" ref="E232:K232" si="232">IF(IFERROR(SEARCH(E$1, $D232),0) &gt;= 1, TRUE,FALSE)</f>
        <v>0</v>
      </c>
      <c r="F232" s="17" t="b">
        <f t="shared" si="232"/>
        <v>0</v>
      </c>
      <c r="G232" s="17" t="b">
        <f t="shared" si="232"/>
        <v>0</v>
      </c>
      <c r="H232" s="17" t="b">
        <f t="shared" si="232"/>
        <v>0</v>
      </c>
      <c r="I232" s="17" t="b">
        <f t="shared" si="232"/>
        <v>0</v>
      </c>
      <c r="J232" s="17" t="b">
        <f t="shared" si="232"/>
        <v>1</v>
      </c>
      <c r="K232" s="17" t="b">
        <f t="shared" si="232"/>
        <v>0</v>
      </c>
      <c r="L232" s="17"/>
      <c r="M232" s="47" t="b">
        <v>1</v>
      </c>
      <c r="N232" s="47" t="b">
        <v>0</v>
      </c>
      <c r="O232" s="47" t="b">
        <v>0</v>
      </c>
      <c r="P232" s="47" t="b">
        <v>0</v>
      </c>
      <c r="Q232" s="16" t="str">
        <f t="shared" si="3"/>
        <v>René Magritte Museum &amp; Museum voor abstracte kuns</v>
      </c>
      <c r="R232" s="48">
        <v>15.0</v>
      </c>
      <c r="S232" s="47" t="b">
        <v>0</v>
      </c>
      <c r="T232" s="47" t="b">
        <v>0</v>
      </c>
      <c r="U232" s="16"/>
      <c r="V232" s="16"/>
      <c r="W232" s="16"/>
      <c r="X232" s="16"/>
      <c r="Y232" s="51"/>
      <c r="Z232" s="16"/>
      <c r="AA232" s="16"/>
      <c r="AB232" s="16"/>
      <c r="AC232" s="16"/>
    </row>
    <row r="233">
      <c r="A233" s="16" t="s">
        <v>488</v>
      </c>
      <c r="B233" s="16" t="s">
        <v>489</v>
      </c>
      <c r="C233" s="17" t="s">
        <v>51</v>
      </c>
      <c r="D233" s="16" t="s">
        <v>163</v>
      </c>
      <c r="E233" s="17" t="b">
        <f t="shared" ref="E233:K233" si="233">IF(IFERROR(SEARCH(E$1, $D233),0) &gt;= 1, TRUE,FALSE)</f>
        <v>1</v>
      </c>
      <c r="F233" s="17" t="b">
        <f t="shared" si="233"/>
        <v>1</v>
      </c>
      <c r="G233" s="17" t="b">
        <f t="shared" si="233"/>
        <v>0</v>
      </c>
      <c r="H233" s="17" t="b">
        <f t="shared" si="233"/>
        <v>0</v>
      </c>
      <c r="I233" s="17" t="b">
        <f t="shared" si="233"/>
        <v>1</v>
      </c>
      <c r="J233" s="17" t="b">
        <f t="shared" si="233"/>
        <v>1</v>
      </c>
      <c r="K233" s="17" t="b">
        <f t="shared" si="233"/>
        <v>0</v>
      </c>
      <c r="L233" s="17"/>
      <c r="M233" s="47" t="b">
        <v>1</v>
      </c>
      <c r="N233" s="47" t="b">
        <v>1</v>
      </c>
      <c r="O233" s="47" t="b">
        <v>1</v>
      </c>
      <c r="P233" s="47" t="b">
        <v>1</v>
      </c>
      <c r="Q233" s="16" t="str">
        <f t="shared" si="3"/>
        <v>Koninklijk Museum van het Leger en de Krijgsgeschiedenis</v>
      </c>
      <c r="R233" s="48">
        <v>12.0</v>
      </c>
      <c r="S233" s="47" t="b">
        <v>0</v>
      </c>
      <c r="T233" s="47" t="b">
        <v>0</v>
      </c>
      <c r="U233" s="16"/>
      <c r="V233" s="16"/>
      <c r="W233" s="16"/>
      <c r="X233" s="16"/>
      <c r="Y233" s="51"/>
      <c r="Z233" s="16"/>
      <c r="AA233" s="16"/>
      <c r="AB233" s="16"/>
      <c r="AC233" s="16"/>
    </row>
    <row r="234">
      <c r="A234" s="16" t="s">
        <v>490</v>
      </c>
      <c r="B234" s="16" t="s">
        <v>491</v>
      </c>
      <c r="C234" s="17" t="s">
        <v>51</v>
      </c>
      <c r="D234" s="16" t="s">
        <v>344</v>
      </c>
      <c r="E234" s="17" t="b">
        <f t="shared" ref="E234:K234" si="234">IF(IFERROR(SEARCH(E$1, $D234),0) &gt;= 1, TRUE,FALSE)</f>
        <v>1</v>
      </c>
      <c r="F234" s="17" t="b">
        <f t="shared" si="234"/>
        <v>0</v>
      </c>
      <c r="G234" s="17" t="b">
        <f t="shared" si="234"/>
        <v>0</v>
      </c>
      <c r="H234" s="17" t="b">
        <f t="shared" si="234"/>
        <v>0</v>
      </c>
      <c r="I234" s="17" t="b">
        <f t="shared" si="234"/>
        <v>0</v>
      </c>
      <c r="J234" s="17" t="b">
        <f t="shared" si="234"/>
        <v>0</v>
      </c>
      <c r="K234" s="17" t="b">
        <f t="shared" si="234"/>
        <v>0</v>
      </c>
      <c r="L234" s="17"/>
      <c r="M234" s="47" t="b">
        <v>1</v>
      </c>
      <c r="N234" s="47" t="b">
        <v>0</v>
      </c>
      <c r="O234" s="47" t="b">
        <v>0</v>
      </c>
      <c r="P234" s="47" t="b">
        <v>1</v>
      </c>
      <c r="Q234" s="16" t="str">
        <f t="shared" si="3"/>
        <v>Coudenbergpaleis</v>
      </c>
      <c r="R234" s="48">
        <v>10.0</v>
      </c>
      <c r="S234" s="47" t="b">
        <v>0</v>
      </c>
      <c r="T234" s="47" t="b">
        <v>0</v>
      </c>
      <c r="U234" s="16"/>
      <c r="V234" s="16"/>
      <c r="W234" s="16"/>
      <c r="X234" s="16"/>
      <c r="Y234" s="51"/>
      <c r="Z234" s="16"/>
      <c r="AA234" s="16"/>
      <c r="AB234" s="16"/>
      <c r="AC234" s="16"/>
    </row>
    <row r="235">
      <c r="A235" s="16" t="s">
        <v>492</v>
      </c>
      <c r="B235" s="16" t="s">
        <v>493</v>
      </c>
      <c r="C235" s="17" t="s">
        <v>51</v>
      </c>
      <c r="D235" s="16" t="s">
        <v>5</v>
      </c>
      <c r="E235" s="17" t="b">
        <f t="shared" ref="E235:K235" si="235">IF(IFERROR(SEARCH(E$1, $D235),0) &gt;= 1, TRUE,FALSE)</f>
        <v>0</v>
      </c>
      <c r="F235" s="17" t="b">
        <f t="shared" si="235"/>
        <v>1</v>
      </c>
      <c r="G235" s="17" t="b">
        <f t="shared" si="235"/>
        <v>0</v>
      </c>
      <c r="H235" s="17" t="b">
        <f t="shared" si="235"/>
        <v>0</v>
      </c>
      <c r="I235" s="17" t="b">
        <f t="shared" si="235"/>
        <v>0</v>
      </c>
      <c r="J235" s="17" t="b">
        <f t="shared" si="235"/>
        <v>0</v>
      </c>
      <c r="K235" s="17" t="b">
        <f t="shared" si="235"/>
        <v>0</v>
      </c>
      <c r="L235" s="17"/>
      <c r="M235" s="47" t="b">
        <v>1</v>
      </c>
      <c r="N235" s="47" t="b">
        <v>0</v>
      </c>
      <c r="O235" s="47" t="b">
        <v>1</v>
      </c>
      <c r="P235" s="47" t="b">
        <v>0</v>
      </c>
      <c r="Q235" s="16" t="str">
        <f t="shared" si="3"/>
        <v>Planetarium Brussel</v>
      </c>
      <c r="R235" s="48">
        <v>8.0</v>
      </c>
      <c r="S235" s="47" t="b">
        <v>0</v>
      </c>
      <c r="T235" s="47" t="b">
        <v>0</v>
      </c>
      <c r="U235" s="16"/>
      <c r="V235" s="16"/>
      <c r="W235" s="16"/>
      <c r="X235" s="16"/>
      <c r="Y235" s="51"/>
      <c r="Z235" s="16"/>
      <c r="AA235" s="16"/>
      <c r="AB235" s="16"/>
      <c r="AC235" s="16"/>
    </row>
    <row r="236">
      <c r="A236" s="16" t="s">
        <v>494</v>
      </c>
      <c r="B236" s="16" t="s">
        <v>495</v>
      </c>
      <c r="C236" s="17" t="s">
        <v>51</v>
      </c>
      <c r="D236" s="16" t="s">
        <v>319</v>
      </c>
      <c r="E236" s="17" t="b">
        <f t="shared" ref="E236:K236" si="236">IF(IFERROR(SEARCH(E$1, $D236),0) &gt;= 1, TRUE,FALSE)</f>
        <v>1</v>
      </c>
      <c r="F236" s="17" t="b">
        <f t="shared" si="236"/>
        <v>0</v>
      </c>
      <c r="G236" s="17" t="b">
        <f t="shared" si="236"/>
        <v>0</v>
      </c>
      <c r="H236" s="17" t="b">
        <f t="shared" si="236"/>
        <v>0</v>
      </c>
      <c r="I236" s="17" t="b">
        <f t="shared" si="236"/>
        <v>1</v>
      </c>
      <c r="J236" s="17" t="b">
        <f t="shared" si="236"/>
        <v>0</v>
      </c>
      <c r="K236" s="17" t="b">
        <f t="shared" si="236"/>
        <v>0</v>
      </c>
      <c r="L236" s="17"/>
      <c r="M236" s="47" t="b">
        <v>1</v>
      </c>
      <c r="N236" s="47" t="b">
        <v>0</v>
      </c>
      <c r="O236" s="47" t="b">
        <v>0</v>
      </c>
      <c r="P236" s="47" t="b">
        <v>0</v>
      </c>
      <c r="Q236" s="16" t="str">
        <f t="shared" si="3"/>
        <v>Hallepoort</v>
      </c>
      <c r="R236" s="48">
        <v>7.0</v>
      </c>
      <c r="S236" s="47" t="b">
        <v>0</v>
      </c>
      <c r="T236" s="47" t="b">
        <v>0</v>
      </c>
      <c r="U236" s="16"/>
      <c r="V236" s="16"/>
      <c r="W236" s="16"/>
      <c r="X236" s="16"/>
      <c r="Y236" s="51"/>
      <c r="Z236" s="16"/>
      <c r="AA236" s="16"/>
      <c r="AB236" s="16"/>
      <c r="AC236" s="16"/>
    </row>
    <row r="237">
      <c r="A237" s="16" t="s">
        <v>496</v>
      </c>
      <c r="B237" s="16" t="s">
        <v>497</v>
      </c>
      <c r="C237" s="17" t="s">
        <v>51</v>
      </c>
      <c r="D237" s="16" t="s">
        <v>9</v>
      </c>
      <c r="E237" s="17" t="b">
        <f t="shared" ref="E237:K237" si="237">IF(IFERROR(SEARCH(E$1, $D237),0) &gt;= 1, TRUE,FALSE)</f>
        <v>0</v>
      </c>
      <c r="F237" s="17" t="b">
        <f t="shared" si="237"/>
        <v>0</v>
      </c>
      <c r="G237" s="17" t="b">
        <f t="shared" si="237"/>
        <v>0</v>
      </c>
      <c r="H237" s="17" t="b">
        <f t="shared" si="237"/>
        <v>0</v>
      </c>
      <c r="I237" s="17" t="b">
        <f t="shared" si="237"/>
        <v>0</v>
      </c>
      <c r="J237" s="17" t="b">
        <f t="shared" si="237"/>
        <v>1</v>
      </c>
      <c r="K237" s="17" t="b">
        <f t="shared" si="237"/>
        <v>0</v>
      </c>
      <c r="L237" s="17"/>
      <c r="M237" s="47" t="b">
        <v>1</v>
      </c>
      <c r="N237" s="47" t="b">
        <v>1</v>
      </c>
      <c r="O237" s="47" t="b">
        <v>1</v>
      </c>
      <c r="P237" s="47" t="b">
        <v>1</v>
      </c>
      <c r="Q237" s="16" t="str">
        <f t="shared" si="3"/>
        <v>Centrum voor Hedendaagse Kunst</v>
      </c>
      <c r="R237" s="48">
        <v>12.0</v>
      </c>
      <c r="S237" s="47" t="b">
        <v>0</v>
      </c>
      <c r="T237" s="47" t="b">
        <v>1</v>
      </c>
      <c r="U237" s="48">
        <v>12.0</v>
      </c>
      <c r="V237" s="16"/>
      <c r="W237" s="16"/>
      <c r="X237" s="16"/>
      <c r="Y237" s="51"/>
      <c r="Z237" s="16"/>
      <c r="AA237" s="16"/>
      <c r="AB237" s="16"/>
      <c r="AC237" s="16"/>
    </row>
    <row r="238">
      <c r="A238" s="16" t="s">
        <v>498</v>
      </c>
      <c r="B238" s="16"/>
      <c r="C238" s="17" t="s">
        <v>51</v>
      </c>
      <c r="D238" s="16" t="s">
        <v>499</v>
      </c>
      <c r="E238" s="17" t="b">
        <f t="shared" ref="E238:K238" si="238">IF(IFERROR(SEARCH(E$1, $D238),0) &gt;= 1, TRUE,FALSE)</f>
        <v>0</v>
      </c>
      <c r="F238" s="17" t="b">
        <f t="shared" si="238"/>
        <v>0</v>
      </c>
      <c r="G238" s="17" t="b">
        <f t="shared" si="238"/>
        <v>0</v>
      </c>
      <c r="H238" s="17" t="b">
        <f t="shared" si="238"/>
        <v>1</v>
      </c>
      <c r="I238" s="17" t="b">
        <f t="shared" si="238"/>
        <v>0</v>
      </c>
      <c r="J238" s="17" t="b">
        <f t="shared" si="238"/>
        <v>1</v>
      </c>
      <c r="K238" s="17" t="b">
        <f t="shared" si="238"/>
        <v>1</v>
      </c>
      <c r="L238" s="17"/>
      <c r="M238" s="47" t="b">
        <v>1</v>
      </c>
      <c r="N238" s="47" t="b">
        <v>0</v>
      </c>
      <c r="O238" s="47" t="b">
        <v>0</v>
      </c>
      <c r="P238" s="47" t="b">
        <v>0</v>
      </c>
      <c r="Q238" s="16" t="str">
        <f t="shared" si="3"/>
        <v>Wittockiana</v>
      </c>
      <c r="R238" s="48">
        <v>7.0</v>
      </c>
      <c r="S238" s="47" t="b">
        <v>0</v>
      </c>
      <c r="T238" s="47" t="b">
        <v>0</v>
      </c>
      <c r="U238" s="16"/>
      <c r="V238" s="16"/>
      <c r="W238" s="16"/>
      <c r="X238" s="16"/>
      <c r="Y238" s="51"/>
      <c r="Z238" s="16"/>
      <c r="AA238" s="16"/>
      <c r="AB238" s="16"/>
      <c r="AC238" s="16"/>
    </row>
    <row r="239">
      <c r="A239" s="16" t="s">
        <v>500</v>
      </c>
      <c r="B239" s="16" t="s">
        <v>501</v>
      </c>
      <c r="C239" s="17" t="s">
        <v>55</v>
      </c>
      <c r="D239" s="16" t="s">
        <v>4</v>
      </c>
      <c r="E239" s="17" t="b">
        <f t="shared" ref="E239:K239" si="239">IF(IFERROR(SEARCH(E$1, $D239),0) &gt;= 1, TRUE,FALSE)</f>
        <v>1</v>
      </c>
      <c r="F239" s="17" t="b">
        <f t="shared" si="239"/>
        <v>0</v>
      </c>
      <c r="G239" s="17" t="b">
        <f t="shared" si="239"/>
        <v>0</v>
      </c>
      <c r="H239" s="17" t="b">
        <f t="shared" si="239"/>
        <v>0</v>
      </c>
      <c r="I239" s="17" t="b">
        <f t="shared" si="239"/>
        <v>0</v>
      </c>
      <c r="J239" s="17" t="b">
        <f t="shared" si="239"/>
        <v>0</v>
      </c>
      <c r="K239" s="17" t="b">
        <f t="shared" si="239"/>
        <v>0</v>
      </c>
      <c r="L239" s="17"/>
      <c r="M239" s="47" t="b">
        <v>1</v>
      </c>
      <c r="N239" s="47" t="b">
        <v>0</v>
      </c>
      <c r="O239" s="47" t="b">
        <v>0</v>
      </c>
      <c r="P239" s="47" t="b">
        <v>0</v>
      </c>
      <c r="Q239" s="16" t="str">
        <f t="shared" si="3"/>
        <v>Amsab-Instituut voor Sociale Geschiedenis</v>
      </c>
      <c r="R239" s="48">
        <v>0.0</v>
      </c>
      <c r="S239" s="47" t="b">
        <v>0</v>
      </c>
      <c r="T239" s="47" t="b">
        <v>1</v>
      </c>
      <c r="U239" s="48">
        <v>0.0</v>
      </c>
      <c r="V239" s="16"/>
      <c r="W239" s="16"/>
      <c r="X239" s="16"/>
      <c r="Y239" s="51"/>
      <c r="Z239" s="16"/>
      <c r="AA239" s="16"/>
      <c r="AB239" s="16"/>
      <c r="AC239" s="16"/>
    </row>
    <row r="240">
      <c r="A240" s="16" t="s">
        <v>502</v>
      </c>
      <c r="B240" s="16" t="s">
        <v>503</v>
      </c>
      <c r="C240" s="17" t="s">
        <v>55</v>
      </c>
      <c r="D240" s="16" t="s">
        <v>504</v>
      </c>
      <c r="E240" s="17" t="b">
        <f t="shared" ref="E240:K240" si="240">IF(IFERROR(SEARCH(E$1, $D240),0) &gt;= 1, TRUE,FALSE)</f>
        <v>1</v>
      </c>
      <c r="F240" s="17" t="b">
        <f t="shared" si="240"/>
        <v>0</v>
      </c>
      <c r="G240" s="17" t="b">
        <f t="shared" si="240"/>
        <v>0</v>
      </c>
      <c r="H240" s="17" t="b">
        <f t="shared" si="240"/>
        <v>1</v>
      </c>
      <c r="I240" s="17" t="b">
        <f t="shared" si="240"/>
        <v>0</v>
      </c>
      <c r="J240" s="17" t="b">
        <f t="shared" si="240"/>
        <v>1</v>
      </c>
      <c r="K240" s="17" t="b">
        <f t="shared" si="240"/>
        <v>1</v>
      </c>
      <c r="L240" s="17"/>
      <c r="M240" s="47" t="b">
        <v>1</v>
      </c>
      <c r="N240" s="47" t="b">
        <v>0</v>
      </c>
      <c r="O240" s="47" t="b">
        <v>1</v>
      </c>
      <c r="P240" s="47" t="b">
        <v>0</v>
      </c>
      <c r="Q240" s="16" t="str">
        <f t="shared" si="3"/>
        <v>Curiosum | Een huis vol herinnering</v>
      </c>
      <c r="R240" s="48">
        <v>8.0</v>
      </c>
      <c r="S240" s="47" t="b">
        <v>0</v>
      </c>
      <c r="T240" s="47" t="b">
        <v>0</v>
      </c>
      <c r="U240" s="16"/>
      <c r="V240" s="16"/>
      <c r="W240" s="16"/>
      <c r="X240" s="16"/>
      <c r="Y240" s="51"/>
      <c r="Z240" s="16"/>
      <c r="AA240" s="16"/>
      <c r="AB240" s="16"/>
      <c r="AC240" s="16"/>
    </row>
    <row r="241">
      <c r="A241" s="16" t="s">
        <v>505</v>
      </c>
      <c r="B241" s="16"/>
      <c r="C241" s="17" t="s">
        <v>55</v>
      </c>
      <c r="D241" s="16" t="s">
        <v>10</v>
      </c>
      <c r="E241" s="17" t="b">
        <f t="shared" ref="E241:K241" si="241">IF(IFERROR(SEARCH(E$1, $D241),0) &gt;= 1, TRUE,FALSE)</f>
        <v>0</v>
      </c>
      <c r="F241" s="17" t="b">
        <f t="shared" si="241"/>
        <v>0</v>
      </c>
      <c r="G241" s="17" t="b">
        <f t="shared" si="241"/>
        <v>0</v>
      </c>
      <c r="H241" s="17" t="b">
        <f t="shared" si="241"/>
        <v>0</v>
      </c>
      <c r="I241" s="17" t="b">
        <f t="shared" si="241"/>
        <v>0</v>
      </c>
      <c r="J241" s="17" t="b">
        <f t="shared" si="241"/>
        <v>0</v>
      </c>
      <c r="K241" s="17" t="b">
        <f t="shared" si="241"/>
        <v>1</v>
      </c>
      <c r="L241" s="17"/>
      <c r="M241" s="47" t="b">
        <v>1</v>
      </c>
      <c r="N241" s="47" t="b">
        <v>0</v>
      </c>
      <c r="O241" s="47" t="b">
        <v>0</v>
      </c>
      <c r="P241" s="47" t="b">
        <v>0</v>
      </c>
      <c r="Q241" s="16" t="str">
        <f t="shared" si="3"/>
        <v>Design Museum Gent</v>
      </c>
      <c r="R241" s="48">
        <v>5.0</v>
      </c>
      <c r="S241" s="47" t="b">
        <v>1</v>
      </c>
      <c r="T241" s="47" t="b">
        <v>0</v>
      </c>
      <c r="U241" s="16"/>
      <c r="V241" s="16"/>
      <c r="W241" s="16"/>
      <c r="X241" s="16"/>
      <c r="Y241" s="51"/>
      <c r="Z241" s="16"/>
      <c r="AA241" s="16"/>
      <c r="AB241" s="16"/>
      <c r="AC241" s="16"/>
    </row>
    <row r="242">
      <c r="A242" s="16" t="s">
        <v>506</v>
      </c>
      <c r="B242" s="16" t="s">
        <v>507</v>
      </c>
      <c r="C242" s="17" t="s">
        <v>55</v>
      </c>
      <c r="D242" s="16" t="s">
        <v>107</v>
      </c>
      <c r="E242" s="17" t="b">
        <f t="shared" ref="E242:K242" si="242">IF(IFERROR(SEARCH(E$1, $D242),0) &gt;= 1, TRUE,FALSE)</f>
        <v>1</v>
      </c>
      <c r="F242" s="17" t="b">
        <f t="shared" si="242"/>
        <v>1</v>
      </c>
      <c r="G242" s="17" t="b">
        <f t="shared" si="242"/>
        <v>0</v>
      </c>
      <c r="H242" s="17" t="b">
        <f t="shared" si="242"/>
        <v>0</v>
      </c>
      <c r="I242" s="17" t="b">
        <f t="shared" si="242"/>
        <v>0</v>
      </c>
      <c r="J242" s="17" t="b">
        <f t="shared" si="242"/>
        <v>0</v>
      </c>
      <c r="K242" s="17" t="b">
        <f t="shared" si="242"/>
        <v>0</v>
      </c>
      <c r="L242" s="17"/>
      <c r="M242" s="47" t="b">
        <v>1</v>
      </c>
      <c r="N242" s="47" t="b">
        <v>0</v>
      </c>
      <c r="O242" s="47" t="b">
        <v>0</v>
      </c>
      <c r="P242" s="47" t="b">
        <v>0</v>
      </c>
      <c r="Q242" s="16" t="str">
        <f t="shared" si="3"/>
        <v>GUM | Gents Universiteitsmuseum</v>
      </c>
      <c r="R242" s="48">
        <v>12.0</v>
      </c>
      <c r="S242" s="47" t="b">
        <v>0</v>
      </c>
      <c r="T242" s="47" t="b">
        <v>1</v>
      </c>
      <c r="U242" s="48">
        <v>12.0</v>
      </c>
      <c r="V242" s="16"/>
      <c r="W242" s="16"/>
      <c r="X242" s="16"/>
      <c r="Y242" s="51"/>
      <c r="Z242" s="16"/>
      <c r="AA242" s="16"/>
      <c r="AB242" s="16"/>
      <c r="AC242" s="16"/>
    </row>
    <row r="243">
      <c r="A243" s="16"/>
      <c r="B243" s="16" t="s">
        <v>508</v>
      </c>
      <c r="C243" s="17" t="s">
        <v>55</v>
      </c>
      <c r="D243" s="16" t="s">
        <v>9</v>
      </c>
      <c r="E243" s="17" t="b">
        <f t="shared" ref="E243:K243" si="243">IF(IFERROR(SEARCH(E$1, $D243),0) &gt;= 1, TRUE,FALSE)</f>
        <v>0</v>
      </c>
      <c r="F243" s="17" t="b">
        <f t="shared" si="243"/>
        <v>0</v>
      </c>
      <c r="G243" s="17" t="b">
        <f t="shared" si="243"/>
        <v>0</v>
      </c>
      <c r="H243" s="17" t="b">
        <f t="shared" si="243"/>
        <v>0</v>
      </c>
      <c r="I243" s="17" t="b">
        <f t="shared" si="243"/>
        <v>0</v>
      </c>
      <c r="J243" s="17" t="b">
        <f t="shared" si="243"/>
        <v>1</v>
      </c>
      <c r="K243" s="17" t="b">
        <f t="shared" si="243"/>
        <v>0</v>
      </c>
      <c r="L243" s="17"/>
      <c r="M243" s="47" t="b">
        <v>1</v>
      </c>
      <c r="N243" s="47" t="b">
        <v>0</v>
      </c>
      <c r="O243" s="47" t="b">
        <v>0</v>
      </c>
      <c r="P243" s="47" t="b">
        <v>0</v>
      </c>
      <c r="Q243" s="16" t="str">
        <f t="shared" si="3"/>
        <v>Herbert Foundation</v>
      </c>
      <c r="R243" s="48">
        <v>12.0</v>
      </c>
      <c r="S243" s="47" t="b">
        <v>0</v>
      </c>
      <c r="T243" s="47" t="b">
        <v>0</v>
      </c>
      <c r="U243" s="16"/>
      <c r="V243" s="16"/>
      <c r="W243" s="16"/>
      <c r="X243" s="16"/>
      <c r="Y243" s="51"/>
      <c r="Z243" s="16"/>
      <c r="AA243" s="16"/>
      <c r="AB243" s="16"/>
      <c r="AC243" s="16"/>
    </row>
    <row r="244">
      <c r="A244" s="16" t="s">
        <v>509</v>
      </c>
      <c r="B244" s="16" t="s">
        <v>510</v>
      </c>
      <c r="C244" s="17" t="s">
        <v>55</v>
      </c>
      <c r="D244" s="16" t="s">
        <v>37</v>
      </c>
      <c r="E244" s="17" t="b">
        <f t="shared" ref="E244:K244" si="244">IF(IFERROR(SEARCH(E$1, $D244),0) &gt;= 1, TRUE,FALSE)</f>
        <v>1</v>
      </c>
      <c r="F244" s="17" t="b">
        <f t="shared" si="244"/>
        <v>0</v>
      </c>
      <c r="G244" s="17" t="b">
        <f t="shared" si="244"/>
        <v>0</v>
      </c>
      <c r="H244" s="17" t="b">
        <f t="shared" si="244"/>
        <v>0</v>
      </c>
      <c r="I244" s="17" t="b">
        <f t="shared" si="244"/>
        <v>0</v>
      </c>
      <c r="J244" s="17" t="b">
        <f t="shared" si="244"/>
        <v>0</v>
      </c>
      <c r="K244" s="17" t="b">
        <f t="shared" si="244"/>
        <v>1</v>
      </c>
      <c r="L244" s="17"/>
      <c r="M244" s="47" t="b">
        <v>1</v>
      </c>
      <c r="N244" s="47" t="b">
        <v>1</v>
      </c>
      <c r="O244" s="47" t="b">
        <v>0</v>
      </c>
      <c r="P244" s="47" t="b">
        <v>0</v>
      </c>
      <c r="Q244" s="16" t="str">
        <f t="shared" si="3"/>
        <v>Huis van Alijn</v>
      </c>
      <c r="R244" s="48">
        <v>9.0</v>
      </c>
      <c r="S244" s="47" t="b">
        <v>0</v>
      </c>
      <c r="T244" s="47" t="b">
        <v>1</v>
      </c>
      <c r="U244" s="48">
        <v>9.0</v>
      </c>
      <c r="V244" s="16"/>
      <c r="W244" s="16"/>
      <c r="X244" s="16"/>
      <c r="Y244" s="51"/>
      <c r="Z244" s="16"/>
      <c r="AA244" s="16"/>
      <c r="AB244" s="16"/>
      <c r="AC244" s="16"/>
    </row>
    <row r="245">
      <c r="A245" s="16" t="s">
        <v>511</v>
      </c>
      <c r="B245" s="16" t="s">
        <v>512</v>
      </c>
      <c r="C245" s="17" t="s">
        <v>55</v>
      </c>
      <c r="D245" s="16" t="s">
        <v>107</v>
      </c>
      <c r="E245" s="17" t="b">
        <f t="shared" ref="E245:K245" si="245">IF(IFERROR(SEARCH(E$1, $D245),0) &gt;= 1, TRUE,FALSE)</f>
        <v>1</v>
      </c>
      <c r="F245" s="17" t="b">
        <f t="shared" si="245"/>
        <v>1</v>
      </c>
      <c r="G245" s="17" t="b">
        <f t="shared" si="245"/>
        <v>0</v>
      </c>
      <c r="H245" s="17" t="b">
        <f t="shared" si="245"/>
        <v>0</v>
      </c>
      <c r="I245" s="17" t="b">
        <f t="shared" si="245"/>
        <v>0</v>
      </c>
      <c r="J245" s="17" t="b">
        <f t="shared" si="245"/>
        <v>0</v>
      </c>
      <c r="K245" s="17" t="b">
        <f t="shared" si="245"/>
        <v>0</v>
      </c>
      <c r="L245" s="17"/>
      <c r="M245" s="47" t="b">
        <v>0</v>
      </c>
      <c r="N245" s="47" t="b">
        <v>0</v>
      </c>
      <c r="O245" s="47" t="b">
        <v>0</v>
      </c>
      <c r="P245" s="47" t="b">
        <v>0</v>
      </c>
      <c r="Q245" s="16" t="str">
        <f t="shared" si="3"/>
        <v>Industriemuseum</v>
      </c>
      <c r="R245" s="48">
        <v>9.0</v>
      </c>
      <c r="S245" s="47" t="b">
        <v>0</v>
      </c>
      <c r="T245" s="47" t="b">
        <v>1</v>
      </c>
      <c r="U245" s="48">
        <v>9.0</v>
      </c>
      <c r="V245" s="16"/>
      <c r="W245" s="16"/>
      <c r="X245" s="16"/>
      <c r="Y245" s="51"/>
      <c r="Z245" s="16"/>
      <c r="AA245" s="16"/>
      <c r="AB245" s="16"/>
      <c r="AC245" s="16"/>
    </row>
    <row r="246">
      <c r="A246" s="16" t="s">
        <v>513</v>
      </c>
      <c r="B246" s="16" t="s">
        <v>514</v>
      </c>
      <c r="C246" s="17" t="s">
        <v>55</v>
      </c>
      <c r="D246" s="16" t="s">
        <v>107</v>
      </c>
      <c r="E246" s="17" t="b">
        <f t="shared" ref="E246:K246" si="246">IF(IFERROR(SEARCH(E$1, $D246),0) &gt;= 1, TRUE,FALSE)</f>
        <v>1</v>
      </c>
      <c r="F246" s="17" t="b">
        <f t="shared" si="246"/>
        <v>1</v>
      </c>
      <c r="G246" s="17" t="b">
        <f t="shared" si="246"/>
        <v>0</v>
      </c>
      <c r="H246" s="17" t="b">
        <f t="shared" si="246"/>
        <v>0</v>
      </c>
      <c r="I246" s="17" t="b">
        <f t="shared" si="246"/>
        <v>0</v>
      </c>
      <c r="J246" s="17" t="b">
        <f t="shared" si="246"/>
        <v>0</v>
      </c>
      <c r="K246" s="17" t="b">
        <f t="shared" si="246"/>
        <v>0</v>
      </c>
      <c r="L246" s="17"/>
      <c r="M246" s="47" t="b">
        <v>1</v>
      </c>
      <c r="N246" s="47" t="b">
        <v>0</v>
      </c>
      <c r="O246" s="47" t="b">
        <v>1</v>
      </c>
      <c r="P246" s="47" t="b">
        <v>0</v>
      </c>
      <c r="Q246" s="16" t="str">
        <f t="shared" si="3"/>
        <v>Mercatormuseum</v>
      </c>
      <c r="R246" s="48">
        <v>8.0</v>
      </c>
      <c r="S246" s="47" t="b">
        <v>1</v>
      </c>
      <c r="T246" s="47" t="b">
        <v>0</v>
      </c>
      <c r="U246" s="16"/>
      <c r="V246" s="16"/>
      <c r="W246" s="16"/>
      <c r="X246" s="16"/>
      <c r="Y246" s="51"/>
      <c r="Z246" s="16"/>
      <c r="AA246" s="16"/>
      <c r="AB246" s="16"/>
      <c r="AC246" s="16"/>
    </row>
    <row r="247">
      <c r="A247" s="16" t="s">
        <v>515</v>
      </c>
      <c r="B247" s="16" t="s">
        <v>516</v>
      </c>
      <c r="C247" s="17" t="s">
        <v>55</v>
      </c>
      <c r="D247" s="16" t="s">
        <v>4</v>
      </c>
      <c r="E247" s="17" t="b">
        <f t="shared" ref="E247:K247" si="247">IF(IFERROR(SEARCH(E$1, $D247),0) &gt;= 1, TRUE,FALSE)</f>
        <v>1</v>
      </c>
      <c r="F247" s="17" t="b">
        <f t="shared" si="247"/>
        <v>0</v>
      </c>
      <c r="G247" s="17" t="b">
        <f t="shared" si="247"/>
        <v>0</v>
      </c>
      <c r="H247" s="17" t="b">
        <f t="shared" si="247"/>
        <v>0</v>
      </c>
      <c r="I247" s="17" t="b">
        <f t="shared" si="247"/>
        <v>0</v>
      </c>
      <c r="J247" s="17" t="b">
        <f t="shared" si="247"/>
        <v>0</v>
      </c>
      <c r="K247" s="17" t="b">
        <f t="shared" si="247"/>
        <v>0</v>
      </c>
      <c r="L247" s="17"/>
      <c r="M247" s="47" t="b">
        <v>1</v>
      </c>
      <c r="N247" s="47" t="b">
        <v>0</v>
      </c>
      <c r="O247" s="47" t="b">
        <v>0</v>
      </c>
      <c r="P247" s="47" t="b">
        <v>0</v>
      </c>
      <c r="Q247" s="16" t="str">
        <f t="shared" si="3"/>
        <v>MOU | Museum Oudenaarde</v>
      </c>
      <c r="R247" s="48">
        <v>10.0</v>
      </c>
      <c r="S247" s="47" t="b">
        <v>0</v>
      </c>
      <c r="T247" s="47" t="b">
        <v>0</v>
      </c>
      <c r="U247" s="16"/>
      <c r="V247" s="16"/>
      <c r="W247" s="16"/>
      <c r="X247" s="16"/>
      <c r="Y247" s="51"/>
      <c r="Z247" s="16"/>
      <c r="AA247" s="16"/>
      <c r="AB247" s="16"/>
      <c r="AC247" s="16"/>
    </row>
    <row r="248">
      <c r="A248" s="16" t="s">
        <v>517</v>
      </c>
      <c r="B248" s="16" t="s">
        <v>518</v>
      </c>
      <c r="C248" s="17" t="s">
        <v>55</v>
      </c>
      <c r="D248" s="16" t="s">
        <v>9</v>
      </c>
      <c r="E248" s="17" t="b">
        <f t="shared" ref="E248:K248" si="248">IF(IFERROR(SEARCH(E$1, $D248),0) &gt;= 1, TRUE,FALSE)</f>
        <v>0</v>
      </c>
      <c r="F248" s="17" t="b">
        <f t="shared" si="248"/>
        <v>0</v>
      </c>
      <c r="G248" s="17" t="b">
        <f t="shared" si="248"/>
        <v>0</v>
      </c>
      <c r="H248" s="17" t="b">
        <f t="shared" si="248"/>
        <v>0</v>
      </c>
      <c r="I248" s="17" t="b">
        <f t="shared" si="248"/>
        <v>0</v>
      </c>
      <c r="J248" s="17" t="b">
        <f t="shared" si="248"/>
        <v>1</v>
      </c>
      <c r="K248" s="17" t="b">
        <f t="shared" si="248"/>
        <v>0</v>
      </c>
      <c r="L248" s="17"/>
      <c r="M248" s="47" t="b">
        <v>1</v>
      </c>
      <c r="N248" s="47" t="b">
        <v>1</v>
      </c>
      <c r="O248" s="47" t="b">
        <v>0</v>
      </c>
      <c r="P248" s="47" t="b">
        <v>1</v>
      </c>
      <c r="Q248" s="16" t="str">
        <f t="shared" si="3"/>
        <v>MSK | Museum voor Schone Kunsten Gent</v>
      </c>
      <c r="R248" s="48">
        <v>22.0</v>
      </c>
      <c r="S248" s="47" t="b">
        <v>0</v>
      </c>
      <c r="T248" s="47" t="b">
        <v>1</v>
      </c>
      <c r="U248" s="48">
        <v>13.0</v>
      </c>
      <c r="V248" s="16"/>
      <c r="W248" s="16"/>
      <c r="X248" s="16"/>
      <c r="Y248" s="51"/>
      <c r="Z248" s="16"/>
      <c r="AA248" s="16"/>
      <c r="AB248" s="16"/>
      <c r="AC248" s="16"/>
    </row>
    <row r="249">
      <c r="A249" s="16" t="s">
        <v>519</v>
      </c>
      <c r="B249" s="16" t="s">
        <v>520</v>
      </c>
      <c r="C249" s="17" t="s">
        <v>55</v>
      </c>
      <c r="D249" s="16" t="s">
        <v>428</v>
      </c>
      <c r="E249" s="17" t="b">
        <f t="shared" ref="E249:K249" si="249">IF(IFERROR(SEARCH(E$1, $D249),0) &gt;= 1, TRUE,FALSE)</f>
        <v>1</v>
      </c>
      <c r="F249" s="17" t="b">
        <f t="shared" si="249"/>
        <v>0</v>
      </c>
      <c r="G249" s="17" t="b">
        <f t="shared" si="249"/>
        <v>1</v>
      </c>
      <c r="H249" s="17" t="b">
        <f t="shared" si="249"/>
        <v>0</v>
      </c>
      <c r="I249" s="17" t="b">
        <f t="shared" si="249"/>
        <v>0</v>
      </c>
      <c r="J249" s="17" t="b">
        <f t="shared" si="249"/>
        <v>1</v>
      </c>
      <c r="K249" s="17" t="b">
        <f t="shared" si="249"/>
        <v>0</v>
      </c>
      <c r="L249" s="17"/>
      <c r="M249" s="47" t="b">
        <v>1</v>
      </c>
      <c r="N249" s="47" t="b">
        <v>0</v>
      </c>
      <c r="O249" s="47" t="b">
        <v>1</v>
      </c>
      <c r="P249" s="47" t="b">
        <v>0</v>
      </c>
      <c r="Q249" s="16" t="str">
        <f t="shared" si="3"/>
        <v>mudel | Museum van Deinze en de Leiestreek</v>
      </c>
      <c r="R249" s="48">
        <v>10.0</v>
      </c>
      <c r="S249" s="47" t="b">
        <v>1</v>
      </c>
      <c r="T249" s="47" t="b">
        <v>0</v>
      </c>
      <c r="U249" s="16"/>
      <c r="V249" s="16"/>
      <c r="W249" s="16"/>
      <c r="X249" s="16"/>
      <c r="Y249" s="51"/>
      <c r="Z249" s="16"/>
      <c r="AA249" s="16"/>
      <c r="AB249" s="16"/>
      <c r="AC249" s="16"/>
    </row>
    <row r="250">
      <c r="A250" s="16" t="s">
        <v>521</v>
      </c>
      <c r="B250" s="16" t="s">
        <v>522</v>
      </c>
      <c r="C250" s="17" t="s">
        <v>55</v>
      </c>
      <c r="D250" s="16" t="s">
        <v>9</v>
      </c>
      <c r="E250" s="17" t="b">
        <f t="shared" ref="E250:K250" si="250">IF(IFERROR(SEARCH(E$1, $D250),0) &gt;= 1, TRUE,FALSE)</f>
        <v>0</v>
      </c>
      <c r="F250" s="17" t="b">
        <f t="shared" si="250"/>
        <v>0</v>
      </c>
      <c r="G250" s="17" t="b">
        <f t="shared" si="250"/>
        <v>0</v>
      </c>
      <c r="H250" s="17" t="b">
        <f t="shared" si="250"/>
        <v>0</v>
      </c>
      <c r="I250" s="17" t="b">
        <f t="shared" si="250"/>
        <v>0</v>
      </c>
      <c r="J250" s="17" t="b">
        <f t="shared" si="250"/>
        <v>1</v>
      </c>
      <c r="K250" s="17" t="b">
        <f t="shared" si="250"/>
        <v>0</v>
      </c>
      <c r="L250" s="17"/>
      <c r="M250" s="47" t="b">
        <v>1</v>
      </c>
      <c r="N250" s="47" t="b">
        <v>0</v>
      </c>
      <c r="O250" s="47" t="b">
        <v>1</v>
      </c>
      <c r="P250" s="47" t="b">
        <v>0</v>
      </c>
      <c r="Q250" s="16" t="str">
        <f t="shared" si="3"/>
        <v>Museum Dhondt-Dhaenens</v>
      </c>
      <c r="R250" s="48">
        <v>12.0</v>
      </c>
      <c r="S250" s="47" t="b">
        <v>0</v>
      </c>
      <c r="T250" s="47" t="b">
        <v>0</v>
      </c>
      <c r="U250" s="16"/>
      <c r="V250" s="16"/>
      <c r="W250" s="16"/>
      <c r="X250" s="16"/>
      <c r="Y250" s="51"/>
      <c r="Z250" s="16"/>
      <c r="AA250" s="16"/>
      <c r="AB250" s="16"/>
      <c r="AC250" s="16"/>
    </row>
    <row r="251">
      <c r="A251" s="16" t="s">
        <v>523</v>
      </c>
      <c r="B251" s="16" t="s">
        <v>524</v>
      </c>
      <c r="C251" s="17" t="s">
        <v>55</v>
      </c>
      <c r="D251" s="16" t="s">
        <v>163</v>
      </c>
      <c r="E251" s="17" t="b">
        <f t="shared" ref="E251:K251" si="251">IF(IFERROR(SEARCH(E$1, $D251),0) &gt;= 1, TRUE,FALSE)</f>
        <v>1</v>
      </c>
      <c r="F251" s="17" t="b">
        <f t="shared" si="251"/>
        <v>1</v>
      </c>
      <c r="G251" s="17" t="b">
        <f t="shared" si="251"/>
        <v>0</v>
      </c>
      <c r="H251" s="17" t="b">
        <f t="shared" si="251"/>
        <v>0</v>
      </c>
      <c r="I251" s="17" t="b">
        <f t="shared" si="251"/>
        <v>1</v>
      </c>
      <c r="J251" s="17" t="b">
        <f t="shared" si="251"/>
        <v>1</v>
      </c>
      <c r="K251" s="17" t="b">
        <f t="shared" si="251"/>
        <v>0</v>
      </c>
      <c r="L251" s="17"/>
      <c r="M251" s="47" t="b">
        <v>1</v>
      </c>
      <c r="N251" s="47" t="b">
        <v>1</v>
      </c>
      <c r="O251" s="47" t="b">
        <v>1</v>
      </c>
      <c r="P251" s="47" t="b">
        <v>0</v>
      </c>
      <c r="Q251" s="16" t="str">
        <f t="shared" si="3"/>
        <v>Museum Dr. Guislain</v>
      </c>
      <c r="R251" s="48">
        <v>10.0</v>
      </c>
      <c r="S251" s="47" t="b">
        <v>0</v>
      </c>
      <c r="T251" s="47" t="b">
        <v>1</v>
      </c>
      <c r="U251" s="48">
        <v>10.0</v>
      </c>
      <c r="V251" s="16"/>
      <c r="W251" s="16"/>
      <c r="X251" s="16"/>
      <c r="Y251" s="51"/>
      <c r="Z251" s="16"/>
      <c r="AA251" s="16"/>
      <c r="AB251" s="16"/>
      <c r="AC251" s="16"/>
    </row>
    <row r="252">
      <c r="A252" s="16" t="s">
        <v>525</v>
      </c>
      <c r="B252" s="16" t="s">
        <v>526</v>
      </c>
      <c r="C252" s="17" t="s">
        <v>55</v>
      </c>
      <c r="D252" s="16" t="s">
        <v>9</v>
      </c>
      <c r="E252" s="17" t="b">
        <f t="shared" ref="E252:K252" si="252">IF(IFERROR(SEARCH(E$1, $D252),0) &gt;= 1, TRUE,FALSE)</f>
        <v>0</v>
      </c>
      <c r="F252" s="17" t="b">
        <f t="shared" si="252"/>
        <v>0</v>
      </c>
      <c r="G252" s="17" t="b">
        <f t="shared" si="252"/>
        <v>0</v>
      </c>
      <c r="H252" s="17" t="b">
        <f t="shared" si="252"/>
        <v>0</v>
      </c>
      <c r="I252" s="17" t="b">
        <f t="shared" si="252"/>
        <v>0</v>
      </c>
      <c r="J252" s="17" t="b">
        <f t="shared" si="252"/>
        <v>1</v>
      </c>
      <c r="K252" s="17" t="b">
        <f t="shared" si="252"/>
        <v>0</v>
      </c>
      <c r="L252" s="17"/>
      <c r="M252" s="47" t="b">
        <v>1</v>
      </c>
      <c r="N252" s="47" t="b">
        <v>0</v>
      </c>
      <c r="O252" s="47" t="b">
        <v>0</v>
      </c>
      <c r="P252" s="47" t="b">
        <v>0</v>
      </c>
      <c r="Q252" s="16" t="str">
        <f t="shared" si="3"/>
        <v>Gemeentelijk museum Gevaert-Minne</v>
      </c>
      <c r="R252" s="48">
        <v>5.0</v>
      </c>
      <c r="S252" s="47" t="b">
        <v>0</v>
      </c>
      <c r="T252" s="47" t="b">
        <v>1</v>
      </c>
      <c r="U252" s="48">
        <v>5.0</v>
      </c>
      <c r="V252" s="16"/>
      <c r="W252" s="16"/>
      <c r="X252" s="16"/>
      <c r="Y252" s="51"/>
      <c r="Z252" s="16"/>
      <c r="AA252" s="16"/>
      <c r="AB252" s="16"/>
      <c r="AC252" s="16"/>
    </row>
    <row r="253">
      <c r="A253" s="16" t="s">
        <v>527</v>
      </c>
      <c r="B253" s="16" t="s">
        <v>528</v>
      </c>
      <c r="C253" s="17" t="s">
        <v>55</v>
      </c>
      <c r="D253" s="16" t="s">
        <v>9</v>
      </c>
      <c r="E253" s="17" t="b">
        <f t="shared" ref="E253:K253" si="253">IF(IFERROR(SEARCH(E$1, $D253),0) &gt;= 1, TRUE,FALSE)</f>
        <v>0</v>
      </c>
      <c r="F253" s="17" t="b">
        <f t="shared" si="253"/>
        <v>0</v>
      </c>
      <c r="G253" s="17" t="b">
        <f t="shared" si="253"/>
        <v>0</v>
      </c>
      <c r="H253" s="17" t="b">
        <f t="shared" si="253"/>
        <v>0</v>
      </c>
      <c r="I253" s="17" t="b">
        <f t="shared" si="253"/>
        <v>0</v>
      </c>
      <c r="J253" s="17" t="b">
        <f t="shared" si="253"/>
        <v>1</v>
      </c>
      <c r="K253" s="17" t="b">
        <f t="shared" si="253"/>
        <v>0</v>
      </c>
      <c r="L253" s="17"/>
      <c r="M253" s="47" t="b">
        <v>1</v>
      </c>
      <c r="N253" s="47" t="b">
        <v>0</v>
      </c>
      <c r="O253" s="47" t="b">
        <v>0</v>
      </c>
      <c r="P253" s="47" t="b">
        <v>0</v>
      </c>
      <c r="Q253" s="16" t="str">
        <f t="shared" si="3"/>
        <v>Gemeentelijk museum Gust De Smet</v>
      </c>
      <c r="R253" s="48">
        <v>5.0</v>
      </c>
      <c r="S253" s="47" t="b">
        <v>0</v>
      </c>
      <c r="T253" s="47" t="b">
        <v>0</v>
      </c>
      <c r="U253" s="16"/>
      <c r="V253" s="16"/>
      <c r="W253" s="16"/>
      <c r="X253" s="16"/>
      <c r="Y253" s="51"/>
      <c r="Z253" s="16"/>
      <c r="AA253" s="16"/>
      <c r="AB253" s="16"/>
      <c r="AC253" s="16"/>
    </row>
    <row r="254">
      <c r="A254" s="16" t="s">
        <v>529</v>
      </c>
      <c r="B254" s="16" t="s">
        <v>530</v>
      </c>
      <c r="C254" s="17" t="s">
        <v>55</v>
      </c>
      <c r="D254" s="16" t="s">
        <v>4</v>
      </c>
      <c r="E254" s="17" t="b">
        <f t="shared" ref="E254:K254" si="254">IF(IFERROR(SEARCH(E$1, $D254),0) &gt;= 1, TRUE,FALSE)</f>
        <v>1</v>
      </c>
      <c r="F254" s="17" t="b">
        <f t="shared" si="254"/>
        <v>0</v>
      </c>
      <c r="G254" s="17" t="b">
        <f t="shared" si="254"/>
        <v>0</v>
      </c>
      <c r="H254" s="17" t="b">
        <f t="shared" si="254"/>
        <v>0</v>
      </c>
      <c r="I254" s="17" t="b">
        <f t="shared" si="254"/>
        <v>0</v>
      </c>
      <c r="J254" s="17" t="b">
        <f t="shared" si="254"/>
        <v>0</v>
      </c>
      <c r="K254" s="17" t="b">
        <f t="shared" si="254"/>
        <v>0</v>
      </c>
      <c r="L254" s="17"/>
      <c r="M254" s="47" t="b">
        <v>1</v>
      </c>
      <c r="N254" s="47" t="b">
        <v>1</v>
      </c>
      <c r="O254" s="47" t="b">
        <v>1</v>
      </c>
      <c r="P254" s="47" t="b">
        <v>0</v>
      </c>
      <c r="Q254" s="16" t="str">
        <f t="shared" si="3"/>
        <v>Provinciale Erfgoedsite Ename</v>
      </c>
      <c r="R254" s="48">
        <v>8.0</v>
      </c>
      <c r="S254" s="47" t="b">
        <v>0</v>
      </c>
      <c r="T254" s="47" t="b">
        <v>0</v>
      </c>
      <c r="U254" s="16"/>
      <c r="V254" s="16"/>
      <c r="W254" s="16"/>
      <c r="X254" s="16"/>
      <c r="Y254" s="51"/>
      <c r="Z254" s="16"/>
      <c r="AA254" s="16"/>
      <c r="AB254" s="16"/>
      <c r="AC254" s="16"/>
    </row>
    <row r="255">
      <c r="A255" s="16" t="s">
        <v>531</v>
      </c>
      <c r="B255" s="16" t="s">
        <v>532</v>
      </c>
      <c r="C255" s="17" t="s">
        <v>55</v>
      </c>
      <c r="D255" s="16" t="s">
        <v>4</v>
      </c>
      <c r="E255" s="17" t="b">
        <f t="shared" ref="E255:K255" si="255">IF(IFERROR(SEARCH(E$1, $D255),0) &gt;= 1, TRUE,FALSE)</f>
        <v>1</v>
      </c>
      <c r="F255" s="17" t="b">
        <f t="shared" si="255"/>
        <v>0</v>
      </c>
      <c r="G255" s="17" t="b">
        <f t="shared" si="255"/>
        <v>0</v>
      </c>
      <c r="H255" s="17" t="b">
        <f t="shared" si="255"/>
        <v>0</v>
      </c>
      <c r="I255" s="17" t="b">
        <f t="shared" si="255"/>
        <v>0</v>
      </c>
      <c r="J255" s="17" t="b">
        <f t="shared" si="255"/>
        <v>0</v>
      </c>
      <c r="K255" s="17" t="b">
        <f t="shared" si="255"/>
        <v>0</v>
      </c>
      <c r="L255" s="17"/>
      <c r="M255" s="47" t="b">
        <v>0</v>
      </c>
      <c r="N255" s="47" t="b">
        <v>1</v>
      </c>
      <c r="O255" s="47" t="b">
        <v>1</v>
      </c>
      <c r="P255" s="47" t="b">
        <v>0</v>
      </c>
      <c r="Q255" s="16" t="str">
        <f t="shared" si="3"/>
        <v>Provinciale Erfgoedsite Scheepswerven Baasrode</v>
      </c>
      <c r="R255" s="48">
        <v>8.0</v>
      </c>
      <c r="S255" s="47" t="b">
        <v>0</v>
      </c>
      <c r="T255" s="47" t="b">
        <v>0</v>
      </c>
      <c r="U255" s="16"/>
      <c r="V255" s="16"/>
      <c r="W255" s="16"/>
      <c r="X255" s="16"/>
      <c r="Y255" s="51"/>
      <c r="Z255" s="16"/>
      <c r="AA255" s="16"/>
      <c r="AB255" s="16"/>
      <c r="AC255" s="16"/>
    </row>
    <row r="256">
      <c r="A256" s="16" t="s">
        <v>533</v>
      </c>
      <c r="B256" s="16" t="s">
        <v>534</v>
      </c>
      <c r="C256" s="17" t="s">
        <v>55</v>
      </c>
      <c r="D256" s="16" t="s">
        <v>4</v>
      </c>
      <c r="E256" s="17" t="b">
        <f t="shared" ref="E256:K256" si="256">IF(IFERROR(SEARCH(E$1, $D256),0) &gt;= 1, TRUE,FALSE)</f>
        <v>1</v>
      </c>
      <c r="F256" s="17" t="b">
        <f t="shared" si="256"/>
        <v>0</v>
      </c>
      <c r="G256" s="17" t="b">
        <f t="shared" si="256"/>
        <v>0</v>
      </c>
      <c r="H256" s="17" t="b">
        <f t="shared" si="256"/>
        <v>0</v>
      </c>
      <c r="I256" s="17" t="b">
        <f t="shared" si="256"/>
        <v>0</v>
      </c>
      <c r="J256" s="17" t="b">
        <f t="shared" si="256"/>
        <v>0</v>
      </c>
      <c r="K256" s="17" t="b">
        <f t="shared" si="256"/>
        <v>0</v>
      </c>
      <c r="L256" s="17"/>
      <c r="M256" s="47" t="b">
        <v>0</v>
      </c>
      <c r="N256" s="47" t="b">
        <v>0</v>
      </c>
      <c r="O256" s="47" t="b">
        <v>1</v>
      </c>
      <c r="P256" s="47" t="b">
        <v>0</v>
      </c>
      <c r="Q256" s="16" t="str">
        <f t="shared" si="3"/>
        <v>Provinciale Erfgoedsite Archeocentrum Velzeke</v>
      </c>
      <c r="R256" s="48">
        <v>8.0</v>
      </c>
      <c r="S256" s="47" t="b">
        <v>0</v>
      </c>
      <c r="T256" s="47" t="b">
        <v>1</v>
      </c>
      <c r="U256" s="48">
        <v>8.0</v>
      </c>
      <c r="V256" s="16"/>
      <c r="W256" s="16"/>
      <c r="X256" s="16"/>
      <c r="Y256" s="51"/>
      <c r="Z256" s="16"/>
      <c r="AA256" s="16"/>
      <c r="AB256" s="16"/>
      <c r="AC256" s="16"/>
    </row>
    <row r="257">
      <c r="A257" s="16" t="s">
        <v>535</v>
      </c>
      <c r="B257" s="16" t="s">
        <v>536</v>
      </c>
      <c r="C257" s="17" t="s">
        <v>55</v>
      </c>
      <c r="D257" s="16" t="s">
        <v>9</v>
      </c>
      <c r="E257" s="17" t="b">
        <f t="shared" ref="E257:K257" si="257">IF(IFERROR(SEARCH(E$1, $D257),0) &gt;= 1, TRUE,FALSE)</f>
        <v>0</v>
      </c>
      <c r="F257" s="17" t="b">
        <f t="shared" si="257"/>
        <v>0</v>
      </c>
      <c r="G257" s="17" t="b">
        <f t="shared" si="257"/>
        <v>0</v>
      </c>
      <c r="H257" s="17" t="b">
        <f t="shared" si="257"/>
        <v>0</v>
      </c>
      <c r="I257" s="17" t="b">
        <f t="shared" si="257"/>
        <v>0</v>
      </c>
      <c r="J257" s="17" t="b">
        <f t="shared" si="257"/>
        <v>1</v>
      </c>
      <c r="K257" s="17" t="b">
        <f t="shared" si="257"/>
        <v>0</v>
      </c>
      <c r="L257" s="17"/>
      <c r="M257" s="47" t="b">
        <v>1</v>
      </c>
      <c r="N257" s="47" t="b">
        <v>0</v>
      </c>
      <c r="O257" s="47" t="b">
        <v>1</v>
      </c>
      <c r="P257" s="47" t="b">
        <v>0</v>
      </c>
      <c r="Q257" s="16" t="str">
        <f t="shared" si="3"/>
        <v>Roger Raveelmuseum</v>
      </c>
      <c r="R257" s="48">
        <v>10.0</v>
      </c>
      <c r="S257" s="47" t="b">
        <v>1</v>
      </c>
      <c r="T257" s="47" t="b">
        <v>0</v>
      </c>
      <c r="U257" s="16"/>
      <c r="V257" s="16"/>
      <c r="W257" s="16"/>
      <c r="X257" s="16"/>
      <c r="Y257" s="51"/>
      <c r="Z257" s="16"/>
      <c r="AA257" s="16"/>
      <c r="AB257" s="16"/>
      <c r="AC257" s="16"/>
    </row>
    <row r="258">
      <c r="A258" s="16" t="s">
        <v>537</v>
      </c>
      <c r="B258" s="16" t="s">
        <v>538</v>
      </c>
      <c r="C258" s="17" t="s">
        <v>55</v>
      </c>
      <c r="D258" s="16" t="s">
        <v>156</v>
      </c>
      <c r="E258" s="17" t="b">
        <f t="shared" ref="E258:K258" si="258">IF(IFERROR(SEARCH(E$1, $D258),0) &gt;= 1, TRUE,FALSE)</f>
        <v>1</v>
      </c>
      <c r="F258" s="17" t="b">
        <f t="shared" si="258"/>
        <v>0</v>
      </c>
      <c r="G258" s="17" t="b">
        <f t="shared" si="258"/>
        <v>0</v>
      </c>
      <c r="H258" s="17" t="b">
        <f t="shared" si="258"/>
        <v>1</v>
      </c>
      <c r="I258" s="17" t="b">
        <f t="shared" si="258"/>
        <v>0</v>
      </c>
      <c r="J258" s="17" t="b">
        <f t="shared" si="258"/>
        <v>0</v>
      </c>
      <c r="K258" s="17" t="b">
        <f t="shared" si="258"/>
        <v>0</v>
      </c>
      <c r="L258" s="17"/>
      <c r="M258" s="47" t="b">
        <v>1</v>
      </c>
      <c r="N258" s="47" t="b">
        <v>1</v>
      </c>
      <c r="O258" s="47" t="b">
        <v>1</v>
      </c>
      <c r="P258" s="47" t="b">
        <v>0</v>
      </c>
      <c r="Q258" s="16" t="str">
        <f t="shared" si="3"/>
        <v>Sint-Pietersabdij Gent</v>
      </c>
      <c r="R258" s="48">
        <v>0.0</v>
      </c>
      <c r="S258" s="47" t="b">
        <v>0</v>
      </c>
      <c r="T258" s="47" t="b">
        <v>1</v>
      </c>
      <c r="U258" s="48">
        <v>13.0</v>
      </c>
      <c r="V258" s="16"/>
      <c r="W258" s="16"/>
      <c r="X258" s="16"/>
      <c r="Y258" s="51"/>
      <c r="Z258" s="16"/>
      <c r="AA258" s="16"/>
      <c r="AB258" s="16"/>
      <c r="AC258" s="16"/>
    </row>
    <row r="259">
      <c r="A259" s="16" t="s">
        <v>539</v>
      </c>
      <c r="B259" s="16"/>
      <c r="C259" s="17" t="s">
        <v>55</v>
      </c>
      <c r="D259" s="16" t="s">
        <v>9</v>
      </c>
      <c r="E259" s="17" t="b">
        <f t="shared" ref="E259:K259" si="259">IF(IFERROR(SEARCH(E$1, $D259),0) &gt;= 1, TRUE,FALSE)</f>
        <v>0</v>
      </c>
      <c r="F259" s="17" t="b">
        <f t="shared" si="259"/>
        <v>0</v>
      </c>
      <c r="G259" s="17" t="b">
        <f t="shared" si="259"/>
        <v>0</v>
      </c>
      <c r="H259" s="17" t="b">
        <f t="shared" si="259"/>
        <v>0</v>
      </c>
      <c r="I259" s="17" t="b">
        <f t="shared" si="259"/>
        <v>0</v>
      </c>
      <c r="J259" s="17" t="b">
        <f t="shared" si="259"/>
        <v>1</v>
      </c>
      <c r="K259" s="17" t="b">
        <f t="shared" si="259"/>
        <v>0</v>
      </c>
      <c r="L259" s="17"/>
      <c r="M259" s="47" t="b">
        <v>1</v>
      </c>
      <c r="N259" s="47" t="b">
        <v>1</v>
      </c>
      <c r="O259" s="47" t="b">
        <v>1</v>
      </c>
      <c r="P259" s="47" t="b">
        <v>1</v>
      </c>
      <c r="Q259" s="16" t="str">
        <f t="shared" si="3"/>
        <v>S.M.A.K.</v>
      </c>
      <c r="R259" s="48">
        <v>15.0</v>
      </c>
      <c r="S259" s="47" t="b">
        <v>0</v>
      </c>
      <c r="T259" s="47" t="b">
        <v>1</v>
      </c>
      <c r="U259" s="48">
        <v>18.0</v>
      </c>
      <c r="V259" s="16"/>
      <c r="W259" s="16"/>
      <c r="X259" s="16"/>
      <c r="Y259" s="51"/>
      <c r="Z259" s="16"/>
      <c r="AA259" s="16"/>
      <c r="AB259" s="16"/>
      <c r="AC259" s="16"/>
    </row>
    <row r="260">
      <c r="A260" s="16" t="s">
        <v>540</v>
      </c>
      <c r="B260" s="16" t="s">
        <v>541</v>
      </c>
      <c r="C260" s="17" t="s">
        <v>55</v>
      </c>
      <c r="D260" s="16" t="s">
        <v>4</v>
      </c>
      <c r="E260" s="17" t="b">
        <f t="shared" ref="E260:K260" si="260">IF(IFERROR(SEARCH(E$1, $D260),0) &gt;= 1, TRUE,FALSE)</f>
        <v>1</v>
      </c>
      <c r="F260" s="17" t="b">
        <f t="shared" si="260"/>
        <v>0</v>
      </c>
      <c r="G260" s="17" t="b">
        <f t="shared" si="260"/>
        <v>0</v>
      </c>
      <c r="H260" s="17" t="b">
        <f t="shared" si="260"/>
        <v>0</v>
      </c>
      <c r="I260" s="17" t="b">
        <f t="shared" si="260"/>
        <v>0</v>
      </c>
      <c r="J260" s="17" t="b">
        <f t="shared" si="260"/>
        <v>0</v>
      </c>
      <c r="K260" s="17" t="b">
        <f t="shared" si="260"/>
        <v>0</v>
      </c>
      <c r="L260" s="17"/>
      <c r="M260" s="47" t="b">
        <v>1</v>
      </c>
      <c r="N260" s="47" t="b">
        <v>1</v>
      </c>
      <c r="O260" s="47" t="b">
        <v>0</v>
      </c>
      <c r="P260" s="47" t="b">
        <v>1</v>
      </c>
      <c r="Q260" s="16" t="str">
        <f t="shared" si="3"/>
        <v>STAM | Stadsmuseum Gent</v>
      </c>
      <c r="R260" s="48">
        <v>11.0</v>
      </c>
      <c r="S260" s="47" t="b">
        <v>0</v>
      </c>
      <c r="T260" s="47" t="b">
        <v>1</v>
      </c>
      <c r="U260" s="48">
        <v>11.0</v>
      </c>
      <c r="V260" s="16"/>
      <c r="W260" s="16"/>
      <c r="X260" s="16"/>
      <c r="Y260" s="51"/>
      <c r="Z260" s="16"/>
      <c r="AA260" s="16"/>
      <c r="AB260" s="16"/>
      <c r="AC260" s="16"/>
    </row>
    <row r="261">
      <c r="A261" s="16" t="s">
        <v>542</v>
      </c>
      <c r="B261" s="16" t="s">
        <v>543</v>
      </c>
      <c r="C261" s="17" t="s">
        <v>55</v>
      </c>
      <c r="D261" s="16" t="s">
        <v>95</v>
      </c>
      <c r="E261" s="17" t="b">
        <f t="shared" ref="E261:K261" si="261">IF(IFERROR(SEARCH(E$1, $D261),0) &gt;= 1, TRUE,FALSE)</f>
        <v>1</v>
      </c>
      <c r="F261" s="17" t="b">
        <f t="shared" si="261"/>
        <v>0</v>
      </c>
      <c r="G261" s="17" t="b">
        <f t="shared" si="261"/>
        <v>0</v>
      </c>
      <c r="H261" s="17" t="b">
        <f t="shared" si="261"/>
        <v>0</v>
      </c>
      <c r="I261" s="17" t="b">
        <f t="shared" si="261"/>
        <v>0</v>
      </c>
      <c r="J261" s="17" t="b">
        <f t="shared" si="261"/>
        <v>1</v>
      </c>
      <c r="K261" s="17" t="b">
        <f t="shared" si="261"/>
        <v>0</v>
      </c>
      <c r="L261" s="17"/>
      <c r="M261" s="47" t="b">
        <v>0</v>
      </c>
      <c r="N261" s="47" t="b">
        <v>0</v>
      </c>
      <c r="O261" s="47" t="b">
        <v>0</v>
      </c>
      <c r="P261" s="47" t="b">
        <v>0</v>
      </c>
      <c r="Q261" s="16" t="str">
        <f t="shared" si="3"/>
        <v>‘t Gasthuys | Stedelijk Museum Aalst</v>
      </c>
      <c r="R261" s="48">
        <v>0.0</v>
      </c>
      <c r="S261" s="47" t="b">
        <v>0</v>
      </c>
      <c r="T261" s="47" t="b">
        <v>0</v>
      </c>
      <c r="U261" s="16"/>
      <c r="V261" s="16"/>
      <c r="W261" s="16"/>
      <c r="X261" s="16"/>
      <c r="Y261" s="51"/>
      <c r="Z261" s="16"/>
      <c r="AA261" s="16"/>
      <c r="AB261" s="16"/>
      <c r="AC261" s="16"/>
    </row>
    <row r="262">
      <c r="A262" s="16"/>
      <c r="B262" s="16"/>
      <c r="C262" s="17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49">
        <f>RANDBETWEEN(0,22.5)</f>
        <v>1</v>
      </c>
      <c r="S262" s="16"/>
      <c r="T262" s="16"/>
      <c r="U262" s="51"/>
      <c r="V262" s="16"/>
      <c r="W262" s="16"/>
      <c r="X262" s="16"/>
      <c r="Y262" s="51"/>
      <c r="Z262" s="16"/>
      <c r="AA262" s="16"/>
      <c r="AB262" s="16"/>
      <c r="AC262" s="16"/>
    </row>
    <row r="263">
      <c r="A263" s="16"/>
      <c r="B263" s="16"/>
      <c r="C263" s="17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49">
        <f t="shared" ref="R263:R315" si="262">RANDBETWEEN(0,22)</f>
        <v>5</v>
      </c>
      <c r="S263" s="16"/>
      <c r="T263" s="16"/>
      <c r="U263" s="51"/>
      <c r="V263" s="16"/>
      <c r="W263" s="16"/>
      <c r="X263" s="16"/>
      <c r="Y263" s="51"/>
      <c r="Z263" s="16"/>
      <c r="AA263" s="16"/>
      <c r="AB263" s="16"/>
      <c r="AC263" s="16"/>
    </row>
    <row r="264">
      <c r="A264" s="16"/>
      <c r="B264" s="16"/>
      <c r="C264" s="17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49">
        <f t="shared" si="262"/>
        <v>11</v>
      </c>
      <c r="S264" s="16"/>
      <c r="T264" s="16"/>
      <c r="U264" s="51"/>
      <c r="V264" s="16"/>
      <c r="W264" s="16"/>
      <c r="X264" s="16"/>
      <c r="Y264" s="51"/>
      <c r="Z264" s="16"/>
      <c r="AA264" s="16"/>
      <c r="AB264" s="16"/>
      <c r="AC264" s="16"/>
    </row>
    <row r="265">
      <c r="A265" s="16"/>
      <c r="B265" s="16"/>
      <c r="C265" s="17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49">
        <f t="shared" si="262"/>
        <v>18</v>
      </c>
      <c r="S265" s="16"/>
      <c r="T265" s="16"/>
      <c r="U265" s="51"/>
      <c r="V265" s="16"/>
      <c r="W265" s="16"/>
      <c r="X265" s="16"/>
      <c r="Y265" s="51"/>
      <c r="Z265" s="16"/>
      <c r="AA265" s="16"/>
      <c r="AB265" s="16"/>
      <c r="AC265" s="16"/>
    </row>
    <row r="266">
      <c r="A266" s="16"/>
      <c r="B266" s="16"/>
      <c r="C266" s="17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49">
        <f t="shared" si="262"/>
        <v>12</v>
      </c>
      <c r="S266" s="16"/>
      <c r="T266" s="16"/>
      <c r="U266" s="51"/>
      <c r="V266" s="16"/>
      <c r="W266" s="16"/>
      <c r="X266" s="16"/>
      <c r="Y266" s="51"/>
      <c r="Z266" s="16"/>
      <c r="AA266" s="16"/>
      <c r="AB266" s="16"/>
      <c r="AC266" s="16"/>
    </row>
    <row r="267">
      <c r="A267" s="16"/>
      <c r="B267" s="16"/>
      <c r="C267" s="17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49">
        <f t="shared" si="262"/>
        <v>16</v>
      </c>
      <c r="S267" s="16"/>
      <c r="T267" s="16"/>
      <c r="U267" s="51"/>
      <c r="V267" s="16"/>
      <c r="W267" s="16"/>
      <c r="X267" s="16"/>
      <c r="Y267" s="51"/>
      <c r="Z267" s="16"/>
      <c r="AA267" s="16"/>
      <c r="AB267" s="16"/>
      <c r="AC267" s="16"/>
    </row>
    <row r="268">
      <c r="A268" s="16"/>
      <c r="B268" s="16"/>
      <c r="C268" s="17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49">
        <f t="shared" si="262"/>
        <v>5</v>
      </c>
      <c r="S268" s="16"/>
      <c r="T268" s="16"/>
      <c r="U268" s="51"/>
      <c r="V268" s="16"/>
      <c r="W268" s="16"/>
      <c r="X268" s="16"/>
      <c r="Y268" s="51"/>
      <c r="Z268" s="16"/>
      <c r="AA268" s="16"/>
      <c r="AB268" s="16"/>
      <c r="AC268" s="16"/>
    </row>
    <row r="269">
      <c r="A269" s="16"/>
      <c r="B269" s="16"/>
      <c r="C269" s="17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49">
        <f t="shared" si="262"/>
        <v>6</v>
      </c>
      <c r="S269" s="16"/>
      <c r="T269" s="16"/>
      <c r="U269" s="51"/>
      <c r="V269" s="16"/>
      <c r="W269" s="16"/>
      <c r="X269" s="16"/>
      <c r="Y269" s="51"/>
      <c r="Z269" s="16"/>
      <c r="AA269" s="16"/>
      <c r="AB269" s="16"/>
      <c r="AC269" s="16"/>
    </row>
    <row r="270">
      <c r="A270" s="16"/>
      <c r="B270" s="16"/>
      <c r="C270" s="17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49">
        <f t="shared" si="262"/>
        <v>9</v>
      </c>
      <c r="S270" s="16"/>
      <c r="T270" s="16"/>
      <c r="U270" s="51"/>
      <c r="V270" s="16"/>
      <c r="W270" s="16"/>
      <c r="X270" s="16"/>
      <c r="Y270" s="51"/>
      <c r="Z270" s="16"/>
      <c r="AA270" s="16"/>
      <c r="AB270" s="16"/>
      <c r="AC270" s="16"/>
    </row>
    <row r="271">
      <c r="A271" s="16"/>
      <c r="B271" s="16"/>
      <c r="C271" s="17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49">
        <f t="shared" si="262"/>
        <v>18</v>
      </c>
      <c r="S271" s="16"/>
      <c r="T271" s="16"/>
      <c r="U271" s="51"/>
      <c r="V271" s="16"/>
      <c r="W271" s="16"/>
      <c r="X271" s="16"/>
      <c r="Y271" s="51"/>
      <c r="Z271" s="16"/>
      <c r="AA271" s="16"/>
      <c r="AB271" s="16"/>
      <c r="AC271" s="16"/>
    </row>
    <row r="272">
      <c r="A272" s="16"/>
      <c r="B272" s="16"/>
      <c r="C272" s="17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49">
        <f t="shared" si="262"/>
        <v>14</v>
      </c>
      <c r="S272" s="16"/>
      <c r="T272" s="16"/>
      <c r="U272" s="51"/>
      <c r="V272" s="16"/>
      <c r="W272" s="16"/>
      <c r="X272" s="16"/>
      <c r="Y272" s="51"/>
      <c r="Z272" s="16"/>
      <c r="AA272" s="16"/>
      <c r="AB272" s="16"/>
      <c r="AC272" s="16"/>
    </row>
    <row r="273">
      <c r="A273" s="16"/>
      <c r="B273" s="16"/>
      <c r="C273" s="17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49">
        <f t="shared" si="262"/>
        <v>14</v>
      </c>
      <c r="S273" s="16"/>
      <c r="T273" s="16"/>
      <c r="U273" s="51"/>
      <c r="V273" s="16"/>
      <c r="W273" s="16"/>
      <c r="X273" s="16"/>
      <c r="Y273" s="51"/>
      <c r="Z273" s="16"/>
      <c r="AA273" s="16"/>
      <c r="AB273" s="16"/>
      <c r="AC273" s="16"/>
    </row>
    <row r="274">
      <c r="A274" s="16"/>
      <c r="B274" s="16"/>
      <c r="C274" s="17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49">
        <f t="shared" si="262"/>
        <v>15</v>
      </c>
      <c r="S274" s="16"/>
      <c r="T274" s="16"/>
      <c r="U274" s="51"/>
      <c r="V274" s="16"/>
      <c r="W274" s="16"/>
      <c r="X274" s="16"/>
      <c r="Y274" s="51"/>
      <c r="Z274" s="16"/>
      <c r="AA274" s="16"/>
      <c r="AB274" s="16"/>
      <c r="AC274" s="16"/>
    </row>
    <row r="275">
      <c r="A275" s="16"/>
      <c r="B275" s="16"/>
      <c r="C275" s="17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49">
        <f t="shared" si="262"/>
        <v>22</v>
      </c>
      <c r="S275" s="16"/>
      <c r="T275" s="16"/>
      <c r="U275" s="51"/>
      <c r="V275" s="16"/>
      <c r="W275" s="16"/>
      <c r="X275" s="16"/>
      <c r="Y275" s="51"/>
      <c r="Z275" s="16"/>
      <c r="AA275" s="16"/>
      <c r="AB275" s="16"/>
      <c r="AC275" s="16"/>
    </row>
    <row r="276">
      <c r="A276" s="16"/>
      <c r="B276" s="16"/>
      <c r="C276" s="17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49">
        <f t="shared" si="262"/>
        <v>10</v>
      </c>
      <c r="S276" s="16"/>
      <c r="T276" s="16"/>
      <c r="U276" s="51"/>
      <c r="V276" s="16"/>
      <c r="W276" s="16"/>
      <c r="X276" s="16"/>
      <c r="Y276" s="51"/>
      <c r="Z276" s="16"/>
      <c r="AA276" s="16"/>
      <c r="AB276" s="16"/>
      <c r="AC276" s="16"/>
    </row>
    <row r="277">
      <c r="A277" s="16"/>
      <c r="B277" s="16"/>
      <c r="C277" s="17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49">
        <f t="shared" si="262"/>
        <v>9</v>
      </c>
      <c r="S277" s="16"/>
      <c r="T277" s="16"/>
      <c r="U277" s="51"/>
      <c r="V277" s="16"/>
      <c r="W277" s="16"/>
      <c r="X277" s="16"/>
      <c r="Y277" s="51"/>
      <c r="Z277" s="16"/>
      <c r="AA277" s="16"/>
      <c r="AB277" s="16"/>
      <c r="AC277" s="16"/>
    </row>
    <row r="278">
      <c r="A278" s="16"/>
      <c r="B278" s="16"/>
      <c r="C278" s="17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49">
        <f t="shared" si="262"/>
        <v>18</v>
      </c>
      <c r="S278" s="16"/>
      <c r="T278" s="16"/>
      <c r="U278" s="51"/>
      <c r="V278" s="16"/>
      <c r="W278" s="16"/>
      <c r="X278" s="16"/>
      <c r="Y278" s="51"/>
      <c r="Z278" s="16"/>
      <c r="AA278" s="16"/>
      <c r="AB278" s="16"/>
      <c r="AC278" s="16"/>
    </row>
    <row r="279">
      <c r="A279" s="16"/>
      <c r="B279" s="16"/>
      <c r="C279" s="17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49">
        <f t="shared" si="262"/>
        <v>9</v>
      </c>
      <c r="S279" s="16"/>
      <c r="T279" s="16"/>
      <c r="U279" s="51"/>
      <c r="V279" s="16"/>
      <c r="W279" s="16"/>
      <c r="X279" s="16"/>
      <c r="Y279" s="51"/>
      <c r="Z279" s="16"/>
      <c r="AA279" s="16"/>
      <c r="AB279" s="16"/>
      <c r="AC279" s="16"/>
    </row>
    <row r="280">
      <c r="A280" s="16"/>
      <c r="B280" s="16"/>
      <c r="C280" s="17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49">
        <f t="shared" si="262"/>
        <v>1</v>
      </c>
      <c r="S280" s="16"/>
      <c r="T280" s="16"/>
      <c r="U280" s="51"/>
      <c r="V280" s="16"/>
      <c r="W280" s="16"/>
      <c r="X280" s="16"/>
      <c r="Y280" s="51"/>
      <c r="Z280" s="16"/>
      <c r="AA280" s="16"/>
      <c r="AB280" s="16"/>
      <c r="AC280" s="16"/>
    </row>
    <row r="281">
      <c r="A281" s="16"/>
      <c r="B281" s="16"/>
      <c r="C281" s="17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49">
        <f t="shared" si="262"/>
        <v>2</v>
      </c>
      <c r="S281" s="16"/>
      <c r="T281" s="16"/>
      <c r="U281" s="51"/>
      <c r="V281" s="16"/>
      <c r="W281" s="16"/>
      <c r="X281" s="16"/>
      <c r="Y281" s="51"/>
      <c r="Z281" s="16"/>
      <c r="AA281" s="16"/>
      <c r="AB281" s="16"/>
      <c r="AC281" s="16"/>
    </row>
    <row r="282">
      <c r="A282" s="16"/>
      <c r="B282" s="16"/>
      <c r="C282" s="17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49">
        <f t="shared" si="262"/>
        <v>11</v>
      </c>
      <c r="S282" s="16"/>
      <c r="T282" s="16"/>
      <c r="U282" s="51"/>
      <c r="V282" s="16"/>
      <c r="W282" s="16"/>
      <c r="X282" s="16"/>
      <c r="Y282" s="51"/>
      <c r="Z282" s="16"/>
      <c r="AA282" s="16"/>
      <c r="AB282" s="16"/>
      <c r="AC282" s="16"/>
    </row>
    <row r="283">
      <c r="A283" s="16"/>
      <c r="B283" s="16"/>
      <c r="C283" s="17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49">
        <f t="shared" si="262"/>
        <v>21</v>
      </c>
      <c r="S283" s="16"/>
      <c r="T283" s="16"/>
      <c r="U283" s="51"/>
      <c r="V283" s="16"/>
      <c r="W283" s="16"/>
      <c r="X283" s="16"/>
      <c r="Y283" s="51"/>
      <c r="Z283" s="16"/>
      <c r="AA283" s="16"/>
      <c r="AB283" s="16"/>
      <c r="AC283" s="16"/>
    </row>
    <row r="284">
      <c r="A284" s="16"/>
      <c r="B284" s="16"/>
      <c r="C284" s="17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49">
        <f t="shared" si="262"/>
        <v>18</v>
      </c>
      <c r="S284" s="16"/>
      <c r="T284" s="16"/>
      <c r="U284" s="51"/>
      <c r="V284" s="16"/>
      <c r="W284" s="16"/>
      <c r="X284" s="16"/>
      <c r="Y284" s="51"/>
      <c r="Z284" s="16"/>
      <c r="AA284" s="16"/>
      <c r="AB284" s="16"/>
      <c r="AC284" s="16"/>
    </row>
    <row r="285">
      <c r="A285" s="16"/>
      <c r="B285" s="16"/>
      <c r="C285" s="17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49">
        <f t="shared" si="262"/>
        <v>4</v>
      </c>
      <c r="S285" s="16"/>
      <c r="T285" s="16"/>
      <c r="U285" s="51"/>
      <c r="V285" s="16"/>
      <c r="W285" s="16"/>
      <c r="X285" s="16"/>
      <c r="Y285" s="51"/>
      <c r="Z285" s="16"/>
      <c r="AA285" s="16"/>
      <c r="AB285" s="16"/>
      <c r="AC285" s="16"/>
    </row>
    <row r="286">
      <c r="A286" s="16"/>
      <c r="B286" s="16"/>
      <c r="C286" s="17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49">
        <f t="shared" si="262"/>
        <v>1</v>
      </c>
      <c r="S286" s="16"/>
      <c r="T286" s="16"/>
      <c r="U286" s="51"/>
      <c r="V286" s="16"/>
      <c r="W286" s="16"/>
      <c r="X286" s="16"/>
      <c r="Y286" s="51"/>
      <c r="Z286" s="16"/>
      <c r="AA286" s="16"/>
      <c r="AB286" s="16"/>
      <c r="AC286" s="16"/>
    </row>
    <row r="287">
      <c r="A287" s="16"/>
      <c r="B287" s="16"/>
      <c r="C287" s="17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49">
        <f t="shared" si="262"/>
        <v>14</v>
      </c>
      <c r="S287" s="16"/>
      <c r="T287" s="16"/>
      <c r="U287" s="51"/>
      <c r="V287" s="16"/>
      <c r="W287" s="16"/>
      <c r="X287" s="16"/>
      <c r="Y287" s="51"/>
      <c r="Z287" s="16"/>
      <c r="AA287" s="16"/>
      <c r="AB287" s="16"/>
      <c r="AC287" s="16"/>
    </row>
    <row r="288">
      <c r="A288" s="16"/>
      <c r="B288" s="16"/>
      <c r="C288" s="17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49">
        <f t="shared" si="262"/>
        <v>21</v>
      </c>
      <c r="S288" s="16"/>
      <c r="T288" s="16"/>
      <c r="U288" s="51"/>
      <c r="V288" s="16"/>
      <c r="W288" s="16"/>
      <c r="X288" s="16"/>
      <c r="Y288" s="51"/>
      <c r="Z288" s="16"/>
      <c r="AA288" s="16"/>
      <c r="AB288" s="16"/>
      <c r="AC288" s="16"/>
    </row>
    <row r="289">
      <c r="A289" s="16"/>
      <c r="B289" s="16"/>
      <c r="C289" s="17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49">
        <f t="shared" si="262"/>
        <v>15</v>
      </c>
      <c r="S289" s="16"/>
      <c r="T289" s="16"/>
      <c r="U289" s="51"/>
      <c r="V289" s="16"/>
      <c r="W289" s="16"/>
      <c r="X289" s="16"/>
      <c r="Y289" s="51"/>
      <c r="Z289" s="16"/>
      <c r="AA289" s="16"/>
      <c r="AB289" s="16"/>
      <c r="AC289" s="16"/>
    </row>
    <row r="290">
      <c r="A290" s="16"/>
      <c r="B290" s="16"/>
      <c r="C290" s="17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49">
        <f t="shared" si="262"/>
        <v>0</v>
      </c>
      <c r="S290" s="16"/>
      <c r="T290" s="16"/>
      <c r="U290" s="51"/>
      <c r="V290" s="16"/>
      <c r="W290" s="16"/>
      <c r="X290" s="16"/>
      <c r="Y290" s="51"/>
      <c r="Z290" s="16"/>
      <c r="AA290" s="16"/>
      <c r="AB290" s="16"/>
      <c r="AC290" s="16"/>
    </row>
    <row r="291">
      <c r="A291" s="16"/>
      <c r="B291" s="16"/>
      <c r="C291" s="17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49">
        <f t="shared" si="262"/>
        <v>21</v>
      </c>
      <c r="S291" s="16"/>
      <c r="T291" s="16"/>
      <c r="U291" s="51"/>
      <c r="V291" s="16"/>
      <c r="W291" s="16"/>
      <c r="X291" s="16"/>
      <c r="Y291" s="51"/>
      <c r="Z291" s="16"/>
      <c r="AA291" s="16"/>
      <c r="AB291" s="16"/>
      <c r="AC291" s="16"/>
    </row>
    <row r="292">
      <c r="A292" s="16"/>
      <c r="B292" s="16"/>
      <c r="C292" s="17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49">
        <f t="shared" si="262"/>
        <v>4</v>
      </c>
      <c r="S292" s="16"/>
      <c r="T292" s="16"/>
      <c r="U292" s="51"/>
      <c r="V292" s="16"/>
      <c r="W292" s="16"/>
      <c r="X292" s="16"/>
      <c r="Y292" s="51"/>
      <c r="Z292" s="16"/>
      <c r="AA292" s="16"/>
      <c r="AB292" s="16"/>
      <c r="AC292" s="16"/>
    </row>
    <row r="293">
      <c r="A293" s="16"/>
      <c r="B293" s="16"/>
      <c r="C293" s="17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49">
        <f t="shared" si="262"/>
        <v>12</v>
      </c>
      <c r="S293" s="16"/>
      <c r="T293" s="16"/>
      <c r="U293" s="51"/>
      <c r="V293" s="16"/>
      <c r="W293" s="16"/>
      <c r="X293" s="16"/>
      <c r="Y293" s="51"/>
      <c r="Z293" s="16"/>
      <c r="AA293" s="16"/>
      <c r="AB293" s="16"/>
      <c r="AC293" s="16"/>
    </row>
    <row r="294">
      <c r="A294" s="16"/>
      <c r="B294" s="16"/>
      <c r="C294" s="17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49">
        <f t="shared" si="262"/>
        <v>0</v>
      </c>
      <c r="S294" s="16"/>
      <c r="T294" s="16"/>
      <c r="U294" s="51"/>
      <c r="V294" s="16"/>
      <c r="W294" s="16"/>
      <c r="X294" s="16"/>
      <c r="Y294" s="51"/>
      <c r="Z294" s="16"/>
      <c r="AA294" s="16"/>
      <c r="AB294" s="16"/>
      <c r="AC294" s="16"/>
    </row>
    <row r="295">
      <c r="A295" s="16"/>
      <c r="B295" s="16"/>
      <c r="C295" s="17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49">
        <f t="shared" si="262"/>
        <v>12</v>
      </c>
      <c r="S295" s="16"/>
      <c r="T295" s="16"/>
      <c r="U295" s="51"/>
      <c r="V295" s="16"/>
      <c r="W295" s="16"/>
      <c r="X295" s="16"/>
      <c r="Y295" s="51"/>
      <c r="Z295" s="16"/>
      <c r="AA295" s="16"/>
      <c r="AB295" s="16"/>
      <c r="AC295" s="16"/>
    </row>
    <row r="296">
      <c r="A296" s="16"/>
      <c r="B296" s="16"/>
      <c r="C296" s="17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49">
        <f t="shared" si="262"/>
        <v>4</v>
      </c>
      <c r="S296" s="16"/>
      <c r="T296" s="16"/>
      <c r="U296" s="51"/>
      <c r="V296" s="16"/>
      <c r="W296" s="16"/>
      <c r="X296" s="16"/>
      <c r="Y296" s="51"/>
      <c r="Z296" s="16"/>
      <c r="AA296" s="16"/>
      <c r="AB296" s="16"/>
      <c r="AC296" s="16"/>
    </row>
    <row r="297">
      <c r="A297" s="16"/>
      <c r="B297" s="16"/>
      <c r="C297" s="17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49">
        <f t="shared" si="262"/>
        <v>4</v>
      </c>
      <c r="S297" s="16"/>
      <c r="T297" s="16"/>
      <c r="U297" s="51"/>
      <c r="V297" s="16"/>
      <c r="W297" s="16"/>
      <c r="X297" s="16"/>
      <c r="Y297" s="51"/>
      <c r="Z297" s="16"/>
      <c r="AA297" s="16"/>
      <c r="AB297" s="16"/>
      <c r="AC297" s="16"/>
    </row>
    <row r="298">
      <c r="A298" s="16"/>
      <c r="B298" s="16"/>
      <c r="C298" s="17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49">
        <f t="shared" si="262"/>
        <v>12</v>
      </c>
      <c r="S298" s="16"/>
      <c r="T298" s="16"/>
      <c r="U298" s="51"/>
      <c r="V298" s="16"/>
      <c r="W298" s="16"/>
      <c r="X298" s="16"/>
      <c r="Y298" s="51"/>
      <c r="Z298" s="16"/>
      <c r="AA298" s="16"/>
      <c r="AB298" s="16"/>
      <c r="AC298" s="16"/>
    </row>
    <row r="299">
      <c r="A299" s="16"/>
      <c r="B299" s="16"/>
      <c r="C299" s="17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49">
        <f t="shared" si="262"/>
        <v>11</v>
      </c>
      <c r="S299" s="16"/>
      <c r="T299" s="16"/>
      <c r="U299" s="51"/>
      <c r="V299" s="16"/>
      <c r="W299" s="16"/>
      <c r="X299" s="16"/>
      <c r="Y299" s="51"/>
      <c r="Z299" s="16"/>
      <c r="AA299" s="16"/>
      <c r="AB299" s="16"/>
      <c r="AC299" s="16"/>
    </row>
    <row r="300">
      <c r="A300" s="16"/>
      <c r="B300" s="16"/>
      <c r="C300" s="17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49">
        <f t="shared" si="262"/>
        <v>12</v>
      </c>
      <c r="S300" s="16"/>
      <c r="T300" s="16"/>
      <c r="U300" s="51"/>
      <c r="V300" s="16"/>
      <c r="W300" s="16"/>
      <c r="X300" s="16"/>
      <c r="Y300" s="51"/>
      <c r="Z300" s="16"/>
      <c r="AA300" s="16"/>
      <c r="AB300" s="16"/>
      <c r="AC300" s="16"/>
    </row>
    <row r="301">
      <c r="A301" s="16"/>
      <c r="B301" s="16"/>
      <c r="C301" s="17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49">
        <f t="shared" si="262"/>
        <v>15</v>
      </c>
      <c r="S301" s="16"/>
      <c r="T301" s="16"/>
      <c r="U301" s="51"/>
      <c r="V301" s="16"/>
      <c r="W301" s="16"/>
      <c r="X301" s="16"/>
      <c r="Y301" s="51"/>
      <c r="Z301" s="16"/>
      <c r="AA301" s="16"/>
      <c r="AB301" s="16"/>
      <c r="AC301" s="16"/>
    </row>
    <row r="302">
      <c r="A302" s="16"/>
      <c r="B302" s="16"/>
      <c r="C302" s="17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49">
        <f t="shared" si="262"/>
        <v>21</v>
      </c>
      <c r="S302" s="16"/>
      <c r="T302" s="16"/>
      <c r="U302" s="51"/>
      <c r="V302" s="16"/>
      <c r="W302" s="16"/>
      <c r="X302" s="16"/>
      <c r="Y302" s="51"/>
      <c r="Z302" s="16"/>
      <c r="AA302" s="16"/>
      <c r="AB302" s="16"/>
      <c r="AC302" s="16"/>
    </row>
    <row r="303">
      <c r="A303" s="16"/>
      <c r="B303" s="16"/>
      <c r="C303" s="17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49">
        <f t="shared" si="262"/>
        <v>10</v>
      </c>
      <c r="S303" s="16"/>
      <c r="T303" s="16"/>
      <c r="U303" s="51"/>
      <c r="V303" s="16"/>
      <c r="W303" s="16"/>
      <c r="X303" s="16"/>
      <c r="Y303" s="51"/>
      <c r="Z303" s="16"/>
      <c r="AA303" s="16"/>
      <c r="AB303" s="16"/>
      <c r="AC303" s="16"/>
    </row>
    <row r="304">
      <c r="A304" s="16"/>
      <c r="B304" s="16"/>
      <c r="C304" s="17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49">
        <f t="shared" si="262"/>
        <v>20</v>
      </c>
      <c r="S304" s="16"/>
      <c r="T304" s="16"/>
      <c r="U304" s="51"/>
      <c r="V304" s="16"/>
      <c r="W304" s="16"/>
      <c r="X304" s="16"/>
      <c r="Y304" s="51"/>
      <c r="Z304" s="16"/>
      <c r="AA304" s="16"/>
      <c r="AB304" s="16"/>
      <c r="AC304" s="16"/>
    </row>
    <row r="305">
      <c r="A305" s="16"/>
      <c r="B305" s="16"/>
      <c r="C305" s="17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49">
        <f t="shared" si="262"/>
        <v>3</v>
      </c>
      <c r="S305" s="16"/>
      <c r="T305" s="16"/>
      <c r="U305" s="51"/>
      <c r="V305" s="16"/>
      <c r="W305" s="16"/>
      <c r="X305" s="16"/>
      <c r="Y305" s="51"/>
      <c r="Z305" s="16"/>
      <c r="AA305" s="16"/>
      <c r="AB305" s="16"/>
      <c r="AC305" s="16"/>
    </row>
    <row r="306">
      <c r="A306" s="16"/>
      <c r="B306" s="16"/>
      <c r="C306" s="17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49">
        <f t="shared" si="262"/>
        <v>15</v>
      </c>
      <c r="S306" s="16"/>
      <c r="T306" s="16"/>
      <c r="U306" s="51"/>
      <c r="V306" s="16"/>
      <c r="W306" s="16"/>
      <c r="X306" s="16"/>
      <c r="Y306" s="51"/>
      <c r="Z306" s="16"/>
      <c r="AA306" s="16"/>
      <c r="AB306" s="16"/>
      <c r="AC306" s="16"/>
    </row>
    <row r="307">
      <c r="A307" s="16"/>
      <c r="B307" s="16"/>
      <c r="C307" s="17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49">
        <f t="shared" si="262"/>
        <v>15</v>
      </c>
      <c r="S307" s="16"/>
      <c r="T307" s="16"/>
      <c r="U307" s="51"/>
      <c r="V307" s="16"/>
      <c r="W307" s="16"/>
      <c r="X307" s="16"/>
      <c r="Y307" s="51"/>
      <c r="Z307" s="16"/>
      <c r="AA307" s="16"/>
      <c r="AB307" s="16"/>
      <c r="AC307" s="16"/>
    </row>
    <row r="308">
      <c r="A308" s="16"/>
      <c r="B308" s="16"/>
      <c r="C308" s="17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49">
        <f t="shared" si="262"/>
        <v>13</v>
      </c>
      <c r="S308" s="16"/>
      <c r="T308" s="16"/>
      <c r="U308" s="51"/>
      <c r="V308" s="16"/>
      <c r="W308" s="16"/>
      <c r="X308" s="16"/>
      <c r="Y308" s="51"/>
      <c r="Z308" s="16"/>
      <c r="AA308" s="16"/>
      <c r="AB308" s="16"/>
      <c r="AC308" s="16"/>
    </row>
    <row r="309">
      <c r="A309" s="16"/>
      <c r="B309" s="16"/>
      <c r="C309" s="17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49">
        <f t="shared" si="262"/>
        <v>3</v>
      </c>
      <c r="S309" s="16"/>
      <c r="T309" s="16"/>
      <c r="U309" s="51"/>
      <c r="V309" s="16"/>
      <c r="W309" s="16"/>
      <c r="X309" s="16"/>
      <c r="Y309" s="51"/>
      <c r="Z309" s="16"/>
      <c r="AA309" s="16"/>
      <c r="AB309" s="16"/>
      <c r="AC309" s="16"/>
    </row>
    <row r="310">
      <c r="A310" s="16"/>
      <c r="B310" s="16"/>
      <c r="C310" s="17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49">
        <f t="shared" si="262"/>
        <v>5</v>
      </c>
      <c r="S310" s="16"/>
      <c r="T310" s="16"/>
      <c r="U310" s="51"/>
      <c r="V310" s="16"/>
      <c r="W310" s="16"/>
      <c r="X310" s="16"/>
      <c r="Y310" s="51"/>
      <c r="Z310" s="16"/>
      <c r="AA310" s="16"/>
      <c r="AB310" s="16"/>
      <c r="AC310" s="16"/>
    </row>
    <row r="311">
      <c r="A311" s="16"/>
      <c r="B311" s="16"/>
      <c r="C311" s="17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49">
        <f t="shared" si="262"/>
        <v>17</v>
      </c>
      <c r="S311" s="16"/>
      <c r="T311" s="16"/>
      <c r="U311" s="51"/>
      <c r="V311" s="16"/>
      <c r="W311" s="16"/>
      <c r="X311" s="16"/>
      <c r="Y311" s="51"/>
      <c r="Z311" s="16"/>
      <c r="AA311" s="16"/>
      <c r="AB311" s="16"/>
      <c r="AC311" s="16"/>
    </row>
    <row r="312">
      <c r="A312" s="16"/>
      <c r="B312" s="16"/>
      <c r="C312" s="17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49">
        <f t="shared" si="262"/>
        <v>5</v>
      </c>
      <c r="S312" s="16"/>
      <c r="T312" s="16"/>
      <c r="U312" s="51"/>
      <c r="V312" s="16"/>
      <c r="W312" s="16"/>
      <c r="X312" s="16"/>
      <c r="Y312" s="51"/>
      <c r="Z312" s="16"/>
      <c r="AA312" s="16"/>
      <c r="AB312" s="16"/>
      <c r="AC312" s="16"/>
    </row>
    <row r="313">
      <c r="A313" s="16"/>
      <c r="B313" s="16"/>
      <c r="C313" s="17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49">
        <f t="shared" si="262"/>
        <v>11</v>
      </c>
      <c r="S313" s="16"/>
      <c r="T313" s="16"/>
      <c r="U313" s="51"/>
      <c r="V313" s="16"/>
      <c r="W313" s="16"/>
      <c r="X313" s="16"/>
      <c r="Y313" s="51"/>
      <c r="Z313" s="16"/>
      <c r="AA313" s="16"/>
      <c r="AB313" s="16"/>
      <c r="AC313" s="16"/>
    </row>
    <row r="314">
      <c r="A314" s="16"/>
      <c r="B314" s="16"/>
      <c r="C314" s="17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49">
        <f t="shared" si="262"/>
        <v>0</v>
      </c>
      <c r="S314" s="16"/>
      <c r="T314" s="16"/>
      <c r="U314" s="51"/>
      <c r="V314" s="16"/>
      <c r="W314" s="16"/>
      <c r="X314" s="16"/>
      <c r="Y314" s="51"/>
      <c r="Z314" s="16"/>
      <c r="AA314" s="16"/>
      <c r="AB314" s="16"/>
      <c r="AC314" s="16"/>
    </row>
    <row r="315">
      <c r="A315" s="16"/>
      <c r="B315" s="16"/>
      <c r="C315" s="17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49">
        <f t="shared" si="262"/>
        <v>14</v>
      </c>
      <c r="S315" s="16"/>
      <c r="T315" s="16"/>
      <c r="U315" s="51"/>
      <c r="V315" s="16"/>
      <c r="W315" s="16"/>
      <c r="X315" s="16"/>
      <c r="Y315" s="51"/>
      <c r="Z315" s="16"/>
      <c r="AA315" s="16"/>
      <c r="AB315" s="16"/>
      <c r="AC315" s="16"/>
    </row>
    <row r="316">
      <c r="A316" s="16"/>
      <c r="B316" s="16"/>
      <c r="C316" s="17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51"/>
      <c r="S316" s="16"/>
      <c r="T316" s="16"/>
      <c r="U316" s="51"/>
      <c r="V316" s="16"/>
      <c r="W316" s="16"/>
      <c r="X316" s="16"/>
      <c r="Y316" s="51"/>
      <c r="Z316" s="16"/>
      <c r="AA316" s="16"/>
      <c r="AB316" s="16"/>
      <c r="AC316" s="16"/>
    </row>
    <row r="317">
      <c r="A317" s="16"/>
      <c r="B317" s="16"/>
      <c r="C317" s="17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51"/>
      <c r="S317" s="16"/>
      <c r="T317" s="16"/>
      <c r="U317" s="51"/>
      <c r="V317" s="16"/>
      <c r="W317" s="16"/>
      <c r="X317" s="16"/>
      <c r="Y317" s="51"/>
      <c r="Z317" s="16"/>
      <c r="AA317" s="16"/>
      <c r="AB317" s="16"/>
      <c r="AC317" s="16"/>
    </row>
    <row r="318">
      <c r="A318" s="16"/>
      <c r="B318" s="16"/>
      <c r="C318" s="17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51"/>
      <c r="S318" s="16"/>
      <c r="T318" s="16"/>
      <c r="U318" s="51"/>
      <c r="V318" s="16"/>
      <c r="W318" s="16"/>
      <c r="X318" s="16"/>
      <c r="Y318" s="51"/>
      <c r="Z318" s="16"/>
      <c r="AA318" s="16"/>
      <c r="AB318" s="16"/>
      <c r="AC318" s="16"/>
    </row>
    <row r="319">
      <c r="A319" s="16"/>
      <c r="B319" s="16"/>
      <c r="C319" s="17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51"/>
      <c r="S319" s="16"/>
      <c r="T319" s="16"/>
      <c r="U319" s="51"/>
      <c r="V319" s="16"/>
      <c r="W319" s="16"/>
      <c r="X319" s="16"/>
      <c r="Y319" s="51"/>
      <c r="Z319" s="16"/>
      <c r="AA319" s="16"/>
      <c r="AB319" s="16"/>
      <c r="AC319" s="16"/>
    </row>
    <row r="320">
      <c r="A320" s="16"/>
      <c r="B320" s="16"/>
      <c r="C320" s="17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51"/>
      <c r="S320" s="16"/>
      <c r="T320" s="16"/>
      <c r="U320" s="51"/>
      <c r="V320" s="16"/>
      <c r="W320" s="16"/>
      <c r="X320" s="16"/>
      <c r="Y320" s="51"/>
      <c r="Z320" s="16"/>
      <c r="AA320" s="16"/>
      <c r="AB320" s="16"/>
      <c r="AC320" s="16"/>
    </row>
    <row r="321">
      <c r="A321" s="16"/>
      <c r="B321" s="16"/>
      <c r="C321" s="17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51"/>
      <c r="S321" s="16"/>
      <c r="T321" s="16"/>
      <c r="U321" s="51"/>
      <c r="V321" s="16"/>
      <c r="W321" s="16"/>
      <c r="X321" s="16"/>
      <c r="Y321" s="51"/>
      <c r="Z321" s="16"/>
      <c r="AA321" s="16"/>
      <c r="AB321" s="16"/>
      <c r="AC321" s="16"/>
    </row>
    <row r="322">
      <c r="A322" s="16"/>
      <c r="B322" s="16"/>
      <c r="C322" s="17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51"/>
      <c r="S322" s="16"/>
      <c r="T322" s="16"/>
      <c r="U322" s="51"/>
      <c r="V322" s="16"/>
      <c r="W322" s="16"/>
      <c r="X322" s="16"/>
      <c r="Y322" s="51"/>
      <c r="Z322" s="16"/>
      <c r="AA322" s="16"/>
      <c r="AB322" s="16"/>
      <c r="AC322" s="16"/>
    </row>
    <row r="323">
      <c r="A323" s="16"/>
      <c r="B323" s="16"/>
      <c r="C323" s="17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51"/>
      <c r="S323" s="16"/>
      <c r="T323" s="16"/>
      <c r="U323" s="51"/>
      <c r="V323" s="16"/>
      <c r="W323" s="16"/>
      <c r="X323" s="16"/>
      <c r="Y323" s="51"/>
      <c r="Z323" s="16"/>
      <c r="AA323" s="16"/>
      <c r="AB323" s="16"/>
      <c r="AC323" s="16"/>
    </row>
    <row r="324">
      <c r="A324" s="16"/>
      <c r="B324" s="16"/>
      <c r="C324" s="17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51"/>
      <c r="S324" s="16"/>
      <c r="T324" s="16"/>
      <c r="U324" s="51"/>
      <c r="V324" s="16"/>
      <c r="W324" s="16"/>
      <c r="X324" s="16"/>
      <c r="Y324" s="51"/>
      <c r="Z324" s="16"/>
      <c r="AA324" s="16"/>
      <c r="AB324" s="16"/>
      <c r="AC324" s="16"/>
    </row>
    <row r="325">
      <c r="A325" s="16"/>
      <c r="B325" s="16"/>
      <c r="C325" s="17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51"/>
      <c r="S325" s="16"/>
      <c r="T325" s="16"/>
      <c r="U325" s="51"/>
      <c r="V325" s="16"/>
      <c r="W325" s="16"/>
      <c r="X325" s="16"/>
      <c r="Y325" s="51"/>
      <c r="Z325" s="16"/>
      <c r="AA325" s="16"/>
      <c r="AB325" s="16"/>
      <c r="AC325" s="16"/>
    </row>
    <row r="326">
      <c r="A326" s="16"/>
      <c r="B326" s="16"/>
      <c r="C326" s="17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51"/>
      <c r="S326" s="16"/>
      <c r="T326" s="16"/>
      <c r="U326" s="51"/>
      <c r="V326" s="16"/>
      <c r="W326" s="16"/>
      <c r="X326" s="16"/>
      <c r="Y326" s="51"/>
      <c r="Z326" s="16"/>
      <c r="AA326" s="16"/>
      <c r="AB326" s="16"/>
      <c r="AC326" s="1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</cols>
  <sheetData>
    <row r="1">
      <c r="A1" s="20" t="s">
        <v>545</v>
      </c>
      <c r="C1" s="53"/>
    </row>
    <row r="2">
      <c r="A2" s="19">
        <v>8.0</v>
      </c>
    </row>
    <row r="3">
      <c r="A3" s="19">
        <v>5.0</v>
      </c>
    </row>
    <row r="4">
      <c r="A4" s="19">
        <v>12.0</v>
      </c>
    </row>
    <row r="5">
      <c r="A5" s="19">
        <v>0.0</v>
      </c>
    </row>
    <row r="6">
      <c r="A6" s="19">
        <v>12.0</v>
      </c>
    </row>
    <row r="7">
      <c r="A7" s="19">
        <v>12.0</v>
      </c>
    </row>
    <row r="8">
      <c r="A8" s="19">
        <v>12.0</v>
      </c>
    </row>
    <row r="9">
      <c r="A9" s="19">
        <v>10.0</v>
      </c>
    </row>
    <row r="10">
      <c r="A10" s="19">
        <v>5.0</v>
      </c>
    </row>
    <row r="11">
      <c r="A11" s="19">
        <v>6.0</v>
      </c>
    </row>
    <row r="12">
      <c r="A12" s="19">
        <v>12.0</v>
      </c>
    </row>
    <row r="13">
      <c r="A13" s="19">
        <v>20.0</v>
      </c>
    </row>
    <row r="14">
      <c r="A14" s="19">
        <v>7.0</v>
      </c>
    </row>
    <row r="15">
      <c r="A15" s="19">
        <v>5.0</v>
      </c>
    </row>
    <row r="16">
      <c r="A16" s="19">
        <v>10.0</v>
      </c>
    </row>
    <row r="17">
      <c r="A17" s="19">
        <v>14.0</v>
      </c>
    </row>
    <row r="18">
      <c r="A18" s="19">
        <v>0.0</v>
      </c>
    </row>
    <row r="19">
      <c r="A19" s="19">
        <v>12.0</v>
      </c>
    </row>
    <row r="20">
      <c r="A20" s="19">
        <v>15.0</v>
      </c>
    </row>
    <row r="21">
      <c r="A21" s="19">
        <v>12.0</v>
      </c>
    </row>
    <row r="22">
      <c r="A22" s="19">
        <v>15.0</v>
      </c>
    </row>
    <row r="23">
      <c r="A23" s="19">
        <v>10.0</v>
      </c>
    </row>
    <row r="24">
      <c r="A24" s="19">
        <v>12.0</v>
      </c>
    </row>
    <row r="25">
      <c r="A25" s="19">
        <v>8.0</v>
      </c>
    </row>
    <row r="26">
      <c r="A26" s="19">
        <v>5.0</v>
      </c>
    </row>
    <row r="27">
      <c r="A27" s="19">
        <v>10.0</v>
      </c>
    </row>
    <row r="28">
      <c r="A28" s="19">
        <v>12.0</v>
      </c>
    </row>
    <row r="29">
      <c r="A29" s="19">
        <v>5.0</v>
      </c>
    </row>
    <row r="30">
      <c r="A30" s="19">
        <v>17.5</v>
      </c>
    </row>
    <row r="31">
      <c r="A31" s="19">
        <v>4.0</v>
      </c>
    </row>
    <row r="32">
      <c r="A32" s="19">
        <v>0.0</v>
      </c>
    </row>
    <row r="33">
      <c r="A33" s="19">
        <v>15.0</v>
      </c>
    </row>
    <row r="34">
      <c r="A34" s="19">
        <v>5.0</v>
      </c>
    </row>
    <row r="35">
      <c r="A35" s="19">
        <v>7.0</v>
      </c>
    </row>
    <row r="36">
      <c r="A36" s="19">
        <v>7.0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0.0"/>
    <col customWidth="1" min="8" max="8" width="9.25"/>
    <col customWidth="1" min="16" max="16" width="16.38"/>
    <col customWidth="1" min="20" max="20" width="33.5"/>
    <col customWidth="1" min="21" max="21" width="20.38"/>
    <col customWidth="1" hidden="1" min="22" max="28" width="20.38"/>
    <col customWidth="1" min="29" max="30" width="20.38"/>
    <col customWidth="1" hidden="1" min="31" max="34" width="20.38"/>
    <col customWidth="1" min="35" max="37" width="20.38"/>
    <col customWidth="1" min="38" max="38" width="29.75"/>
    <col customWidth="1" min="39" max="39" width="21.25"/>
    <col customWidth="1" min="40" max="40" width="36.38"/>
    <col customWidth="1" hidden="1" min="41" max="41" width="18.75"/>
    <col customWidth="1" hidden="1" min="42" max="42" width="15.13"/>
    <col customWidth="1" hidden="1" min="43" max="43" width="13.88"/>
    <col hidden="1" min="44" max="47" width="12.63"/>
    <col customWidth="1" min="48" max="48" width="30.63"/>
    <col hidden="1" min="49" max="54" width="12.63"/>
    <col customWidth="1" hidden="1" min="55" max="55" width="22.25"/>
    <col hidden="1" min="56" max="59" width="12.63"/>
    <col customWidth="1" hidden="1" min="60" max="60" width="34.0"/>
    <col hidden="1" min="61" max="82" width="12.63"/>
    <col customWidth="1" min="83" max="83" width="44.75"/>
    <col customWidth="1" min="84" max="84" width="16.5"/>
    <col hidden="1" min="85" max="103" width="12.63"/>
  </cols>
  <sheetData>
    <row r="1">
      <c r="A1" s="1" t="s">
        <v>0</v>
      </c>
      <c r="B1" s="1" t="s">
        <v>1</v>
      </c>
      <c r="C1" s="2" t="s">
        <v>544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12</v>
      </c>
      <c r="M1" s="3" t="s">
        <v>13</v>
      </c>
      <c r="N1" s="3" t="s">
        <v>14</v>
      </c>
      <c r="O1" s="3" t="s">
        <v>15</v>
      </c>
      <c r="P1" s="1" t="s">
        <v>16</v>
      </c>
      <c r="Q1" s="4" t="s">
        <v>17</v>
      </c>
      <c r="R1" s="5" t="s">
        <v>18</v>
      </c>
      <c r="S1" s="5" t="s">
        <v>19</v>
      </c>
      <c r="T1" s="6" t="s">
        <v>20</v>
      </c>
      <c r="U1" s="6" t="s">
        <v>546</v>
      </c>
      <c r="V1" s="6"/>
      <c r="W1" s="6"/>
      <c r="X1" s="6"/>
      <c r="Y1" s="6"/>
      <c r="Z1" s="6"/>
      <c r="AA1" s="6"/>
      <c r="AB1" s="6"/>
      <c r="AC1" s="6" t="s">
        <v>547</v>
      </c>
      <c r="AD1" s="6" t="s">
        <v>548</v>
      </c>
      <c r="AE1" s="6"/>
      <c r="AF1" s="6"/>
      <c r="AG1" s="6"/>
      <c r="AH1" s="6"/>
      <c r="AI1" s="6" t="s">
        <v>549</v>
      </c>
      <c r="AJ1" s="6" t="s">
        <v>550</v>
      </c>
      <c r="AK1" s="54" t="s">
        <v>551</v>
      </c>
      <c r="AL1" s="5" t="s">
        <v>552</v>
      </c>
      <c r="AM1" s="55" t="s">
        <v>553</v>
      </c>
      <c r="AN1" s="56" t="s">
        <v>554</v>
      </c>
      <c r="AO1" s="47"/>
      <c r="AW1" s="1" t="s">
        <v>4</v>
      </c>
      <c r="AX1" s="1" t="s">
        <v>5</v>
      </c>
      <c r="AY1" s="1" t="s">
        <v>6</v>
      </c>
      <c r="AZ1" s="1" t="s">
        <v>7</v>
      </c>
      <c r="BA1" s="1" t="s">
        <v>8</v>
      </c>
      <c r="BB1" s="1" t="s">
        <v>9</v>
      </c>
      <c r="BC1" s="1" t="s">
        <v>10</v>
      </c>
      <c r="BD1" s="2" t="s">
        <v>12</v>
      </c>
      <c r="BE1" s="3" t="s">
        <v>13</v>
      </c>
      <c r="BF1" s="3" t="s">
        <v>14</v>
      </c>
      <c r="BG1" s="3" t="s">
        <v>15</v>
      </c>
      <c r="BH1" s="57" t="str">
        <f>CONCATENATE("Matches for ", AN2) </f>
        <v>Matches for Jozefien</v>
      </c>
      <c r="CE1" s="58" t="str">
        <f>CONCATENATE("Closest Match for ",AN2) </f>
        <v>Closest Match for Jozefien</v>
      </c>
    </row>
    <row r="2">
      <c r="A2" s="15" t="s">
        <v>24</v>
      </c>
      <c r="B2" s="16" t="s">
        <v>25</v>
      </c>
      <c r="C2" s="16" t="s">
        <v>26</v>
      </c>
      <c r="D2" s="16" t="s">
        <v>4</v>
      </c>
      <c r="E2" s="17" t="b">
        <f t="shared" ref="E2:K2" si="1">If(IFERROR(SEARCH(E$1, $D2),0) &gt;= 1, true,false)</f>
        <v>1</v>
      </c>
      <c r="F2" s="17" t="b">
        <f t="shared" si="1"/>
        <v>0</v>
      </c>
      <c r="G2" s="17" t="b">
        <f t="shared" si="1"/>
        <v>0</v>
      </c>
      <c r="H2" s="17" t="b">
        <f t="shared" si="1"/>
        <v>0</v>
      </c>
      <c r="I2" s="17" t="b">
        <f t="shared" si="1"/>
        <v>0</v>
      </c>
      <c r="J2" s="17" t="b">
        <f t="shared" si="1"/>
        <v>0</v>
      </c>
      <c r="K2" s="17" t="b">
        <f t="shared" si="1"/>
        <v>0</v>
      </c>
      <c r="L2" s="18" t="b">
        <v>1</v>
      </c>
      <c r="M2" s="18" t="b">
        <v>0</v>
      </c>
      <c r="N2" s="18" t="b">
        <v>1</v>
      </c>
      <c r="O2" s="18" t="b">
        <v>0</v>
      </c>
      <c r="P2" s="16" t="str">
        <f t="shared" ref="P2:P261" si="7">IF(ISBLANK(A2),B2,A2)</f>
        <v>Archeologisch museum van de Boven-Maas</v>
      </c>
      <c r="Q2" s="19">
        <v>3.5</v>
      </c>
      <c r="R2" s="20" t="b">
        <v>0</v>
      </c>
      <c r="S2" s="18" t="b">
        <v>0</v>
      </c>
      <c r="T2" s="21"/>
      <c r="U2" s="21">
        <f t="shared" ref="U2:U261" si="8">if(OR(C2 = $AO$3, C2 = $AQ$3), 1, 0)</f>
        <v>0</v>
      </c>
      <c r="V2" s="21">
        <f t="shared" ref="V2:AB2" si="2">if(OR(AW2 = $AO$4, AW2 = $AQ$4), 1, 0)</f>
        <v>1</v>
      </c>
      <c r="W2" s="21">
        <f t="shared" si="2"/>
        <v>0</v>
      </c>
      <c r="X2" s="21">
        <f t="shared" si="2"/>
        <v>0</v>
      </c>
      <c r="Y2" s="21">
        <f t="shared" si="2"/>
        <v>0</v>
      </c>
      <c r="Z2" s="21">
        <f t="shared" si="2"/>
        <v>0</v>
      </c>
      <c r="AA2" s="21">
        <f t="shared" si="2"/>
        <v>0</v>
      </c>
      <c r="AB2" s="21">
        <f t="shared" si="2"/>
        <v>0</v>
      </c>
      <c r="AC2" s="21">
        <f t="shared" ref="AC2:AC261" si="10">SUM(V2:AB2)</f>
        <v>1</v>
      </c>
      <c r="AD2" s="21">
        <f t="shared" ref="AD2:AD261" si="11">if($Q2 &lt;= $AN$5, 1, 0)</f>
        <v>1</v>
      </c>
      <c r="AE2" s="21">
        <f t="shared" ref="AE2:AH2" si="3">if(OR(BD2 = $AO$6, BD2 = $AS$6, BD2 = $AT$6, BD2 = $AU$6), 1, 0)</f>
        <v>1</v>
      </c>
      <c r="AF2" s="21">
        <f t="shared" si="3"/>
        <v>0</v>
      </c>
      <c r="AG2" s="21">
        <f t="shared" si="3"/>
        <v>1</v>
      </c>
      <c r="AH2" s="21">
        <f t="shared" si="3"/>
        <v>0</v>
      </c>
      <c r="AI2" s="21">
        <f t="shared" ref="AI2:AI261" si="13">SUM(AE2:AH2)</f>
        <v>2</v>
      </c>
      <c r="AJ2" s="21">
        <f t="shared" ref="AJ2:AJ261" si="14">SUM(U2,AC2,AD2,AI2)</f>
        <v>4</v>
      </c>
      <c r="AK2" s="59">
        <f t="shared" ref="AK2:AK261" si="15"> (AJ2/$AJ$264)*5</f>
        <v>2.5</v>
      </c>
      <c r="AL2" s="60" t="str">
        <f t="shared" ref="AL2:AL261" si="16">IFS(4 &lt; AK2 , "excellent", 2.5 &lt; AK2, "good", 1 &lt; AK2 , "subpar", 0 &lt;= AK2, "no match")</f>
        <v>subpar</v>
      </c>
      <c r="AM2" s="56" t="s">
        <v>555</v>
      </c>
      <c r="AN2" s="36" t="s">
        <v>556</v>
      </c>
      <c r="AO2" s="16"/>
      <c r="AW2" s="22" t="str">
        <f t="shared" ref="AW2:BC2" si="4">IF(IFERROR(SEARCH(E$1, $D2),0) &gt;= 1, E$1,0)</f>
        <v>Geschiedenis en archeologie</v>
      </c>
      <c r="AX2" s="22">
        <f t="shared" si="4"/>
        <v>0</v>
      </c>
      <c r="AY2" s="22">
        <f t="shared" si="4"/>
        <v>0</v>
      </c>
      <c r="AZ2" s="22">
        <f t="shared" si="4"/>
        <v>0</v>
      </c>
      <c r="BA2" s="22">
        <f t="shared" si="4"/>
        <v>0</v>
      </c>
      <c r="BB2" s="22">
        <f t="shared" si="4"/>
        <v>0</v>
      </c>
      <c r="BC2" s="22">
        <f t="shared" si="4"/>
        <v>0</v>
      </c>
      <c r="BD2" s="22" t="str">
        <f t="shared" ref="BD2:BG2" si="5">IF(L2 = true, BD$1, 0)</f>
        <v>Shop</v>
      </c>
      <c r="BE2" s="22">
        <f t="shared" si="5"/>
        <v>0</v>
      </c>
      <c r="BF2" s="22" t="str">
        <f t="shared" si="5"/>
        <v>Parking</v>
      </c>
      <c r="BG2" s="22">
        <f t="shared" si="5"/>
        <v>0</v>
      </c>
      <c r="BH2" s="22" t="str">
        <f>IFERROR(__xludf.DUMMYFUNCTION("IF(AN7 = ""no preference"", SORT(P2:AL261, AK2:AK261, false) ,FILTER(P2:AL261, AL2:AL261 = AN7))"),"Atlantikwall Raversyde")</f>
        <v>Atlantikwall Raversyde</v>
      </c>
      <c r="BI2" s="24">
        <f>IFERROR(__xludf.DUMMYFUNCTION("""COMPUTED_VALUE"""),10.0)</f>
        <v>10</v>
      </c>
      <c r="BJ2" s="22" t="b">
        <f>IFERROR(__xludf.DUMMYFUNCTION("""COMPUTED_VALUE"""),FALSE)</f>
        <v>0</v>
      </c>
      <c r="BK2" s="22" t="b">
        <f>IFERROR(__xludf.DUMMYFUNCTION("""COMPUTED_VALUE"""),TRUE)</f>
        <v>1</v>
      </c>
      <c r="BL2" s="24">
        <f>IFERROR(__xludf.DUMMYFUNCTION("""COMPUTED_VALUE"""),10.0)</f>
        <v>10</v>
      </c>
      <c r="BM2" s="22">
        <f>IFERROR(__xludf.DUMMYFUNCTION("""COMPUTED_VALUE"""),0.0)</f>
        <v>0</v>
      </c>
      <c r="BN2" s="22">
        <f>IFERROR(__xludf.DUMMYFUNCTION("""COMPUTED_VALUE"""),1.0)</f>
        <v>1</v>
      </c>
      <c r="BO2" s="22">
        <f>IFERROR(__xludf.DUMMYFUNCTION("""COMPUTED_VALUE"""),0.0)</f>
        <v>0</v>
      </c>
      <c r="BP2" s="22">
        <f>IFERROR(__xludf.DUMMYFUNCTION("""COMPUTED_VALUE"""),0.0)</f>
        <v>0</v>
      </c>
      <c r="BQ2" s="22">
        <f>IFERROR(__xludf.DUMMYFUNCTION("""COMPUTED_VALUE"""),0.0)</f>
        <v>0</v>
      </c>
      <c r="BR2" s="22">
        <f>IFERROR(__xludf.DUMMYFUNCTION("""COMPUTED_VALUE"""),0.0)</f>
        <v>0</v>
      </c>
      <c r="BS2" s="22">
        <f>IFERROR(__xludf.DUMMYFUNCTION("""COMPUTED_VALUE"""),1.0)</f>
        <v>1</v>
      </c>
      <c r="BT2" s="22">
        <f>IFERROR(__xludf.DUMMYFUNCTION("""COMPUTED_VALUE"""),0.0)</f>
        <v>0</v>
      </c>
      <c r="BU2" s="22">
        <f>IFERROR(__xludf.DUMMYFUNCTION("""COMPUTED_VALUE"""),2.0)</f>
        <v>2</v>
      </c>
      <c r="BV2" s="22">
        <f>IFERROR(__xludf.DUMMYFUNCTION("""COMPUTED_VALUE"""),1.0)</f>
        <v>1</v>
      </c>
      <c r="BW2" s="22">
        <f>IFERROR(__xludf.DUMMYFUNCTION("""COMPUTED_VALUE"""),1.0)</f>
        <v>1</v>
      </c>
      <c r="BX2" s="22">
        <f>IFERROR(__xludf.DUMMYFUNCTION("""COMPUTED_VALUE"""),1.0)</f>
        <v>1</v>
      </c>
      <c r="BY2" s="22">
        <f>IFERROR(__xludf.DUMMYFUNCTION("""COMPUTED_VALUE"""),1.0)</f>
        <v>1</v>
      </c>
      <c r="BZ2" s="22">
        <f>IFERROR(__xludf.DUMMYFUNCTION("""COMPUTED_VALUE"""),1.0)</f>
        <v>1</v>
      </c>
      <c r="CA2" s="22">
        <f>IFERROR(__xludf.DUMMYFUNCTION("""COMPUTED_VALUE"""),4.0)</f>
        <v>4</v>
      </c>
      <c r="CB2" s="22">
        <f>IFERROR(__xludf.DUMMYFUNCTION("""COMPUTED_VALUE"""),7.0)</f>
        <v>7</v>
      </c>
      <c r="CC2" s="61">
        <f>IFERROR(__xludf.DUMMYFUNCTION("""COMPUTED_VALUE"""),4.375)</f>
        <v>4.375</v>
      </c>
      <c r="CD2" s="62" t="str">
        <f>IFERROR(__xludf.DUMMYFUNCTION("""COMPUTED_VALUE"""),"excellent")</f>
        <v>excellent</v>
      </c>
      <c r="CE2" s="22" t="str">
        <f t="array" ref="CE2:DA262">SORT(BH2:CD262, CC2:CC262, false)</f>
        <v>Atlantikwall Raversyde</v>
      </c>
      <c r="CF2" s="24">
        <v>10.0</v>
      </c>
      <c r="CG2" s="22" t="b">
        <v>0</v>
      </c>
      <c r="CH2" s="22" t="b">
        <v>1</v>
      </c>
      <c r="CI2" s="24">
        <v>10.0</v>
      </c>
      <c r="CJ2" s="22">
        <v>0.0</v>
      </c>
      <c r="CK2" s="22">
        <v>1.0</v>
      </c>
      <c r="CL2" s="22">
        <v>0.0</v>
      </c>
      <c r="CM2" s="22">
        <v>0.0</v>
      </c>
      <c r="CN2" s="22">
        <v>0.0</v>
      </c>
      <c r="CO2" s="22">
        <v>0.0</v>
      </c>
      <c r="CP2" s="22">
        <v>1.0</v>
      </c>
      <c r="CQ2" s="22">
        <v>0.0</v>
      </c>
      <c r="CR2" s="22">
        <v>2.0</v>
      </c>
      <c r="CS2" s="22">
        <v>1.0</v>
      </c>
      <c r="CT2" s="22">
        <v>1.0</v>
      </c>
      <c r="CU2" s="22">
        <v>1.0</v>
      </c>
      <c r="CV2" s="22">
        <v>1.0</v>
      </c>
      <c r="CW2" s="22">
        <v>1.0</v>
      </c>
      <c r="CX2" s="22">
        <v>4.0</v>
      </c>
      <c r="CY2" s="22">
        <v>7.0</v>
      </c>
      <c r="CZ2" s="61">
        <v>4.375</v>
      </c>
      <c r="DA2" s="62" t="s">
        <v>557</v>
      </c>
    </row>
    <row r="3">
      <c r="A3" s="15" t="s">
        <v>27</v>
      </c>
      <c r="B3" s="16" t="str">
        <f>IFERROR(__xludf.DUMMYFUNCTION("SPLIT(A3, "" - "", FALSE,FALSE)"),"Citadel van Namen / Bezoekerscentrum Terra Nova en toeristentreintje")</f>
        <v>Citadel van Namen / Bezoekerscentrum Terra Nova en toeristentreintje</v>
      </c>
      <c r="C3" s="16" t="s">
        <v>26</v>
      </c>
      <c r="D3" s="16" t="s">
        <v>4</v>
      </c>
      <c r="E3" s="17" t="b">
        <f t="shared" ref="E3:K3" si="6">If(IFERROR(SEARCH(E$1, $D3),0) &gt;= 1, true,false)</f>
        <v>1</v>
      </c>
      <c r="F3" s="17" t="b">
        <f t="shared" si="6"/>
        <v>0</v>
      </c>
      <c r="G3" s="17" t="b">
        <f t="shared" si="6"/>
        <v>0</v>
      </c>
      <c r="H3" s="17" t="b">
        <f t="shared" si="6"/>
        <v>0</v>
      </c>
      <c r="I3" s="17" t="b">
        <f t="shared" si="6"/>
        <v>0</v>
      </c>
      <c r="J3" s="17" t="b">
        <f t="shared" si="6"/>
        <v>0</v>
      </c>
      <c r="K3" s="17" t="b">
        <f t="shared" si="6"/>
        <v>0</v>
      </c>
      <c r="L3" s="18" t="b">
        <v>1</v>
      </c>
      <c r="M3" s="18" t="b">
        <v>1</v>
      </c>
      <c r="N3" s="18" t="b">
        <v>0</v>
      </c>
      <c r="O3" s="18" t="b">
        <v>0</v>
      </c>
      <c r="P3" s="16" t="str">
        <f t="shared" si="7"/>
        <v>Citadel van Namen / Bezoekerscentrum Terra Nova en toeristentreintje</v>
      </c>
      <c r="Q3" s="19">
        <v>6.0</v>
      </c>
      <c r="R3" s="20" t="b">
        <v>0</v>
      </c>
      <c r="S3" s="18" t="b">
        <v>0</v>
      </c>
      <c r="T3" s="16"/>
      <c r="U3" s="21">
        <f t="shared" si="8"/>
        <v>0</v>
      </c>
      <c r="V3" s="21">
        <f t="shared" ref="V3:AB3" si="9">if(OR(AW3 = $AO$4, AW3 = $AQ$4), 1, 0)</f>
        <v>1</v>
      </c>
      <c r="W3" s="21">
        <f t="shared" si="9"/>
        <v>0</v>
      </c>
      <c r="X3" s="21">
        <f t="shared" si="9"/>
        <v>0</v>
      </c>
      <c r="Y3" s="21">
        <f t="shared" si="9"/>
        <v>0</v>
      </c>
      <c r="Z3" s="21">
        <f t="shared" si="9"/>
        <v>0</v>
      </c>
      <c r="AA3" s="21">
        <f t="shared" si="9"/>
        <v>0</v>
      </c>
      <c r="AB3" s="21">
        <f t="shared" si="9"/>
        <v>0</v>
      </c>
      <c r="AC3" s="21">
        <f t="shared" si="10"/>
        <v>1</v>
      </c>
      <c r="AD3" s="21">
        <f t="shared" si="11"/>
        <v>1</v>
      </c>
      <c r="AE3" s="21">
        <f t="shared" ref="AE3:AH3" si="12">if(OR(BD3 = $AO$6, BD3 = $AS$6, BD3 = $AT$6, BD3 = $AU$6), 1, 0)</f>
        <v>1</v>
      </c>
      <c r="AF3" s="21">
        <f t="shared" si="12"/>
        <v>1</v>
      </c>
      <c r="AG3" s="21">
        <f t="shared" si="12"/>
        <v>0</v>
      </c>
      <c r="AH3" s="21">
        <f t="shared" si="12"/>
        <v>0</v>
      </c>
      <c r="AI3" s="21">
        <f t="shared" si="13"/>
        <v>2</v>
      </c>
      <c r="AJ3" s="21">
        <f t="shared" si="14"/>
        <v>4</v>
      </c>
      <c r="AK3" s="59">
        <f t="shared" si="15"/>
        <v>2.5</v>
      </c>
      <c r="AL3" s="60" t="str">
        <f t="shared" si="16"/>
        <v>subpar</v>
      </c>
      <c r="AM3" s="56" t="s">
        <v>558</v>
      </c>
      <c r="AN3" s="36" t="s">
        <v>55</v>
      </c>
      <c r="AO3" s="17" t="str">
        <f>IFERROR(__xludf.DUMMYFUNCTION("SPLIT(AN3, "","")"),"Oost-Vlaanderen")</f>
        <v>Oost-Vlaanderen</v>
      </c>
      <c r="AP3" s="42"/>
      <c r="AQ3" s="42" t="str">
        <f t="shared" ref="AQ3:AQ5" si="22">TRIM(AP3)</f>
        <v/>
      </c>
      <c r="AW3" s="22" t="str">
        <f t="shared" ref="AW3:BC3" si="17">IF(IFERROR(SEARCH(E$1, $D3),0) &gt;= 1, E$1,0)</f>
        <v>Geschiedenis en archeologie</v>
      </c>
      <c r="AX3" s="22">
        <f t="shared" si="17"/>
        <v>0</v>
      </c>
      <c r="AY3" s="22">
        <f t="shared" si="17"/>
        <v>0</v>
      </c>
      <c r="AZ3" s="22">
        <f t="shared" si="17"/>
        <v>0</v>
      </c>
      <c r="BA3" s="22">
        <f t="shared" si="17"/>
        <v>0</v>
      </c>
      <c r="BB3" s="22">
        <f t="shared" si="17"/>
        <v>0</v>
      </c>
      <c r="BC3" s="22">
        <f t="shared" si="17"/>
        <v>0</v>
      </c>
      <c r="BD3" s="22" t="str">
        <f t="shared" ref="BD3:BG3" si="18">IF(L3 = true, BD$1, 0)</f>
        <v>Shop</v>
      </c>
      <c r="BE3" s="22" t="str">
        <f t="shared" si="18"/>
        <v>Café</v>
      </c>
      <c r="BF3" s="22">
        <f t="shared" si="18"/>
        <v>0</v>
      </c>
      <c r="BG3" s="22">
        <f t="shared" si="18"/>
        <v>0</v>
      </c>
      <c r="BH3" s="22" t="str">
        <f>IFERROR(__xludf.DUMMYFUNCTION("""COMPUTED_VALUE"""),"Museum Dr. Guislain")</f>
        <v>Museum Dr. Guislain</v>
      </c>
      <c r="BI3" s="24">
        <f>IFERROR(__xludf.DUMMYFUNCTION("""COMPUTED_VALUE"""),10.0)</f>
        <v>10</v>
      </c>
      <c r="BJ3" s="22" t="b">
        <f>IFERROR(__xludf.DUMMYFUNCTION("""COMPUTED_VALUE"""),FALSE)</f>
        <v>0</v>
      </c>
      <c r="BK3" s="22" t="b">
        <f>IFERROR(__xludf.DUMMYFUNCTION("""COMPUTED_VALUE"""),TRUE)</f>
        <v>1</v>
      </c>
      <c r="BL3" s="24">
        <f>IFERROR(__xludf.DUMMYFUNCTION("""COMPUTED_VALUE"""),10.0)</f>
        <v>10</v>
      </c>
      <c r="BM3" s="22">
        <f>IFERROR(__xludf.DUMMYFUNCTION("""COMPUTED_VALUE"""),1.0)</f>
        <v>1</v>
      </c>
      <c r="BN3" s="22">
        <f>IFERROR(__xludf.DUMMYFUNCTION("""COMPUTED_VALUE"""),1.0)</f>
        <v>1</v>
      </c>
      <c r="BO3" s="22">
        <f>IFERROR(__xludf.DUMMYFUNCTION("""COMPUTED_VALUE"""),0.0)</f>
        <v>0</v>
      </c>
      <c r="BP3" s="22">
        <f>IFERROR(__xludf.DUMMYFUNCTION("""COMPUTED_VALUE"""),0.0)</f>
        <v>0</v>
      </c>
      <c r="BQ3" s="22">
        <f>IFERROR(__xludf.DUMMYFUNCTION("""COMPUTED_VALUE"""),0.0)</f>
        <v>0</v>
      </c>
      <c r="BR3" s="22">
        <f>IFERROR(__xludf.DUMMYFUNCTION("""COMPUTED_VALUE"""),0.0)</f>
        <v>0</v>
      </c>
      <c r="BS3" s="22">
        <f>IFERROR(__xludf.DUMMYFUNCTION("""COMPUTED_VALUE"""),1.0)</f>
        <v>1</v>
      </c>
      <c r="BT3" s="22">
        <f>IFERROR(__xludf.DUMMYFUNCTION("""COMPUTED_VALUE"""),0.0)</f>
        <v>0</v>
      </c>
      <c r="BU3" s="22">
        <f>IFERROR(__xludf.DUMMYFUNCTION("""COMPUTED_VALUE"""),2.0)</f>
        <v>2</v>
      </c>
      <c r="BV3" s="22">
        <f>IFERROR(__xludf.DUMMYFUNCTION("""COMPUTED_VALUE"""),1.0)</f>
        <v>1</v>
      </c>
      <c r="BW3" s="22">
        <f>IFERROR(__xludf.DUMMYFUNCTION("""COMPUTED_VALUE"""),1.0)</f>
        <v>1</v>
      </c>
      <c r="BX3" s="22">
        <f>IFERROR(__xludf.DUMMYFUNCTION("""COMPUTED_VALUE"""),1.0)</f>
        <v>1</v>
      </c>
      <c r="BY3" s="22">
        <f>IFERROR(__xludf.DUMMYFUNCTION("""COMPUTED_VALUE"""),1.0)</f>
        <v>1</v>
      </c>
      <c r="BZ3" s="22">
        <f>IFERROR(__xludf.DUMMYFUNCTION("""COMPUTED_VALUE"""),0.0)</f>
        <v>0</v>
      </c>
      <c r="CA3" s="22">
        <f>IFERROR(__xludf.DUMMYFUNCTION("""COMPUTED_VALUE"""),3.0)</f>
        <v>3</v>
      </c>
      <c r="CB3" s="22">
        <f>IFERROR(__xludf.DUMMYFUNCTION("""COMPUTED_VALUE"""),7.0)</f>
        <v>7</v>
      </c>
      <c r="CC3" s="61">
        <f>IFERROR(__xludf.DUMMYFUNCTION("""COMPUTED_VALUE"""),4.375)</f>
        <v>4.375</v>
      </c>
      <c r="CD3" s="62" t="str">
        <f>IFERROR(__xludf.DUMMYFUNCTION("""COMPUTED_VALUE"""),"excellent")</f>
        <v>excellent</v>
      </c>
      <c r="CE3" s="22" t="s">
        <v>523</v>
      </c>
      <c r="CF3" s="24">
        <v>10.0</v>
      </c>
      <c r="CG3" s="22" t="b">
        <v>0</v>
      </c>
      <c r="CH3" s="22" t="b">
        <v>1</v>
      </c>
      <c r="CI3" s="24">
        <v>10.0</v>
      </c>
      <c r="CJ3" s="22">
        <v>1.0</v>
      </c>
      <c r="CK3" s="22">
        <v>1.0</v>
      </c>
      <c r="CL3" s="22">
        <v>0.0</v>
      </c>
      <c r="CM3" s="22">
        <v>0.0</v>
      </c>
      <c r="CN3" s="22">
        <v>0.0</v>
      </c>
      <c r="CO3" s="22">
        <v>0.0</v>
      </c>
      <c r="CP3" s="22">
        <v>1.0</v>
      </c>
      <c r="CQ3" s="22">
        <v>0.0</v>
      </c>
      <c r="CR3" s="22">
        <v>2.0</v>
      </c>
      <c r="CS3" s="22">
        <v>1.0</v>
      </c>
      <c r="CT3" s="22">
        <v>1.0</v>
      </c>
      <c r="CU3" s="22">
        <v>1.0</v>
      </c>
      <c r="CV3" s="22">
        <v>1.0</v>
      </c>
      <c r="CW3" s="22">
        <v>0.0</v>
      </c>
      <c r="CX3" s="22">
        <v>3.0</v>
      </c>
      <c r="CY3" s="22">
        <v>7.0</v>
      </c>
      <c r="CZ3" s="61">
        <v>4.375</v>
      </c>
      <c r="DA3" s="62" t="s">
        <v>557</v>
      </c>
    </row>
    <row r="4">
      <c r="A4" s="16" t="s">
        <v>29</v>
      </c>
      <c r="B4" s="16" t="s">
        <v>30</v>
      </c>
      <c r="C4" s="16" t="s">
        <v>26</v>
      </c>
      <c r="D4" s="16" t="s">
        <v>5</v>
      </c>
      <c r="E4" s="17" t="b">
        <f t="shared" ref="E4:K4" si="19">If(IFERROR(SEARCH(E$1, $D4),0) &gt;= 1, true,false)</f>
        <v>0</v>
      </c>
      <c r="F4" s="17" t="b">
        <f t="shared" si="19"/>
        <v>1</v>
      </c>
      <c r="G4" s="17" t="b">
        <f t="shared" si="19"/>
        <v>0</v>
      </c>
      <c r="H4" s="17" t="b">
        <f t="shared" si="19"/>
        <v>0</v>
      </c>
      <c r="I4" s="17" t="b">
        <f t="shared" si="19"/>
        <v>0</v>
      </c>
      <c r="J4" s="17" t="b">
        <f t="shared" si="19"/>
        <v>0</v>
      </c>
      <c r="K4" s="17" t="b">
        <f t="shared" si="19"/>
        <v>0</v>
      </c>
      <c r="L4" s="18" t="b">
        <v>1</v>
      </c>
      <c r="M4" s="18" t="b">
        <v>1</v>
      </c>
      <c r="N4" s="18" t="b">
        <v>1</v>
      </c>
      <c r="O4" s="18" t="b">
        <v>0</v>
      </c>
      <c r="P4" s="16" t="str">
        <f t="shared" si="7"/>
        <v>NAM-IP Computermuseum</v>
      </c>
      <c r="Q4" s="26">
        <v>8.0</v>
      </c>
      <c r="R4" s="18" t="b">
        <v>0</v>
      </c>
      <c r="S4" s="18" t="b">
        <v>0</v>
      </c>
      <c r="U4" s="21">
        <f t="shared" si="8"/>
        <v>0</v>
      </c>
      <c r="V4" s="21">
        <f t="shared" ref="V4:AB4" si="20">if(OR(AW4 = $AO$4, AW4 = $AQ$4), 1, 0)</f>
        <v>0</v>
      </c>
      <c r="W4" s="21">
        <f t="shared" si="20"/>
        <v>0</v>
      </c>
      <c r="X4" s="21">
        <f t="shared" si="20"/>
        <v>0</v>
      </c>
      <c r="Y4" s="21">
        <f t="shared" si="20"/>
        <v>0</v>
      </c>
      <c r="Z4" s="21">
        <f t="shared" si="20"/>
        <v>0</v>
      </c>
      <c r="AA4" s="21">
        <f t="shared" si="20"/>
        <v>0</v>
      </c>
      <c r="AB4" s="21">
        <f t="shared" si="20"/>
        <v>0</v>
      </c>
      <c r="AC4" s="21">
        <f t="shared" si="10"/>
        <v>0</v>
      </c>
      <c r="AD4" s="21">
        <f t="shared" si="11"/>
        <v>1</v>
      </c>
      <c r="AE4" s="21">
        <f t="shared" ref="AE4:AH4" si="21">if(OR(BD4 = $AO$6, BD4 = $AS$6, BD4 = $AT$6, BD4 = $AU$6), 1, 0)</f>
        <v>1</v>
      </c>
      <c r="AF4" s="21">
        <f t="shared" si="21"/>
        <v>1</v>
      </c>
      <c r="AG4" s="21">
        <f t="shared" si="21"/>
        <v>1</v>
      </c>
      <c r="AH4" s="21">
        <f t="shared" si="21"/>
        <v>0</v>
      </c>
      <c r="AI4" s="21">
        <f t="shared" si="13"/>
        <v>3</v>
      </c>
      <c r="AJ4" s="21">
        <f t="shared" si="14"/>
        <v>4</v>
      </c>
      <c r="AK4" s="59">
        <f t="shared" si="15"/>
        <v>2.5</v>
      </c>
      <c r="AL4" s="60" t="str">
        <f t="shared" si="16"/>
        <v>subpar</v>
      </c>
      <c r="AM4" s="56" t="s">
        <v>559</v>
      </c>
      <c r="AN4" s="36" t="s">
        <v>560</v>
      </c>
      <c r="AO4" s="16" t="str">
        <f>IFERROR(__xludf.DUMMYFUNCTION("SPLIT(AN4, "","")"),"Geschiedenis en archeologie")</f>
        <v>Geschiedenis en archeologie</v>
      </c>
      <c r="AP4" s="22" t="str">
        <f>IFERROR(__xludf.DUMMYFUNCTION("""COMPUTED_VALUE""")," Beeldende Kunst")</f>
        <v> Beeldende Kunst</v>
      </c>
      <c r="AQ4" s="22" t="str">
        <f t="shared" si="22"/>
        <v>Beeldende Kunst</v>
      </c>
      <c r="AW4" s="22">
        <f t="shared" ref="AW4:BC4" si="23">IF(IFERROR(SEARCH(E$1, $D4),0) &gt;= 1, E$1,0)</f>
        <v>0</v>
      </c>
      <c r="AX4" s="22" t="str">
        <f t="shared" si="23"/>
        <v>Wetenschap en technologie</v>
      </c>
      <c r="AY4" s="22">
        <f t="shared" si="23"/>
        <v>0</v>
      </c>
      <c r="AZ4" s="22">
        <f t="shared" si="23"/>
        <v>0</v>
      </c>
      <c r="BA4" s="22">
        <f t="shared" si="23"/>
        <v>0</v>
      </c>
      <c r="BB4" s="22">
        <f t="shared" si="23"/>
        <v>0</v>
      </c>
      <c r="BC4" s="22">
        <f t="shared" si="23"/>
        <v>0</v>
      </c>
      <c r="BD4" s="22" t="str">
        <f t="shared" ref="BD4:BG4" si="24">IF(L4 = true, BD$1, 0)</f>
        <v>Shop</v>
      </c>
      <c r="BE4" s="22" t="str">
        <f t="shared" si="24"/>
        <v>Café</v>
      </c>
      <c r="BF4" s="22" t="str">
        <f t="shared" si="24"/>
        <v>Parking</v>
      </c>
      <c r="BG4" s="22">
        <f t="shared" si="24"/>
        <v>0</v>
      </c>
      <c r="BH4" s="22" t="str">
        <f>IFERROR(__xludf.DUMMYFUNCTION("""COMPUTED_VALUE"""),"Bakkerijmuseum")</f>
        <v>Bakkerijmuseum</v>
      </c>
      <c r="BI4" s="24">
        <f>IFERROR(__xludf.DUMMYFUNCTION("""COMPUTED_VALUE"""),8.0)</f>
        <v>8</v>
      </c>
      <c r="BJ4" s="22" t="b">
        <f>IFERROR(__xludf.DUMMYFUNCTION("""COMPUTED_VALUE"""),FALSE)</f>
        <v>0</v>
      </c>
      <c r="BK4" s="22" t="b">
        <f>IFERROR(__xludf.DUMMYFUNCTION("""COMPUTED_VALUE"""),FALSE)</f>
        <v>0</v>
      </c>
      <c r="BL4" s="22"/>
      <c r="BM4" s="22">
        <f>IFERROR(__xludf.DUMMYFUNCTION("""COMPUTED_VALUE"""),0.0)</f>
        <v>0</v>
      </c>
      <c r="BN4" s="22">
        <f>IFERROR(__xludf.DUMMYFUNCTION("""COMPUTED_VALUE"""),1.0)</f>
        <v>1</v>
      </c>
      <c r="BO4" s="22">
        <f>IFERROR(__xludf.DUMMYFUNCTION("""COMPUTED_VALUE"""),0.0)</f>
        <v>0</v>
      </c>
      <c r="BP4" s="22">
        <f>IFERROR(__xludf.DUMMYFUNCTION("""COMPUTED_VALUE"""),0.0)</f>
        <v>0</v>
      </c>
      <c r="BQ4" s="22">
        <f>IFERROR(__xludf.DUMMYFUNCTION("""COMPUTED_VALUE"""),0.0)</f>
        <v>0</v>
      </c>
      <c r="BR4" s="22">
        <f>IFERROR(__xludf.DUMMYFUNCTION("""COMPUTED_VALUE"""),0.0)</f>
        <v>0</v>
      </c>
      <c r="BS4" s="22">
        <f>IFERROR(__xludf.DUMMYFUNCTION("""COMPUTED_VALUE"""),0.0)</f>
        <v>0</v>
      </c>
      <c r="BT4" s="22">
        <f>IFERROR(__xludf.DUMMYFUNCTION("""COMPUTED_VALUE"""),0.0)</f>
        <v>0</v>
      </c>
      <c r="BU4" s="22">
        <f>IFERROR(__xludf.DUMMYFUNCTION("""COMPUTED_VALUE"""),1.0)</f>
        <v>1</v>
      </c>
      <c r="BV4" s="22">
        <f>IFERROR(__xludf.DUMMYFUNCTION("""COMPUTED_VALUE"""),1.0)</f>
        <v>1</v>
      </c>
      <c r="BW4" s="22">
        <f>IFERROR(__xludf.DUMMYFUNCTION("""COMPUTED_VALUE"""),1.0)</f>
        <v>1</v>
      </c>
      <c r="BX4" s="22">
        <f>IFERROR(__xludf.DUMMYFUNCTION("""COMPUTED_VALUE"""),1.0)</f>
        <v>1</v>
      </c>
      <c r="BY4" s="22">
        <f>IFERROR(__xludf.DUMMYFUNCTION("""COMPUTED_VALUE"""),1.0)</f>
        <v>1</v>
      </c>
      <c r="BZ4" s="22">
        <f>IFERROR(__xludf.DUMMYFUNCTION("""COMPUTED_VALUE"""),1.0)</f>
        <v>1</v>
      </c>
      <c r="CA4" s="22">
        <f>IFERROR(__xludf.DUMMYFUNCTION("""COMPUTED_VALUE"""),4.0)</f>
        <v>4</v>
      </c>
      <c r="CB4" s="22">
        <f>IFERROR(__xludf.DUMMYFUNCTION("""COMPUTED_VALUE"""),6.0)</f>
        <v>6</v>
      </c>
      <c r="CC4" s="61">
        <f>IFERROR(__xludf.DUMMYFUNCTION("""COMPUTED_VALUE"""),3.75)</f>
        <v>3.75</v>
      </c>
      <c r="CD4" s="62" t="str">
        <f>IFERROR(__xludf.DUMMYFUNCTION("""COMPUTED_VALUE"""),"good")</f>
        <v>good</v>
      </c>
      <c r="CE4" s="22" t="s">
        <v>71</v>
      </c>
      <c r="CF4" s="24">
        <v>8.0</v>
      </c>
      <c r="CG4" s="22" t="b">
        <v>0</v>
      </c>
      <c r="CH4" s="22" t="b">
        <v>0</v>
      </c>
      <c r="CI4" s="22"/>
      <c r="CJ4" s="22">
        <v>0.0</v>
      </c>
      <c r="CK4" s="22">
        <v>1.0</v>
      </c>
      <c r="CL4" s="22">
        <v>0.0</v>
      </c>
      <c r="CM4" s="22">
        <v>0.0</v>
      </c>
      <c r="CN4" s="22">
        <v>0.0</v>
      </c>
      <c r="CO4" s="22">
        <v>0.0</v>
      </c>
      <c r="CP4" s="22">
        <v>0.0</v>
      </c>
      <c r="CQ4" s="22">
        <v>0.0</v>
      </c>
      <c r="CR4" s="22">
        <v>1.0</v>
      </c>
      <c r="CS4" s="22">
        <v>1.0</v>
      </c>
      <c r="CT4" s="22">
        <v>1.0</v>
      </c>
      <c r="CU4" s="22">
        <v>1.0</v>
      </c>
      <c r="CV4" s="22">
        <v>1.0</v>
      </c>
      <c r="CW4" s="22">
        <v>1.0</v>
      </c>
      <c r="CX4" s="22">
        <v>4.0</v>
      </c>
      <c r="CY4" s="22">
        <v>6.0</v>
      </c>
      <c r="CZ4" s="61">
        <v>3.75</v>
      </c>
      <c r="DA4" s="62" t="s">
        <v>561</v>
      </c>
    </row>
    <row r="5">
      <c r="A5" s="16" t="s">
        <v>32</v>
      </c>
      <c r="B5" s="16" t="s">
        <v>33</v>
      </c>
      <c r="C5" s="16" t="s">
        <v>26</v>
      </c>
      <c r="D5" s="16" t="s">
        <v>4</v>
      </c>
      <c r="E5" s="17" t="b">
        <f t="shared" ref="E5:K5" si="25">If(IFERROR(SEARCH(E$1, $D5),0) &gt;= 1, true,false)</f>
        <v>1</v>
      </c>
      <c r="F5" s="17" t="b">
        <f t="shared" si="25"/>
        <v>0</v>
      </c>
      <c r="G5" s="17" t="b">
        <f t="shared" si="25"/>
        <v>0</v>
      </c>
      <c r="H5" s="17" t="b">
        <f t="shared" si="25"/>
        <v>0</v>
      </c>
      <c r="I5" s="17" t="b">
        <f t="shared" si="25"/>
        <v>0</v>
      </c>
      <c r="J5" s="17" t="b">
        <f t="shared" si="25"/>
        <v>0</v>
      </c>
      <c r="K5" s="17" t="b">
        <f t="shared" si="25"/>
        <v>0</v>
      </c>
      <c r="L5" s="18" t="b">
        <v>1</v>
      </c>
      <c r="M5" s="18" t="b">
        <v>0</v>
      </c>
      <c r="N5" s="18" t="b">
        <v>0</v>
      </c>
      <c r="O5" s="18" t="b">
        <v>0</v>
      </c>
      <c r="P5" s="16" t="str">
        <f t="shared" si="7"/>
        <v>Ecomuseum van de Viroin</v>
      </c>
      <c r="Q5" s="19">
        <v>4.0</v>
      </c>
      <c r="R5" s="18" t="b">
        <v>0</v>
      </c>
      <c r="S5" s="18" t="b">
        <v>1</v>
      </c>
      <c r="T5" s="27">
        <v>4.0</v>
      </c>
      <c r="U5" s="21">
        <f t="shared" si="8"/>
        <v>0</v>
      </c>
      <c r="V5" s="21">
        <f t="shared" ref="V5:AB5" si="26">if(OR(AW5 = $AO$4, AW5 = $AQ$4), 1, 0)</f>
        <v>1</v>
      </c>
      <c r="W5" s="21">
        <f t="shared" si="26"/>
        <v>0</v>
      </c>
      <c r="X5" s="21">
        <f t="shared" si="26"/>
        <v>0</v>
      </c>
      <c r="Y5" s="21">
        <f t="shared" si="26"/>
        <v>0</v>
      </c>
      <c r="Z5" s="21">
        <f t="shared" si="26"/>
        <v>0</v>
      </c>
      <c r="AA5" s="21">
        <f t="shared" si="26"/>
        <v>0</v>
      </c>
      <c r="AB5" s="21">
        <f t="shared" si="26"/>
        <v>0</v>
      </c>
      <c r="AC5" s="21">
        <f t="shared" si="10"/>
        <v>1</v>
      </c>
      <c r="AD5" s="21">
        <f t="shared" si="11"/>
        <v>1</v>
      </c>
      <c r="AE5" s="21">
        <f t="shared" ref="AE5:AH5" si="27">if(OR(BD5 = $AO$6, BD5 = $AS$6, BD5 = $AT$6, BD5 = $AU$6), 1, 0)</f>
        <v>1</v>
      </c>
      <c r="AF5" s="21">
        <f t="shared" si="27"/>
        <v>0</v>
      </c>
      <c r="AG5" s="21">
        <f t="shared" si="27"/>
        <v>0</v>
      </c>
      <c r="AH5" s="21">
        <f t="shared" si="27"/>
        <v>0</v>
      </c>
      <c r="AI5" s="21">
        <f t="shared" si="13"/>
        <v>1</v>
      </c>
      <c r="AJ5" s="21">
        <f t="shared" si="14"/>
        <v>3</v>
      </c>
      <c r="AK5" s="59">
        <f t="shared" si="15"/>
        <v>1.875</v>
      </c>
      <c r="AL5" s="60" t="str">
        <f t="shared" si="16"/>
        <v>subpar</v>
      </c>
      <c r="AM5" s="56" t="s">
        <v>562</v>
      </c>
      <c r="AN5" s="35">
        <v>10.0</v>
      </c>
      <c r="AO5" s="16"/>
      <c r="AQ5" s="22" t="str">
        <f t="shared" si="22"/>
        <v/>
      </c>
      <c r="AW5" s="22" t="str">
        <f t="shared" ref="AW5:BC5" si="28">IF(IFERROR(SEARCH(E$1, $D5),0) &gt;= 1, E$1,0)</f>
        <v>Geschiedenis en archeologie</v>
      </c>
      <c r="AX5" s="22">
        <f t="shared" si="28"/>
        <v>0</v>
      </c>
      <c r="AY5" s="22">
        <f t="shared" si="28"/>
        <v>0</v>
      </c>
      <c r="AZ5" s="22">
        <f t="shared" si="28"/>
        <v>0</v>
      </c>
      <c r="BA5" s="22">
        <f t="shared" si="28"/>
        <v>0</v>
      </c>
      <c r="BB5" s="22">
        <f t="shared" si="28"/>
        <v>0</v>
      </c>
      <c r="BC5" s="22">
        <f t="shared" si="28"/>
        <v>0</v>
      </c>
      <c r="BD5" s="22" t="str">
        <f t="shared" ref="BD5:BG5" si="29">IF(L5 = true, BD$1, 0)</f>
        <v>Shop</v>
      </c>
      <c r="BE5" s="22">
        <f t="shared" si="29"/>
        <v>0</v>
      </c>
      <c r="BF5" s="22">
        <f t="shared" si="29"/>
        <v>0</v>
      </c>
      <c r="BG5" s="22">
        <f t="shared" si="29"/>
        <v>0</v>
      </c>
      <c r="BH5" s="22" t="str">
        <f>IFERROR(__xludf.DUMMYFUNCTION("""COMPUTED_VALUE"""),"NAVIGO Visserijmuseum")</f>
        <v>NAVIGO Visserijmuseum</v>
      </c>
      <c r="BI5" s="24">
        <f>IFERROR(__xludf.DUMMYFUNCTION("""COMPUTED_VALUE"""),10.0)</f>
        <v>10</v>
      </c>
      <c r="BJ5" s="22" t="b">
        <f>IFERROR(__xludf.DUMMYFUNCTION("""COMPUTED_VALUE"""),FALSE)</f>
        <v>0</v>
      </c>
      <c r="BK5" s="22" t="b">
        <f>IFERROR(__xludf.DUMMYFUNCTION("""COMPUTED_VALUE"""),TRUE)</f>
        <v>1</v>
      </c>
      <c r="BL5" s="24">
        <f>IFERROR(__xludf.DUMMYFUNCTION("""COMPUTED_VALUE"""),0.0)</f>
        <v>0</v>
      </c>
      <c r="BM5" s="22">
        <f>IFERROR(__xludf.DUMMYFUNCTION("""COMPUTED_VALUE"""),0.0)</f>
        <v>0</v>
      </c>
      <c r="BN5" s="22">
        <f>IFERROR(__xludf.DUMMYFUNCTION("""COMPUTED_VALUE"""),0.0)</f>
        <v>0</v>
      </c>
      <c r="BO5" s="22">
        <f>IFERROR(__xludf.DUMMYFUNCTION("""COMPUTED_VALUE"""),0.0)</f>
        <v>0</v>
      </c>
      <c r="BP5" s="22">
        <f>IFERROR(__xludf.DUMMYFUNCTION("""COMPUTED_VALUE"""),0.0)</f>
        <v>0</v>
      </c>
      <c r="BQ5" s="22">
        <f>IFERROR(__xludf.DUMMYFUNCTION("""COMPUTED_VALUE"""),0.0)</f>
        <v>0</v>
      </c>
      <c r="BR5" s="22">
        <f>IFERROR(__xludf.DUMMYFUNCTION("""COMPUTED_VALUE"""),0.0)</f>
        <v>0</v>
      </c>
      <c r="BS5" s="22">
        <f>IFERROR(__xludf.DUMMYFUNCTION("""COMPUTED_VALUE"""),1.0)</f>
        <v>1</v>
      </c>
      <c r="BT5" s="22">
        <f>IFERROR(__xludf.DUMMYFUNCTION("""COMPUTED_VALUE"""),0.0)</f>
        <v>0</v>
      </c>
      <c r="BU5" s="22">
        <f>IFERROR(__xludf.DUMMYFUNCTION("""COMPUTED_VALUE"""),1.0)</f>
        <v>1</v>
      </c>
      <c r="BV5" s="22">
        <f>IFERROR(__xludf.DUMMYFUNCTION("""COMPUTED_VALUE"""),1.0)</f>
        <v>1</v>
      </c>
      <c r="BW5" s="22">
        <f>IFERROR(__xludf.DUMMYFUNCTION("""COMPUTED_VALUE"""),1.0)</f>
        <v>1</v>
      </c>
      <c r="BX5" s="22">
        <f>IFERROR(__xludf.DUMMYFUNCTION("""COMPUTED_VALUE"""),1.0)</f>
        <v>1</v>
      </c>
      <c r="BY5" s="22">
        <f>IFERROR(__xludf.DUMMYFUNCTION("""COMPUTED_VALUE"""),1.0)</f>
        <v>1</v>
      </c>
      <c r="BZ5" s="22">
        <f>IFERROR(__xludf.DUMMYFUNCTION("""COMPUTED_VALUE"""),1.0)</f>
        <v>1</v>
      </c>
      <c r="CA5" s="22">
        <f>IFERROR(__xludf.DUMMYFUNCTION("""COMPUTED_VALUE"""),4.0)</f>
        <v>4</v>
      </c>
      <c r="CB5" s="22">
        <f>IFERROR(__xludf.DUMMYFUNCTION("""COMPUTED_VALUE"""),6.0)</f>
        <v>6</v>
      </c>
      <c r="CC5" s="61">
        <f>IFERROR(__xludf.DUMMYFUNCTION("""COMPUTED_VALUE"""),3.75)</f>
        <v>3.75</v>
      </c>
      <c r="CD5" s="62" t="str">
        <f>IFERROR(__xludf.DUMMYFUNCTION("""COMPUTED_VALUE"""),"good")</f>
        <v>good</v>
      </c>
      <c r="CE5" s="22" t="s">
        <v>116</v>
      </c>
      <c r="CF5" s="24">
        <v>10.0</v>
      </c>
      <c r="CG5" s="22" t="b">
        <v>0</v>
      </c>
      <c r="CH5" s="22" t="b">
        <v>1</v>
      </c>
      <c r="CI5" s="24">
        <v>0.0</v>
      </c>
      <c r="CJ5" s="22">
        <v>0.0</v>
      </c>
      <c r="CK5" s="22">
        <v>0.0</v>
      </c>
      <c r="CL5" s="22">
        <v>0.0</v>
      </c>
      <c r="CM5" s="22">
        <v>0.0</v>
      </c>
      <c r="CN5" s="22">
        <v>0.0</v>
      </c>
      <c r="CO5" s="22">
        <v>0.0</v>
      </c>
      <c r="CP5" s="22">
        <v>1.0</v>
      </c>
      <c r="CQ5" s="22">
        <v>0.0</v>
      </c>
      <c r="CR5" s="22">
        <v>1.0</v>
      </c>
      <c r="CS5" s="22">
        <v>1.0</v>
      </c>
      <c r="CT5" s="22">
        <v>1.0</v>
      </c>
      <c r="CU5" s="22">
        <v>1.0</v>
      </c>
      <c r="CV5" s="22">
        <v>1.0</v>
      </c>
      <c r="CW5" s="22">
        <v>1.0</v>
      </c>
      <c r="CX5" s="22">
        <v>4.0</v>
      </c>
      <c r="CY5" s="22">
        <v>6.0</v>
      </c>
      <c r="CZ5" s="61">
        <v>3.75</v>
      </c>
      <c r="DA5" s="62" t="s">
        <v>561</v>
      </c>
    </row>
    <row r="6">
      <c r="A6" s="15" t="s">
        <v>35</v>
      </c>
      <c r="B6" s="16" t="s">
        <v>36</v>
      </c>
      <c r="C6" s="16" t="s">
        <v>26</v>
      </c>
      <c r="D6" s="16" t="s">
        <v>37</v>
      </c>
      <c r="E6" s="17" t="b">
        <f t="shared" ref="E6:K6" si="30">If(IFERROR(SEARCH(E$1, $D6),0) &gt;= 1, true,false)</f>
        <v>1</v>
      </c>
      <c r="F6" s="17" t="b">
        <f t="shared" si="30"/>
        <v>0</v>
      </c>
      <c r="G6" s="17" t="b">
        <f t="shared" si="30"/>
        <v>0</v>
      </c>
      <c r="H6" s="17" t="b">
        <f t="shared" si="30"/>
        <v>0</v>
      </c>
      <c r="I6" s="17" t="b">
        <f t="shared" si="30"/>
        <v>0</v>
      </c>
      <c r="J6" s="17" t="b">
        <f t="shared" si="30"/>
        <v>0</v>
      </c>
      <c r="K6" s="17" t="b">
        <f t="shared" si="30"/>
        <v>1</v>
      </c>
      <c r="L6" s="18" t="b">
        <v>1</v>
      </c>
      <c r="M6" s="18" t="b">
        <v>0</v>
      </c>
      <c r="N6" s="18" t="b">
        <v>0</v>
      </c>
      <c r="O6" s="18" t="b">
        <v>0</v>
      </c>
      <c r="P6" s="16" t="str">
        <f t="shared" si="7"/>
        <v>Andenne Museum</v>
      </c>
      <c r="Q6" s="19">
        <v>10.0</v>
      </c>
      <c r="R6" s="18" t="b">
        <v>0</v>
      </c>
      <c r="S6" s="18" t="b">
        <v>0</v>
      </c>
      <c r="U6" s="21">
        <f t="shared" si="8"/>
        <v>0</v>
      </c>
      <c r="V6" s="21">
        <f t="shared" ref="V6:AB6" si="31">if(OR(AW6 = $AO$4, AW6 = $AQ$4), 1, 0)</f>
        <v>1</v>
      </c>
      <c r="W6" s="21">
        <f t="shared" si="31"/>
        <v>0</v>
      </c>
      <c r="X6" s="21">
        <f t="shared" si="31"/>
        <v>0</v>
      </c>
      <c r="Y6" s="21">
        <f t="shared" si="31"/>
        <v>0</v>
      </c>
      <c r="Z6" s="21">
        <f t="shared" si="31"/>
        <v>0</v>
      </c>
      <c r="AA6" s="21">
        <f t="shared" si="31"/>
        <v>0</v>
      </c>
      <c r="AB6" s="21">
        <f t="shared" si="31"/>
        <v>0</v>
      </c>
      <c r="AC6" s="21">
        <f t="shared" si="10"/>
        <v>1</v>
      </c>
      <c r="AD6" s="21">
        <f t="shared" si="11"/>
        <v>1</v>
      </c>
      <c r="AE6" s="21">
        <f t="shared" ref="AE6:AH6" si="32">if(OR(BD6 = $AO$6, BD6 = $AS$6, BD6 = $AT$6, BD6 = $AU$6), 1, 0)</f>
        <v>1</v>
      </c>
      <c r="AF6" s="21">
        <f t="shared" si="32"/>
        <v>0</v>
      </c>
      <c r="AG6" s="21">
        <f t="shared" si="32"/>
        <v>0</v>
      </c>
      <c r="AH6" s="21">
        <f t="shared" si="32"/>
        <v>0</v>
      </c>
      <c r="AI6" s="21">
        <f t="shared" si="13"/>
        <v>1</v>
      </c>
      <c r="AJ6" s="21">
        <f t="shared" si="14"/>
        <v>3</v>
      </c>
      <c r="AK6" s="59">
        <f t="shared" si="15"/>
        <v>1.875</v>
      </c>
      <c r="AL6" s="60" t="str">
        <f t="shared" si="16"/>
        <v>subpar</v>
      </c>
      <c r="AM6" s="56" t="s">
        <v>563</v>
      </c>
      <c r="AN6" s="36" t="s">
        <v>564</v>
      </c>
      <c r="AO6" s="16" t="str">
        <f>IFERROR(__xludf.DUMMYFUNCTION("SPLIT(AN6, "","")"),"Shop")</f>
        <v>Shop</v>
      </c>
      <c r="AP6" s="22" t="str">
        <f>IFERROR(__xludf.DUMMYFUNCTION("""COMPUTED_VALUE""")," Parking")</f>
        <v> Parking</v>
      </c>
      <c r="AQ6" s="22" t="str">
        <f>IFERROR(__xludf.DUMMYFUNCTION("""COMPUTED_VALUE""")," Restaurant")</f>
        <v> Restaurant</v>
      </c>
      <c r="AR6" s="22" t="str">
        <f>IFERROR(__xludf.DUMMYFUNCTION("""COMPUTED_VALUE""")," Café")</f>
        <v> Café</v>
      </c>
      <c r="AS6" s="22" t="str">
        <f t="shared" ref="AS6:AU6" si="33">TRIM(AP6)</f>
        <v>Parking</v>
      </c>
      <c r="AT6" s="22" t="str">
        <f t="shared" si="33"/>
        <v>Restaurant</v>
      </c>
      <c r="AU6" s="22" t="str">
        <f t="shared" si="33"/>
        <v>Café</v>
      </c>
      <c r="AW6" s="22" t="str">
        <f t="shared" ref="AW6:BC6" si="34">IF(IFERROR(SEARCH(E$1, $D6),0) &gt;= 1, E$1,0)</f>
        <v>Geschiedenis en archeologie</v>
      </c>
      <c r="AX6" s="22">
        <f t="shared" si="34"/>
        <v>0</v>
      </c>
      <c r="AY6" s="22">
        <f t="shared" si="34"/>
        <v>0</v>
      </c>
      <c r="AZ6" s="22">
        <f t="shared" si="34"/>
        <v>0</v>
      </c>
      <c r="BA6" s="22">
        <f t="shared" si="34"/>
        <v>0</v>
      </c>
      <c r="BB6" s="22">
        <f t="shared" si="34"/>
        <v>0</v>
      </c>
      <c r="BC6" s="22" t="str">
        <f t="shared" si="34"/>
        <v>Toegepaste kunst en design</v>
      </c>
      <c r="BD6" s="22" t="str">
        <f t="shared" ref="BD6:BG6" si="35">IF(L6 = true, BD$1, 0)</f>
        <v>Shop</v>
      </c>
      <c r="BE6" s="22">
        <f t="shared" si="35"/>
        <v>0</v>
      </c>
      <c r="BF6" s="22">
        <f t="shared" si="35"/>
        <v>0</v>
      </c>
      <c r="BG6" s="22">
        <f t="shared" si="35"/>
        <v>0</v>
      </c>
      <c r="BH6" s="22" t="str">
        <f>IFERROR(__xludf.DUMMYFUNCTION("""COMPUTED_VALUE"""),"Karrenmuseum Essen")</f>
        <v>Karrenmuseum Essen</v>
      </c>
      <c r="BI6" s="24">
        <f>IFERROR(__xludf.DUMMYFUNCTION("""COMPUTED_VALUE"""),6.0)</f>
        <v>6</v>
      </c>
      <c r="BJ6" s="22" t="b">
        <f>IFERROR(__xludf.DUMMYFUNCTION("""COMPUTED_VALUE"""),FALSE)</f>
        <v>0</v>
      </c>
      <c r="BK6" s="22" t="b">
        <f>IFERROR(__xludf.DUMMYFUNCTION("""COMPUTED_VALUE"""),FALSE)</f>
        <v>0</v>
      </c>
      <c r="BL6" s="22"/>
      <c r="BM6" s="22">
        <f>IFERROR(__xludf.DUMMYFUNCTION("""COMPUTED_VALUE"""),0.0)</f>
        <v>0</v>
      </c>
      <c r="BN6" s="22">
        <f>IFERROR(__xludf.DUMMYFUNCTION("""COMPUTED_VALUE"""),1.0)</f>
        <v>1</v>
      </c>
      <c r="BO6" s="22">
        <f>IFERROR(__xludf.DUMMYFUNCTION("""COMPUTED_VALUE"""),0.0)</f>
        <v>0</v>
      </c>
      <c r="BP6" s="22">
        <f>IFERROR(__xludf.DUMMYFUNCTION("""COMPUTED_VALUE"""),0.0)</f>
        <v>0</v>
      </c>
      <c r="BQ6" s="22">
        <f>IFERROR(__xludf.DUMMYFUNCTION("""COMPUTED_VALUE"""),0.0)</f>
        <v>0</v>
      </c>
      <c r="BR6" s="22">
        <f>IFERROR(__xludf.DUMMYFUNCTION("""COMPUTED_VALUE"""),0.0)</f>
        <v>0</v>
      </c>
      <c r="BS6" s="22">
        <f>IFERROR(__xludf.DUMMYFUNCTION("""COMPUTED_VALUE"""),0.0)</f>
        <v>0</v>
      </c>
      <c r="BT6" s="22">
        <f>IFERROR(__xludf.DUMMYFUNCTION("""COMPUTED_VALUE"""),0.0)</f>
        <v>0</v>
      </c>
      <c r="BU6" s="22">
        <f>IFERROR(__xludf.DUMMYFUNCTION("""COMPUTED_VALUE"""),1.0)</f>
        <v>1</v>
      </c>
      <c r="BV6" s="22">
        <f>IFERROR(__xludf.DUMMYFUNCTION("""COMPUTED_VALUE"""),1.0)</f>
        <v>1</v>
      </c>
      <c r="BW6" s="22">
        <f>IFERROR(__xludf.DUMMYFUNCTION("""COMPUTED_VALUE"""),1.0)</f>
        <v>1</v>
      </c>
      <c r="BX6" s="22">
        <f>IFERROR(__xludf.DUMMYFUNCTION("""COMPUTED_VALUE"""),1.0)</f>
        <v>1</v>
      </c>
      <c r="BY6" s="22">
        <f>IFERROR(__xludf.DUMMYFUNCTION("""COMPUTED_VALUE"""),1.0)</f>
        <v>1</v>
      </c>
      <c r="BZ6" s="22">
        <f>IFERROR(__xludf.DUMMYFUNCTION("""COMPUTED_VALUE"""),1.0)</f>
        <v>1</v>
      </c>
      <c r="CA6" s="22">
        <f>IFERROR(__xludf.DUMMYFUNCTION("""COMPUTED_VALUE"""),4.0)</f>
        <v>4</v>
      </c>
      <c r="CB6" s="22">
        <f>IFERROR(__xludf.DUMMYFUNCTION("""COMPUTED_VALUE"""),6.0)</f>
        <v>6</v>
      </c>
      <c r="CC6" s="61">
        <f>IFERROR(__xludf.DUMMYFUNCTION("""COMPUTED_VALUE"""),3.75)</f>
        <v>3.75</v>
      </c>
      <c r="CD6" s="62" t="str">
        <f>IFERROR(__xludf.DUMMYFUNCTION("""COMPUTED_VALUE"""),"good")</f>
        <v>good</v>
      </c>
      <c r="CE6" s="22" t="s">
        <v>168</v>
      </c>
      <c r="CF6" s="24">
        <v>6.0</v>
      </c>
      <c r="CG6" s="22" t="b">
        <v>0</v>
      </c>
      <c r="CH6" s="22" t="b">
        <v>0</v>
      </c>
      <c r="CI6" s="22"/>
      <c r="CJ6" s="22">
        <v>0.0</v>
      </c>
      <c r="CK6" s="22">
        <v>1.0</v>
      </c>
      <c r="CL6" s="22">
        <v>0.0</v>
      </c>
      <c r="CM6" s="22">
        <v>0.0</v>
      </c>
      <c r="CN6" s="22">
        <v>0.0</v>
      </c>
      <c r="CO6" s="22">
        <v>0.0</v>
      </c>
      <c r="CP6" s="22">
        <v>0.0</v>
      </c>
      <c r="CQ6" s="22">
        <v>0.0</v>
      </c>
      <c r="CR6" s="22">
        <v>1.0</v>
      </c>
      <c r="CS6" s="22">
        <v>1.0</v>
      </c>
      <c r="CT6" s="22">
        <v>1.0</v>
      </c>
      <c r="CU6" s="22">
        <v>1.0</v>
      </c>
      <c r="CV6" s="22">
        <v>1.0</v>
      </c>
      <c r="CW6" s="22">
        <v>1.0</v>
      </c>
      <c r="CX6" s="22">
        <v>4.0</v>
      </c>
      <c r="CY6" s="22">
        <v>6.0</v>
      </c>
      <c r="CZ6" s="61">
        <v>3.75</v>
      </c>
      <c r="DA6" s="62" t="s">
        <v>561</v>
      </c>
    </row>
    <row r="7">
      <c r="A7" s="16"/>
      <c r="B7" s="16" t="s">
        <v>39</v>
      </c>
      <c r="C7" s="16" t="s">
        <v>26</v>
      </c>
      <c r="D7" s="16" t="s">
        <v>9</v>
      </c>
      <c r="E7" s="17" t="b">
        <f t="shared" ref="E7:K7" si="36">If(IFERROR(SEARCH(E$1, $D7),0) &gt;= 1, true,false)</f>
        <v>0</v>
      </c>
      <c r="F7" s="17" t="b">
        <f t="shared" si="36"/>
        <v>0</v>
      </c>
      <c r="G7" s="17" t="b">
        <f t="shared" si="36"/>
        <v>0</v>
      </c>
      <c r="H7" s="17" t="b">
        <f t="shared" si="36"/>
        <v>0</v>
      </c>
      <c r="I7" s="17" t="b">
        <f t="shared" si="36"/>
        <v>0</v>
      </c>
      <c r="J7" s="17" t="b">
        <f t="shared" si="36"/>
        <v>1</v>
      </c>
      <c r="K7" s="17" t="b">
        <f t="shared" si="36"/>
        <v>0</v>
      </c>
      <c r="L7" s="18" t="b">
        <v>1</v>
      </c>
      <c r="M7" s="18" t="b">
        <v>0</v>
      </c>
      <c r="N7" s="18" t="b">
        <v>0</v>
      </c>
      <c r="O7" s="18" t="b">
        <v>1</v>
      </c>
      <c r="P7" s="16" t="str">
        <f t="shared" si="7"/>
        <v>Le Delta</v>
      </c>
      <c r="Q7" s="19">
        <v>5.0</v>
      </c>
      <c r="R7" s="18" t="b">
        <v>0</v>
      </c>
      <c r="S7" s="18" t="b">
        <v>1</v>
      </c>
      <c r="T7" s="27">
        <v>5.0</v>
      </c>
      <c r="U7" s="21">
        <f t="shared" si="8"/>
        <v>0</v>
      </c>
      <c r="V7" s="21">
        <f t="shared" ref="V7:AB7" si="37">if(OR(AW7 = $AO$4, AW7 = $AQ$4), 1, 0)</f>
        <v>0</v>
      </c>
      <c r="W7" s="21">
        <f t="shared" si="37"/>
        <v>0</v>
      </c>
      <c r="X7" s="21">
        <f t="shared" si="37"/>
        <v>0</v>
      </c>
      <c r="Y7" s="21">
        <f t="shared" si="37"/>
        <v>0</v>
      </c>
      <c r="Z7" s="21">
        <f t="shared" si="37"/>
        <v>0</v>
      </c>
      <c r="AA7" s="21">
        <f t="shared" si="37"/>
        <v>1</v>
      </c>
      <c r="AB7" s="21">
        <f t="shared" si="37"/>
        <v>0</v>
      </c>
      <c r="AC7" s="21">
        <f t="shared" si="10"/>
        <v>1</v>
      </c>
      <c r="AD7" s="21">
        <f t="shared" si="11"/>
        <v>1</v>
      </c>
      <c r="AE7" s="21">
        <f t="shared" ref="AE7:AH7" si="38">if(OR(BD7 = $AO$6, BD7 = $AS$6, BD7 = $AT$6, BD7 = $AU$6), 1, 0)</f>
        <v>1</v>
      </c>
      <c r="AF7" s="21">
        <f t="shared" si="38"/>
        <v>0</v>
      </c>
      <c r="AG7" s="21">
        <f t="shared" si="38"/>
        <v>0</v>
      </c>
      <c r="AH7" s="21">
        <f t="shared" si="38"/>
        <v>1</v>
      </c>
      <c r="AI7" s="21">
        <f t="shared" si="13"/>
        <v>2</v>
      </c>
      <c r="AJ7" s="21">
        <f t="shared" si="14"/>
        <v>4</v>
      </c>
      <c r="AK7" s="59">
        <f t="shared" si="15"/>
        <v>2.5</v>
      </c>
      <c r="AL7" s="60" t="str">
        <f t="shared" si="16"/>
        <v>subpar</v>
      </c>
      <c r="AM7" s="63" t="s">
        <v>565</v>
      </c>
      <c r="AN7" s="20" t="s">
        <v>566</v>
      </c>
      <c r="AO7" s="16"/>
      <c r="AW7" s="22">
        <f t="shared" ref="AW7:BC7" si="39">IF(IFERROR(SEARCH(E$1, $D7),0) &gt;= 1, E$1,0)</f>
        <v>0</v>
      </c>
      <c r="AX7" s="22">
        <f t="shared" si="39"/>
        <v>0</v>
      </c>
      <c r="AY7" s="22">
        <f t="shared" si="39"/>
        <v>0</v>
      </c>
      <c r="AZ7" s="22">
        <f t="shared" si="39"/>
        <v>0</v>
      </c>
      <c r="BA7" s="22">
        <f t="shared" si="39"/>
        <v>0</v>
      </c>
      <c r="BB7" s="22" t="str">
        <f t="shared" si="39"/>
        <v>Beeldende kunst</v>
      </c>
      <c r="BC7" s="22">
        <f t="shared" si="39"/>
        <v>0</v>
      </c>
      <c r="BD7" s="22" t="str">
        <f t="shared" ref="BD7:BG7" si="40">IF(L7 = true, BD$1, 0)</f>
        <v>Shop</v>
      </c>
      <c r="BE7" s="22">
        <f t="shared" si="40"/>
        <v>0</v>
      </c>
      <c r="BF7" s="22">
        <f t="shared" si="40"/>
        <v>0</v>
      </c>
      <c r="BG7" s="22" t="str">
        <f t="shared" si="40"/>
        <v>Restaurant</v>
      </c>
      <c r="BH7" s="22" t="str">
        <f>IFERROR(__xludf.DUMMYFUNCTION("""COMPUTED_VALUE"""),"MAS | Museum aan de Stroom")</f>
        <v>MAS | Museum aan de Stroom</v>
      </c>
      <c r="BI7" s="24">
        <f>IFERROR(__xludf.DUMMYFUNCTION("""COMPUTED_VALUE"""),10.0)</f>
        <v>10</v>
      </c>
      <c r="BJ7" s="22" t="b">
        <f>IFERROR(__xludf.DUMMYFUNCTION("""COMPUTED_VALUE"""),FALSE)</f>
        <v>0</v>
      </c>
      <c r="BK7" s="22" t="b">
        <f>IFERROR(__xludf.DUMMYFUNCTION("""COMPUTED_VALUE"""),TRUE)</f>
        <v>1</v>
      </c>
      <c r="BL7" s="24">
        <f>IFERROR(__xludf.DUMMYFUNCTION("""COMPUTED_VALUE"""),10.0)</f>
        <v>10</v>
      </c>
      <c r="BM7" s="22">
        <f>IFERROR(__xludf.DUMMYFUNCTION("""COMPUTED_VALUE"""),0.0)</f>
        <v>0</v>
      </c>
      <c r="BN7" s="22">
        <f>IFERROR(__xludf.DUMMYFUNCTION("""COMPUTED_VALUE"""),1.0)</f>
        <v>1</v>
      </c>
      <c r="BO7" s="22">
        <f>IFERROR(__xludf.DUMMYFUNCTION("""COMPUTED_VALUE"""),0.0)</f>
        <v>0</v>
      </c>
      <c r="BP7" s="22">
        <f>IFERROR(__xludf.DUMMYFUNCTION("""COMPUTED_VALUE"""),0.0)</f>
        <v>0</v>
      </c>
      <c r="BQ7" s="22">
        <f>IFERROR(__xludf.DUMMYFUNCTION("""COMPUTED_VALUE"""),0.0)</f>
        <v>0</v>
      </c>
      <c r="BR7" s="22">
        <f>IFERROR(__xludf.DUMMYFUNCTION("""COMPUTED_VALUE"""),0.0)</f>
        <v>0</v>
      </c>
      <c r="BS7" s="22">
        <f>IFERROR(__xludf.DUMMYFUNCTION("""COMPUTED_VALUE"""),1.0)</f>
        <v>1</v>
      </c>
      <c r="BT7" s="22">
        <f>IFERROR(__xludf.DUMMYFUNCTION("""COMPUTED_VALUE"""),0.0)</f>
        <v>0</v>
      </c>
      <c r="BU7" s="22">
        <f>IFERROR(__xludf.DUMMYFUNCTION("""COMPUTED_VALUE"""),2.0)</f>
        <v>2</v>
      </c>
      <c r="BV7" s="22">
        <f>IFERROR(__xludf.DUMMYFUNCTION("""COMPUTED_VALUE"""),1.0)</f>
        <v>1</v>
      </c>
      <c r="BW7" s="22">
        <f>IFERROR(__xludf.DUMMYFUNCTION("""COMPUTED_VALUE"""),1.0)</f>
        <v>1</v>
      </c>
      <c r="BX7" s="22">
        <f>IFERROR(__xludf.DUMMYFUNCTION("""COMPUTED_VALUE"""),1.0)</f>
        <v>1</v>
      </c>
      <c r="BY7" s="22">
        <f>IFERROR(__xludf.DUMMYFUNCTION("""COMPUTED_VALUE"""),0.0)</f>
        <v>0</v>
      </c>
      <c r="BZ7" s="22">
        <f>IFERROR(__xludf.DUMMYFUNCTION("""COMPUTED_VALUE"""),1.0)</f>
        <v>1</v>
      </c>
      <c r="CA7" s="22">
        <f>IFERROR(__xludf.DUMMYFUNCTION("""COMPUTED_VALUE"""),3.0)</f>
        <v>3</v>
      </c>
      <c r="CB7" s="22">
        <f>IFERROR(__xludf.DUMMYFUNCTION("""COMPUTED_VALUE"""),6.0)</f>
        <v>6</v>
      </c>
      <c r="CC7" s="61">
        <f>IFERROR(__xludf.DUMMYFUNCTION("""COMPUTED_VALUE"""),3.75)</f>
        <v>3.75</v>
      </c>
      <c r="CD7" s="62" t="str">
        <f>IFERROR(__xludf.DUMMYFUNCTION("""COMPUTED_VALUE"""),"good")</f>
        <v>good</v>
      </c>
      <c r="CE7" s="22" t="s">
        <v>177</v>
      </c>
      <c r="CF7" s="24">
        <v>10.0</v>
      </c>
      <c r="CG7" s="22" t="b">
        <v>0</v>
      </c>
      <c r="CH7" s="22" t="b">
        <v>1</v>
      </c>
      <c r="CI7" s="24">
        <v>10.0</v>
      </c>
      <c r="CJ7" s="22">
        <v>0.0</v>
      </c>
      <c r="CK7" s="22">
        <v>1.0</v>
      </c>
      <c r="CL7" s="22">
        <v>0.0</v>
      </c>
      <c r="CM7" s="22">
        <v>0.0</v>
      </c>
      <c r="CN7" s="22">
        <v>0.0</v>
      </c>
      <c r="CO7" s="22">
        <v>0.0</v>
      </c>
      <c r="CP7" s="22">
        <v>1.0</v>
      </c>
      <c r="CQ7" s="22">
        <v>0.0</v>
      </c>
      <c r="CR7" s="22">
        <v>2.0</v>
      </c>
      <c r="CS7" s="22">
        <v>1.0</v>
      </c>
      <c r="CT7" s="22">
        <v>1.0</v>
      </c>
      <c r="CU7" s="22">
        <v>1.0</v>
      </c>
      <c r="CV7" s="22">
        <v>0.0</v>
      </c>
      <c r="CW7" s="22">
        <v>1.0</v>
      </c>
      <c r="CX7" s="22">
        <v>3.0</v>
      </c>
      <c r="CY7" s="22">
        <v>6.0</v>
      </c>
      <c r="CZ7" s="61">
        <v>3.75</v>
      </c>
      <c r="DA7" s="62" t="s">
        <v>561</v>
      </c>
    </row>
    <row r="8">
      <c r="A8" s="16"/>
      <c r="B8" s="16" t="s">
        <v>41</v>
      </c>
      <c r="C8" s="16" t="s">
        <v>26</v>
      </c>
      <c r="D8" s="16" t="s">
        <v>42</v>
      </c>
      <c r="E8" s="17" t="b">
        <f t="shared" ref="E8:K8" si="41">If(IFERROR(SEARCH(E$1, $D8),0) &gt;= 1, true,false)</f>
        <v>0</v>
      </c>
      <c r="F8" s="17" t="b">
        <f t="shared" si="41"/>
        <v>1</v>
      </c>
      <c r="G8" s="17" t="b">
        <f t="shared" si="41"/>
        <v>0</v>
      </c>
      <c r="H8" s="17" t="b">
        <f t="shared" si="41"/>
        <v>0</v>
      </c>
      <c r="I8" s="17" t="b">
        <f t="shared" si="41"/>
        <v>0</v>
      </c>
      <c r="J8" s="17" t="b">
        <f t="shared" si="41"/>
        <v>1</v>
      </c>
      <c r="K8" s="17" t="b">
        <f t="shared" si="41"/>
        <v>0</v>
      </c>
      <c r="L8" s="18" t="b">
        <v>1</v>
      </c>
      <c r="M8" s="18" t="b">
        <v>0</v>
      </c>
      <c r="N8" s="18" t="b">
        <v>0</v>
      </c>
      <c r="O8" s="18" t="b">
        <v>0</v>
      </c>
      <c r="P8" s="16" t="str">
        <f t="shared" si="7"/>
        <v>Le Pavillon</v>
      </c>
      <c r="Q8" s="19">
        <v>10.0</v>
      </c>
      <c r="R8" s="18" t="b">
        <v>0</v>
      </c>
      <c r="S8" s="18" t="b">
        <v>1</v>
      </c>
      <c r="T8" s="27">
        <v>10.0</v>
      </c>
      <c r="U8" s="21">
        <f t="shared" si="8"/>
        <v>0</v>
      </c>
      <c r="V8" s="21">
        <f t="shared" ref="V8:AB8" si="42">if(OR(AW8 = $AO$4, AW8 = $AQ$4), 1, 0)</f>
        <v>0</v>
      </c>
      <c r="W8" s="21">
        <f t="shared" si="42"/>
        <v>0</v>
      </c>
      <c r="X8" s="21">
        <f t="shared" si="42"/>
        <v>0</v>
      </c>
      <c r="Y8" s="21">
        <f t="shared" si="42"/>
        <v>0</v>
      </c>
      <c r="Z8" s="21">
        <f t="shared" si="42"/>
        <v>0</v>
      </c>
      <c r="AA8" s="21">
        <f t="shared" si="42"/>
        <v>1</v>
      </c>
      <c r="AB8" s="21">
        <f t="shared" si="42"/>
        <v>0</v>
      </c>
      <c r="AC8" s="21">
        <f t="shared" si="10"/>
        <v>1</v>
      </c>
      <c r="AD8" s="21">
        <f t="shared" si="11"/>
        <v>1</v>
      </c>
      <c r="AE8" s="21">
        <f t="shared" ref="AE8:AH8" si="43">if(OR(BD8 = $AO$6, BD8 = $AS$6, BD8 = $AT$6, BD8 = $AU$6), 1, 0)</f>
        <v>1</v>
      </c>
      <c r="AF8" s="21">
        <f t="shared" si="43"/>
        <v>0</v>
      </c>
      <c r="AG8" s="21">
        <f t="shared" si="43"/>
        <v>0</v>
      </c>
      <c r="AH8" s="21">
        <f t="shared" si="43"/>
        <v>0</v>
      </c>
      <c r="AI8" s="21">
        <f t="shared" si="13"/>
        <v>1</v>
      </c>
      <c r="AJ8" s="21">
        <f t="shared" si="14"/>
        <v>3</v>
      </c>
      <c r="AK8" s="59">
        <f t="shared" si="15"/>
        <v>1.875</v>
      </c>
      <c r="AL8" s="60" t="str">
        <f t="shared" si="16"/>
        <v>subpar</v>
      </c>
      <c r="AW8" s="22">
        <f t="shared" ref="AW8:BC8" si="44">IF(IFERROR(SEARCH(E$1, $D8),0) &gt;= 1, E$1,0)</f>
        <v>0</v>
      </c>
      <c r="AX8" s="22" t="str">
        <f t="shared" si="44"/>
        <v>Wetenschap en technologie</v>
      </c>
      <c r="AY8" s="22">
        <f t="shared" si="44"/>
        <v>0</v>
      </c>
      <c r="AZ8" s="22">
        <f t="shared" si="44"/>
        <v>0</v>
      </c>
      <c r="BA8" s="22">
        <f t="shared" si="44"/>
        <v>0</v>
      </c>
      <c r="BB8" s="22" t="str">
        <f t="shared" si="44"/>
        <v>Beeldende kunst</v>
      </c>
      <c r="BC8" s="22">
        <f t="shared" si="44"/>
        <v>0</v>
      </c>
      <c r="BD8" s="22" t="str">
        <f t="shared" ref="BD8:BG8" si="45">IF(L8 = true, BD$1, 0)</f>
        <v>Shop</v>
      </c>
      <c r="BE8" s="22">
        <f t="shared" si="45"/>
        <v>0</v>
      </c>
      <c r="BF8" s="22">
        <f t="shared" si="45"/>
        <v>0</v>
      </c>
      <c r="BG8" s="22">
        <f t="shared" si="45"/>
        <v>0</v>
      </c>
      <c r="BH8" s="22" t="str">
        <f>IFERROR(__xludf.DUMMYFUNCTION("""COMPUTED_VALUE"""),"‘t Grom")</f>
        <v>‘t Grom</v>
      </c>
      <c r="BI8" s="24">
        <f>IFERROR(__xludf.DUMMYFUNCTION("""COMPUTED_VALUE"""),7.0)</f>
        <v>7</v>
      </c>
      <c r="BJ8" s="22" t="b">
        <f>IFERROR(__xludf.DUMMYFUNCTION("""COMPUTED_VALUE"""),FALSE)</f>
        <v>0</v>
      </c>
      <c r="BK8" s="22" t="b">
        <f>IFERROR(__xludf.DUMMYFUNCTION("""COMPUTED_VALUE"""),TRUE)</f>
        <v>1</v>
      </c>
      <c r="BL8" s="24">
        <f>IFERROR(__xludf.DUMMYFUNCTION("""COMPUTED_VALUE"""),7.0)</f>
        <v>7</v>
      </c>
      <c r="BM8" s="22">
        <f>IFERROR(__xludf.DUMMYFUNCTION("""COMPUTED_VALUE"""),0.0)</f>
        <v>0</v>
      </c>
      <c r="BN8" s="22">
        <f>IFERROR(__xludf.DUMMYFUNCTION("""COMPUTED_VALUE"""),1.0)</f>
        <v>1</v>
      </c>
      <c r="BO8" s="22">
        <f>IFERROR(__xludf.DUMMYFUNCTION("""COMPUTED_VALUE"""),0.0)</f>
        <v>0</v>
      </c>
      <c r="BP8" s="22">
        <f>IFERROR(__xludf.DUMMYFUNCTION("""COMPUTED_VALUE"""),0.0)</f>
        <v>0</v>
      </c>
      <c r="BQ8" s="22">
        <f>IFERROR(__xludf.DUMMYFUNCTION("""COMPUTED_VALUE"""),0.0)</f>
        <v>0</v>
      </c>
      <c r="BR8" s="22">
        <f>IFERROR(__xludf.DUMMYFUNCTION("""COMPUTED_VALUE"""),0.0)</f>
        <v>0</v>
      </c>
      <c r="BS8" s="22">
        <f>IFERROR(__xludf.DUMMYFUNCTION("""COMPUTED_VALUE"""),0.0)</f>
        <v>0</v>
      </c>
      <c r="BT8" s="22">
        <f>IFERROR(__xludf.DUMMYFUNCTION("""COMPUTED_VALUE"""),0.0)</f>
        <v>0</v>
      </c>
      <c r="BU8" s="22">
        <f>IFERROR(__xludf.DUMMYFUNCTION("""COMPUTED_VALUE"""),1.0)</f>
        <v>1</v>
      </c>
      <c r="BV8" s="22">
        <f>IFERROR(__xludf.DUMMYFUNCTION("""COMPUTED_VALUE"""),1.0)</f>
        <v>1</v>
      </c>
      <c r="BW8" s="22">
        <f>IFERROR(__xludf.DUMMYFUNCTION("""COMPUTED_VALUE"""),1.0)</f>
        <v>1</v>
      </c>
      <c r="BX8" s="22">
        <f>IFERROR(__xludf.DUMMYFUNCTION("""COMPUTED_VALUE"""),1.0)</f>
        <v>1</v>
      </c>
      <c r="BY8" s="22">
        <f>IFERROR(__xludf.DUMMYFUNCTION("""COMPUTED_VALUE"""),1.0)</f>
        <v>1</v>
      </c>
      <c r="BZ8" s="22">
        <f>IFERROR(__xludf.DUMMYFUNCTION("""COMPUTED_VALUE"""),1.0)</f>
        <v>1</v>
      </c>
      <c r="CA8" s="22">
        <f>IFERROR(__xludf.DUMMYFUNCTION("""COMPUTED_VALUE"""),4.0)</f>
        <v>4</v>
      </c>
      <c r="CB8" s="22">
        <f>IFERROR(__xludf.DUMMYFUNCTION("""COMPUTED_VALUE"""),6.0)</f>
        <v>6</v>
      </c>
      <c r="CC8" s="61">
        <f>IFERROR(__xludf.DUMMYFUNCTION("""COMPUTED_VALUE"""),3.75)</f>
        <v>3.75</v>
      </c>
      <c r="CD8" s="62" t="str">
        <f>IFERROR(__xludf.DUMMYFUNCTION("""COMPUTED_VALUE"""),"good")</f>
        <v>good</v>
      </c>
      <c r="CE8" s="22" t="s">
        <v>218</v>
      </c>
      <c r="CF8" s="24">
        <v>7.0</v>
      </c>
      <c r="CG8" s="22" t="b">
        <v>0</v>
      </c>
      <c r="CH8" s="22" t="b">
        <v>1</v>
      </c>
      <c r="CI8" s="24">
        <v>7.0</v>
      </c>
      <c r="CJ8" s="22">
        <v>0.0</v>
      </c>
      <c r="CK8" s="22">
        <v>1.0</v>
      </c>
      <c r="CL8" s="22">
        <v>0.0</v>
      </c>
      <c r="CM8" s="22">
        <v>0.0</v>
      </c>
      <c r="CN8" s="22">
        <v>0.0</v>
      </c>
      <c r="CO8" s="22">
        <v>0.0</v>
      </c>
      <c r="CP8" s="22">
        <v>0.0</v>
      </c>
      <c r="CQ8" s="22">
        <v>0.0</v>
      </c>
      <c r="CR8" s="22">
        <v>1.0</v>
      </c>
      <c r="CS8" s="22">
        <v>1.0</v>
      </c>
      <c r="CT8" s="22">
        <v>1.0</v>
      </c>
      <c r="CU8" s="22">
        <v>1.0</v>
      </c>
      <c r="CV8" s="22">
        <v>1.0</v>
      </c>
      <c r="CW8" s="22">
        <v>1.0</v>
      </c>
      <c r="CX8" s="22">
        <v>4.0</v>
      </c>
      <c r="CY8" s="22">
        <v>6.0</v>
      </c>
      <c r="CZ8" s="61">
        <v>3.75</v>
      </c>
      <c r="DA8" s="62" t="s">
        <v>561</v>
      </c>
    </row>
    <row r="9">
      <c r="A9" s="16"/>
      <c r="B9" s="16" t="s">
        <v>44</v>
      </c>
      <c r="C9" s="16" t="s">
        <v>26</v>
      </c>
      <c r="D9" s="16" t="s">
        <v>4</v>
      </c>
      <c r="E9" s="17" t="b">
        <f t="shared" ref="E9:K9" si="46">If(IFERROR(SEARCH(E$1, $D9),0) &gt;= 1, true,false)</f>
        <v>1</v>
      </c>
      <c r="F9" s="17" t="b">
        <f t="shared" si="46"/>
        <v>0</v>
      </c>
      <c r="G9" s="17" t="b">
        <f t="shared" si="46"/>
        <v>0</v>
      </c>
      <c r="H9" s="17" t="b">
        <f t="shared" si="46"/>
        <v>0</v>
      </c>
      <c r="I9" s="17" t="b">
        <f t="shared" si="46"/>
        <v>0</v>
      </c>
      <c r="J9" s="17" t="b">
        <f t="shared" si="46"/>
        <v>0</v>
      </c>
      <c r="K9" s="17" t="b">
        <f t="shared" si="46"/>
        <v>0</v>
      </c>
      <c r="L9" s="18" t="b">
        <v>1</v>
      </c>
      <c r="M9" s="18" t="b">
        <v>0</v>
      </c>
      <c r="N9" s="18" t="b">
        <v>1</v>
      </c>
      <c r="O9" s="18" t="b">
        <v>0</v>
      </c>
      <c r="P9" s="16" t="str">
        <f t="shared" si="7"/>
        <v>Maison du patrimoine médiéval mosan</v>
      </c>
      <c r="Q9" s="19">
        <v>6.0</v>
      </c>
      <c r="R9" s="18" t="b">
        <v>0</v>
      </c>
      <c r="S9" s="18" t="b">
        <v>1</v>
      </c>
      <c r="T9" s="27">
        <v>6.0</v>
      </c>
      <c r="U9" s="21">
        <f t="shared" si="8"/>
        <v>0</v>
      </c>
      <c r="V9" s="21">
        <f t="shared" ref="V9:AB9" si="47">if(OR(AW9 = $AO$4, AW9 = $AQ$4), 1, 0)</f>
        <v>1</v>
      </c>
      <c r="W9" s="21">
        <f t="shared" si="47"/>
        <v>0</v>
      </c>
      <c r="X9" s="21">
        <f t="shared" si="47"/>
        <v>0</v>
      </c>
      <c r="Y9" s="21">
        <f t="shared" si="47"/>
        <v>0</v>
      </c>
      <c r="Z9" s="21">
        <f t="shared" si="47"/>
        <v>0</v>
      </c>
      <c r="AA9" s="21">
        <f t="shared" si="47"/>
        <v>0</v>
      </c>
      <c r="AB9" s="21">
        <f t="shared" si="47"/>
        <v>0</v>
      </c>
      <c r="AC9" s="21">
        <f t="shared" si="10"/>
        <v>1</v>
      </c>
      <c r="AD9" s="21">
        <f t="shared" si="11"/>
        <v>1</v>
      </c>
      <c r="AE9" s="21">
        <f t="shared" ref="AE9:AH9" si="48">if(OR(BD9 = $AO$6, BD9 = $AS$6, BD9 = $AT$6, BD9 = $AU$6), 1, 0)</f>
        <v>1</v>
      </c>
      <c r="AF9" s="21">
        <f t="shared" si="48"/>
        <v>0</v>
      </c>
      <c r="AG9" s="21">
        <f t="shared" si="48"/>
        <v>1</v>
      </c>
      <c r="AH9" s="21">
        <f t="shared" si="48"/>
        <v>0</v>
      </c>
      <c r="AI9" s="21">
        <f t="shared" si="13"/>
        <v>2</v>
      </c>
      <c r="AJ9" s="21">
        <f t="shared" si="14"/>
        <v>4</v>
      </c>
      <c r="AK9" s="59">
        <f t="shared" si="15"/>
        <v>2.5</v>
      </c>
      <c r="AL9" s="60" t="str">
        <f t="shared" si="16"/>
        <v>subpar</v>
      </c>
      <c r="AM9" s="20"/>
      <c r="AN9" s="64"/>
      <c r="AW9" s="22" t="str">
        <f t="shared" ref="AW9:BC9" si="49">IF(IFERROR(SEARCH(E$1, $D9),0) &gt;= 1, E$1,0)</f>
        <v>Geschiedenis en archeologie</v>
      </c>
      <c r="AX9" s="22">
        <f t="shared" si="49"/>
        <v>0</v>
      </c>
      <c r="AY9" s="22">
        <f t="shared" si="49"/>
        <v>0</v>
      </c>
      <c r="AZ9" s="22">
        <f t="shared" si="49"/>
        <v>0</v>
      </c>
      <c r="BA9" s="22">
        <f t="shared" si="49"/>
        <v>0</v>
      </c>
      <c r="BB9" s="22">
        <f t="shared" si="49"/>
        <v>0</v>
      </c>
      <c r="BC9" s="22">
        <f t="shared" si="49"/>
        <v>0</v>
      </c>
      <c r="BD9" s="22" t="str">
        <f t="shared" ref="BD9:BG9" si="50">IF(L9 = true, BD$1, 0)</f>
        <v>Shop</v>
      </c>
      <c r="BE9" s="22">
        <f t="shared" si="50"/>
        <v>0</v>
      </c>
      <c r="BF9" s="22" t="str">
        <f t="shared" si="50"/>
        <v>Parking</v>
      </c>
      <c r="BG9" s="22">
        <f t="shared" si="50"/>
        <v>0</v>
      </c>
      <c r="BH9" s="22" t="str">
        <f>IFERROR(__xludf.DUMMYFUNCTION("""COMPUTED_VALUE"""),"Musée L")</f>
        <v>Musée L</v>
      </c>
      <c r="BI9" s="24">
        <f>IFERROR(__xludf.DUMMYFUNCTION("""COMPUTED_VALUE"""),8.0)</f>
        <v>8</v>
      </c>
      <c r="BJ9" s="22" t="b">
        <f>IFERROR(__xludf.DUMMYFUNCTION("""COMPUTED_VALUE"""),FALSE)</f>
        <v>0</v>
      </c>
      <c r="BK9" s="22" t="b">
        <f>IFERROR(__xludf.DUMMYFUNCTION("""COMPUTED_VALUE"""),TRUE)</f>
        <v>1</v>
      </c>
      <c r="BL9" s="24">
        <f>IFERROR(__xludf.DUMMYFUNCTION("""COMPUTED_VALUE"""),8.0)</f>
        <v>8</v>
      </c>
      <c r="BM9" s="22">
        <f>IFERROR(__xludf.DUMMYFUNCTION("""COMPUTED_VALUE"""),0.0)</f>
        <v>0</v>
      </c>
      <c r="BN9" s="22">
        <f>IFERROR(__xludf.DUMMYFUNCTION("""COMPUTED_VALUE"""),0.0)</f>
        <v>0</v>
      </c>
      <c r="BO9" s="22">
        <f>IFERROR(__xludf.DUMMYFUNCTION("""COMPUTED_VALUE"""),0.0)</f>
        <v>0</v>
      </c>
      <c r="BP9" s="22">
        <f>IFERROR(__xludf.DUMMYFUNCTION("""COMPUTED_VALUE"""),0.0)</f>
        <v>0</v>
      </c>
      <c r="BQ9" s="22">
        <f>IFERROR(__xludf.DUMMYFUNCTION("""COMPUTED_VALUE"""),0.0)</f>
        <v>0</v>
      </c>
      <c r="BR9" s="22">
        <f>IFERROR(__xludf.DUMMYFUNCTION("""COMPUTED_VALUE"""),0.0)</f>
        <v>0</v>
      </c>
      <c r="BS9" s="22">
        <f>IFERROR(__xludf.DUMMYFUNCTION("""COMPUTED_VALUE"""),1.0)</f>
        <v>1</v>
      </c>
      <c r="BT9" s="22">
        <f>IFERROR(__xludf.DUMMYFUNCTION("""COMPUTED_VALUE"""),0.0)</f>
        <v>0</v>
      </c>
      <c r="BU9" s="22">
        <f>IFERROR(__xludf.DUMMYFUNCTION("""COMPUTED_VALUE"""),1.0)</f>
        <v>1</v>
      </c>
      <c r="BV9" s="22">
        <f>IFERROR(__xludf.DUMMYFUNCTION("""COMPUTED_VALUE"""),1.0)</f>
        <v>1</v>
      </c>
      <c r="BW9" s="22">
        <f>IFERROR(__xludf.DUMMYFUNCTION("""COMPUTED_VALUE"""),1.0)</f>
        <v>1</v>
      </c>
      <c r="BX9" s="22">
        <f>IFERROR(__xludf.DUMMYFUNCTION("""COMPUTED_VALUE"""),1.0)</f>
        <v>1</v>
      </c>
      <c r="BY9" s="22">
        <f>IFERROR(__xludf.DUMMYFUNCTION("""COMPUTED_VALUE"""),1.0)</f>
        <v>1</v>
      </c>
      <c r="BZ9" s="22">
        <f>IFERROR(__xludf.DUMMYFUNCTION("""COMPUTED_VALUE"""),1.0)</f>
        <v>1</v>
      </c>
      <c r="CA9" s="22">
        <f>IFERROR(__xludf.DUMMYFUNCTION("""COMPUTED_VALUE"""),4.0)</f>
        <v>4</v>
      </c>
      <c r="CB9" s="22">
        <f>IFERROR(__xludf.DUMMYFUNCTION("""COMPUTED_VALUE"""),6.0)</f>
        <v>6</v>
      </c>
      <c r="CC9" s="61">
        <f>IFERROR(__xludf.DUMMYFUNCTION("""COMPUTED_VALUE"""),3.75)</f>
        <v>3.75</v>
      </c>
      <c r="CD9" s="62" t="str">
        <f>IFERROR(__xludf.DUMMYFUNCTION("""COMPUTED_VALUE"""),"good")</f>
        <v>good</v>
      </c>
      <c r="CE9" s="22" t="s">
        <v>225</v>
      </c>
      <c r="CF9" s="24">
        <v>8.0</v>
      </c>
      <c r="CG9" s="22" t="b">
        <v>0</v>
      </c>
      <c r="CH9" s="22" t="b">
        <v>1</v>
      </c>
      <c r="CI9" s="24">
        <v>8.0</v>
      </c>
      <c r="CJ9" s="22">
        <v>0.0</v>
      </c>
      <c r="CK9" s="22">
        <v>0.0</v>
      </c>
      <c r="CL9" s="22">
        <v>0.0</v>
      </c>
      <c r="CM9" s="22">
        <v>0.0</v>
      </c>
      <c r="CN9" s="22">
        <v>0.0</v>
      </c>
      <c r="CO9" s="22">
        <v>0.0</v>
      </c>
      <c r="CP9" s="22">
        <v>1.0</v>
      </c>
      <c r="CQ9" s="22">
        <v>0.0</v>
      </c>
      <c r="CR9" s="22">
        <v>1.0</v>
      </c>
      <c r="CS9" s="22">
        <v>1.0</v>
      </c>
      <c r="CT9" s="22">
        <v>1.0</v>
      </c>
      <c r="CU9" s="22">
        <v>1.0</v>
      </c>
      <c r="CV9" s="22">
        <v>1.0</v>
      </c>
      <c r="CW9" s="22">
        <v>1.0</v>
      </c>
      <c r="CX9" s="22">
        <v>4.0</v>
      </c>
      <c r="CY9" s="22">
        <v>6.0</v>
      </c>
      <c r="CZ9" s="61">
        <v>3.75</v>
      </c>
      <c r="DA9" s="62" t="s">
        <v>561</v>
      </c>
    </row>
    <row r="10">
      <c r="A10" s="16" t="s">
        <v>46</v>
      </c>
      <c r="B10" s="16" t="s">
        <v>47</v>
      </c>
      <c r="C10" s="16" t="s">
        <v>26</v>
      </c>
      <c r="D10" s="16" t="s">
        <v>4</v>
      </c>
      <c r="E10" s="17" t="b">
        <f t="shared" ref="E10:K10" si="51">If(IFERROR(SEARCH(E$1, $D10),0) &gt;= 1, true,false)</f>
        <v>1</v>
      </c>
      <c r="F10" s="17" t="b">
        <f t="shared" si="51"/>
        <v>0</v>
      </c>
      <c r="G10" s="17" t="b">
        <f t="shared" si="51"/>
        <v>0</v>
      </c>
      <c r="H10" s="17" t="b">
        <f t="shared" si="51"/>
        <v>0</v>
      </c>
      <c r="I10" s="17" t="b">
        <f t="shared" si="51"/>
        <v>0</v>
      </c>
      <c r="J10" s="17" t="b">
        <f t="shared" si="51"/>
        <v>0</v>
      </c>
      <c r="K10" s="17" t="b">
        <f t="shared" si="51"/>
        <v>0</v>
      </c>
      <c r="L10" s="18" t="b">
        <v>1</v>
      </c>
      <c r="M10" s="18" t="b">
        <v>1</v>
      </c>
      <c r="N10" s="18" t="b">
        <v>1</v>
      </c>
      <c r="O10" s="18" t="b">
        <v>0</v>
      </c>
      <c r="P10" s="16" t="str">
        <f t="shared" si="7"/>
        <v>Archeopark van Rochefort</v>
      </c>
      <c r="Q10" s="19">
        <v>8.0</v>
      </c>
      <c r="R10" s="18" t="b">
        <v>0</v>
      </c>
      <c r="S10" s="18" t="b">
        <v>0</v>
      </c>
      <c r="T10" s="21"/>
      <c r="U10" s="21">
        <f t="shared" si="8"/>
        <v>0</v>
      </c>
      <c r="V10" s="21">
        <f t="shared" ref="V10:AB10" si="52">if(OR(AW10 = $AO$4, AW10 = $AQ$4), 1, 0)</f>
        <v>1</v>
      </c>
      <c r="W10" s="21">
        <f t="shared" si="52"/>
        <v>0</v>
      </c>
      <c r="X10" s="21">
        <f t="shared" si="52"/>
        <v>0</v>
      </c>
      <c r="Y10" s="21">
        <f t="shared" si="52"/>
        <v>0</v>
      </c>
      <c r="Z10" s="21">
        <f t="shared" si="52"/>
        <v>0</v>
      </c>
      <c r="AA10" s="21">
        <f t="shared" si="52"/>
        <v>0</v>
      </c>
      <c r="AB10" s="21">
        <f t="shared" si="52"/>
        <v>0</v>
      </c>
      <c r="AC10" s="21">
        <f t="shared" si="10"/>
        <v>1</v>
      </c>
      <c r="AD10" s="21">
        <f t="shared" si="11"/>
        <v>1</v>
      </c>
      <c r="AE10" s="21">
        <f t="shared" ref="AE10:AH10" si="53">if(OR(BD10 = $AO$6, BD10 = $AS$6, BD10 = $AT$6, BD10 = $AU$6), 1, 0)</f>
        <v>1</v>
      </c>
      <c r="AF10" s="21">
        <f t="shared" si="53"/>
        <v>1</v>
      </c>
      <c r="AG10" s="21">
        <f t="shared" si="53"/>
        <v>1</v>
      </c>
      <c r="AH10" s="21">
        <f t="shared" si="53"/>
        <v>0</v>
      </c>
      <c r="AI10" s="21">
        <f t="shared" si="13"/>
        <v>3</v>
      </c>
      <c r="AJ10" s="21">
        <f t="shared" si="14"/>
        <v>5</v>
      </c>
      <c r="AK10" s="59">
        <f t="shared" si="15"/>
        <v>3.125</v>
      </c>
      <c r="AL10" s="60" t="str">
        <f t="shared" si="16"/>
        <v>good</v>
      </c>
      <c r="AW10" s="22" t="str">
        <f t="shared" ref="AW10:BC10" si="54">IF(IFERROR(SEARCH(E$1, $D10),0) &gt;= 1, E$1,0)</f>
        <v>Geschiedenis en archeologie</v>
      </c>
      <c r="AX10" s="22">
        <f t="shared" si="54"/>
        <v>0</v>
      </c>
      <c r="AY10" s="22">
        <f t="shared" si="54"/>
        <v>0</v>
      </c>
      <c r="AZ10" s="22">
        <f t="shared" si="54"/>
        <v>0</v>
      </c>
      <c r="BA10" s="22">
        <f t="shared" si="54"/>
        <v>0</v>
      </c>
      <c r="BB10" s="22">
        <f t="shared" si="54"/>
        <v>0</v>
      </c>
      <c r="BC10" s="22">
        <f t="shared" si="54"/>
        <v>0</v>
      </c>
      <c r="BD10" s="22" t="str">
        <f t="shared" ref="BD10:BG10" si="55">IF(L10 = true, BD$1, 0)</f>
        <v>Shop</v>
      </c>
      <c r="BE10" s="22" t="str">
        <f t="shared" si="55"/>
        <v>Café</v>
      </c>
      <c r="BF10" s="22" t="str">
        <f t="shared" si="55"/>
        <v>Parking</v>
      </c>
      <c r="BG10" s="22">
        <f t="shared" si="55"/>
        <v>0</v>
      </c>
      <c r="BH10" s="22" t="str">
        <f>IFERROR(__xludf.DUMMYFUNCTION("""COMPUTED_VALUE"""),"AfricaMuseum")</f>
        <v>AfricaMuseum</v>
      </c>
      <c r="BI10" s="24">
        <f>IFERROR(__xludf.DUMMYFUNCTION("""COMPUTED_VALUE"""),13.0)</f>
        <v>13</v>
      </c>
      <c r="BJ10" s="22" t="b">
        <f>IFERROR(__xludf.DUMMYFUNCTION("""COMPUTED_VALUE"""),FALSE)</f>
        <v>0</v>
      </c>
      <c r="BK10" s="22" t="b">
        <f>IFERROR(__xludf.DUMMYFUNCTION("""COMPUTED_VALUE"""),TRUE)</f>
        <v>1</v>
      </c>
      <c r="BL10" s="24">
        <f>IFERROR(__xludf.DUMMYFUNCTION("""COMPUTED_VALUE"""),13.0)</f>
        <v>13</v>
      </c>
      <c r="BM10" s="22">
        <f>IFERROR(__xludf.DUMMYFUNCTION("""COMPUTED_VALUE"""),0.0)</f>
        <v>0</v>
      </c>
      <c r="BN10" s="22">
        <f>IFERROR(__xludf.DUMMYFUNCTION("""COMPUTED_VALUE"""),1.0)</f>
        <v>1</v>
      </c>
      <c r="BO10" s="22">
        <f>IFERROR(__xludf.DUMMYFUNCTION("""COMPUTED_VALUE"""),0.0)</f>
        <v>0</v>
      </c>
      <c r="BP10" s="22">
        <f>IFERROR(__xludf.DUMMYFUNCTION("""COMPUTED_VALUE"""),0.0)</f>
        <v>0</v>
      </c>
      <c r="BQ10" s="22">
        <f>IFERROR(__xludf.DUMMYFUNCTION("""COMPUTED_VALUE"""),0.0)</f>
        <v>0</v>
      </c>
      <c r="BR10" s="22">
        <f>IFERROR(__xludf.DUMMYFUNCTION("""COMPUTED_VALUE"""),0.0)</f>
        <v>0</v>
      </c>
      <c r="BS10" s="22">
        <f>IFERROR(__xludf.DUMMYFUNCTION("""COMPUTED_VALUE"""),1.0)</f>
        <v>1</v>
      </c>
      <c r="BT10" s="22">
        <f>IFERROR(__xludf.DUMMYFUNCTION("""COMPUTED_VALUE"""),0.0)</f>
        <v>0</v>
      </c>
      <c r="BU10" s="22">
        <f>IFERROR(__xludf.DUMMYFUNCTION("""COMPUTED_VALUE"""),2.0)</f>
        <v>2</v>
      </c>
      <c r="BV10" s="22">
        <f>IFERROR(__xludf.DUMMYFUNCTION("""COMPUTED_VALUE"""),0.0)</f>
        <v>0</v>
      </c>
      <c r="BW10" s="22">
        <f>IFERROR(__xludf.DUMMYFUNCTION("""COMPUTED_VALUE"""),1.0)</f>
        <v>1</v>
      </c>
      <c r="BX10" s="22">
        <f>IFERROR(__xludf.DUMMYFUNCTION("""COMPUTED_VALUE"""),1.0)</f>
        <v>1</v>
      </c>
      <c r="BY10" s="22">
        <f>IFERROR(__xludf.DUMMYFUNCTION("""COMPUTED_VALUE"""),1.0)</f>
        <v>1</v>
      </c>
      <c r="BZ10" s="22">
        <f>IFERROR(__xludf.DUMMYFUNCTION("""COMPUTED_VALUE"""),1.0)</f>
        <v>1</v>
      </c>
      <c r="CA10" s="22">
        <f>IFERROR(__xludf.DUMMYFUNCTION("""COMPUTED_VALUE"""),4.0)</f>
        <v>4</v>
      </c>
      <c r="CB10" s="22">
        <f>IFERROR(__xludf.DUMMYFUNCTION("""COMPUTED_VALUE"""),6.0)</f>
        <v>6</v>
      </c>
      <c r="CC10" s="61">
        <f>IFERROR(__xludf.DUMMYFUNCTION("""COMPUTED_VALUE"""),3.75)</f>
        <v>3.75</v>
      </c>
      <c r="CD10" s="62" t="str">
        <f>IFERROR(__xludf.DUMMYFUNCTION("""COMPUTED_VALUE"""),"good")</f>
        <v>good</v>
      </c>
      <c r="CE10" s="22" t="s">
        <v>230</v>
      </c>
      <c r="CF10" s="24">
        <v>13.0</v>
      </c>
      <c r="CG10" s="22" t="b">
        <v>0</v>
      </c>
      <c r="CH10" s="22" t="b">
        <v>1</v>
      </c>
      <c r="CI10" s="24">
        <v>13.0</v>
      </c>
      <c r="CJ10" s="22">
        <v>0.0</v>
      </c>
      <c r="CK10" s="22">
        <v>1.0</v>
      </c>
      <c r="CL10" s="22">
        <v>0.0</v>
      </c>
      <c r="CM10" s="22">
        <v>0.0</v>
      </c>
      <c r="CN10" s="22">
        <v>0.0</v>
      </c>
      <c r="CO10" s="22">
        <v>0.0</v>
      </c>
      <c r="CP10" s="22">
        <v>1.0</v>
      </c>
      <c r="CQ10" s="22">
        <v>0.0</v>
      </c>
      <c r="CR10" s="22">
        <v>2.0</v>
      </c>
      <c r="CS10" s="22">
        <v>0.0</v>
      </c>
      <c r="CT10" s="22">
        <v>1.0</v>
      </c>
      <c r="CU10" s="22">
        <v>1.0</v>
      </c>
      <c r="CV10" s="22">
        <v>1.0</v>
      </c>
      <c r="CW10" s="22">
        <v>1.0</v>
      </c>
      <c r="CX10" s="22">
        <v>4.0</v>
      </c>
      <c r="CY10" s="22">
        <v>6.0</v>
      </c>
      <c r="CZ10" s="61">
        <v>3.75</v>
      </c>
      <c r="DA10" s="62" t="s">
        <v>561</v>
      </c>
    </row>
    <row r="11">
      <c r="A11" s="16" t="s">
        <v>49</v>
      </c>
      <c r="B11" s="16" t="s">
        <v>50</v>
      </c>
      <c r="C11" s="16" t="s">
        <v>26</v>
      </c>
      <c r="D11" s="16" t="s">
        <v>37</v>
      </c>
      <c r="E11" s="17" t="b">
        <f t="shared" ref="E11:K11" si="56">If(IFERROR(SEARCH(E$1, $D11),0) &gt;= 1, true,false)</f>
        <v>1</v>
      </c>
      <c r="F11" s="17" t="b">
        <f t="shared" si="56"/>
        <v>0</v>
      </c>
      <c r="G11" s="17" t="b">
        <f t="shared" si="56"/>
        <v>0</v>
      </c>
      <c r="H11" s="17" t="b">
        <f t="shared" si="56"/>
        <v>0</v>
      </c>
      <c r="I11" s="17" t="b">
        <f t="shared" si="56"/>
        <v>0</v>
      </c>
      <c r="J11" s="17" t="b">
        <f t="shared" si="56"/>
        <v>0</v>
      </c>
      <c r="K11" s="17" t="b">
        <f t="shared" si="56"/>
        <v>1</v>
      </c>
      <c r="L11" s="18" t="b">
        <v>1</v>
      </c>
      <c r="M11" s="18" t="b">
        <v>0</v>
      </c>
      <c r="N11" s="18" t="b">
        <v>0</v>
      </c>
      <c r="O11" s="18" t="b">
        <v>0</v>
      </c>
      <c r="P11" s="16" t="str">
        <f t="shared" si="7"/>
        <v>MusAfrica Namen</v>
      </c>
      <c r="Q11" s="19">
        <v>8.0</v>
      </c>
      <c r="R11" s="18" t="b">
        <v>0</v>
      </c>
      <c r="S11" s="18" t="b">
        <v>0</v>
      </c>
      <c r="T11" s="16"/>
      <c r="U11" s="21">
        <f t="shared" si="8"/>
        <v>0</v>
      </c>
      <c r="V11" s="21">
        <f t="shared" ref="V11:AB11" si="57">if(OR(AW11 = $AO$4, AW11 = $AQ$4), 1, 0)</f>
        <v>1</v>
      </c>
      <c r="W11" s="21">
        <f t="shared" si="57"/>
        <v>0</v>
      </c>
      <c r="X11" s="21">
        <f t="shared" si="57"/>
        <v>0</v>
      </c>
      <c r="Y11" s="21">
        <f t="shared" si="57"/>
        <v>0</v>
      </c>
      <c r="Z11" s="21">
        <f t="shared" si="57"/>
        <v>0</v>
      </c>
      <c r="AA11" s="21">
        <f t="shared" si="57"/>
        <v>0</v>
      </c>
      <c r="AB11" s="21">
        <f t="shared" si="57"/>
        <v>0</v>
      </c>
      <c r="AC11" s="21">
        <f t="shared" si="10"/>
        <v>1</v>
      </c>
      <c r="AD11" s="21">
        <f t="shared" si="11"/>
        <v>1</v>
      </c>
      <c r="AE11" s="21">
        <f t="shared" ref="AE11:AH11" si="58">if(OR(BD11 = $AO$6, BD11 = $AS$6, BD11 = $AT$6, BD11 = $AU$6), 1, 0)</f>
        <v>1</v>
      </c>
      <c r="AF11" s="21">
        <f t="shared" si="58"/>
        <v>0</v>
      </c>
      <c r="AG11" s="21">
        <f t="shared" si="58"/>
        <v>0</v>
      </c>
      <c r="AH11" s="21">
        <f t="shared" si="58"/>
        <v>0</v>
      </c>
      <c r="AI11" s="21">
        <f t="shared" si="13"/>
        <v>1</v>
      </c>
      <c r="AJ11" s="21">
        <f t="shared" si="14"/>
        <v>3</v>
      </c>
      <c r="AK11" s="59">
        <f t="shared" si="15"/>
        <v>1.875</v>
      </c>
      <c r="AL11" s="60" t="str">
        <f t="shared" si="16"/>
        <v>subpar</v>
      </c>
      <c r="AW11" s="22" t="str">
        <f t="shared" ref="AW11:BC11" si="59">IF(IFERROR(SEARCH(E$1, $D11),0) &gt;= 1, E$1,0)</f>
        <v>Geschiedenis en archeologie</v>
      </c>
      <c r="AX11" s="22">
        <f t="shared" si="59"/>
        <v>0</v>
      </c>
      <c r="AY11" s="22">
        <f t="shared" si="59"/>
        <v>0</v>
      </c>
      <c r="AZ11" s="22">
        <f t="shared" si="59"/>
        <v>0</v>
      </c>
      <c r="BA11" s="22">
        <f t="shared" si="59"/>
        <v>0</v>
      </c>
      <c r="BB11" s="22">
        <f t="shared" si="59"/>
        <v>0</v>
      </c>
      <c r="BC11" s="22" t="str">
        <f t="shared" si="59"/>
        <v>Toegepaste kunst en design</v>
      </c>
      <c r="BD11" s="22" t="str">
        <f t="shared" ref="BD11:BG11" si="60">IF(L11 = true, BD$1, 0)</f>
        <v>Shop</v>
      </c>
      <c r="BE11" s="22">
        <f t="shared" si="60"/>
        <v>0</v>
      </c>
      <c r="BF11" s="22">
        <f t="shared" si="60"/>
        <v>0</v>
      </c>
      <c r="BG11" s="22">
        <f t="shared" si="60"/>
        <v>0</v>
      </c>
      <c r="BH11" s="22" t="str">
        <f>IFERROR(__xludf.DUMMYFUNCTION("""COMPUTED_VALUE"""),"Museum PARCUM, Abdij van Park Leuven")</f>
        <v>Museum PARCUM, Abdij van Park Leuven</v>
      </c>
      <c r="BI11" s="24">
        <f>IFERROR(__xludf.DUMMYFUNCTION("""COMPUTED_VALUE"""),12.0)</f>
        <v>12</v>
      </c>
      <c r="BJ11" s="22" t="b">
        <f>IFERROR(__xludf.DUMMYFUNCTION("""COMPUTED_VALUE"""),FALSE)</f>
        <v>0</v>
      </c>
      <c r="BK11" s="22" t="b">
        <f>IFERROR(__xludf.DUMMYFUNCTION("""COMPUTED_VALUE"""),TRUE)</f>
        <v>1</v>
      </c>
      <c r="BL11" s="24">
        <f>IFERROR(__xludf.DUMMYFUNCTION("""COMPUTED_VALUE"""),12.0)</f>
        <v>12</v>
      </c>
      <c r="BM11" s="22">
        <f>IFERROR(__xludf.DUMMYFUNCTION("""COMPUTED_VALUE"""),0.0)</f>
        <v>0</v>
      </c>
      <c r="BN11" s="22">
        <f>IFERROR(__xludf.DUMMYFUNCTION("""COMPUTED_VALUE"""),1.0)</f>
        <v>1</v>
      </c>
      <c r="BO11" s="22">
        <f>IFERROR(__xludf.DUMMYFUNCTION("""COMPUTED_VALUE"""),0.0)</f>
        <v>0</v>
      </c>
      <c r="BP11" s="22">
        <f>IFERROR(__xludf.DUMMYFUNCTION("""COMPUTED_VALUE"""),0.0)</f>
        <v>0</v>
      </c>
      <c r="BQ11" s="22">
        <f>IFERROR(__xludf.DUMMYFUNCTION("""COMPUTED_VALUE"""),0.0)</f>
        <v>0</v>
      </c>
      <c r="BR11" s="22">
        <f>IFERROR(__xludf.DUMMYFUNCTION("""COMPUTED_VALUE"""),0.0)</f>
        <v>0</v>
      </c>
      <c r="BS11" s="22">
        <f>IFERROR(__xludf.DUMMYFUNCTION("""COMPUTED_VALUE"""),1.0)</f>
        <v>1</v>
      </c>
      <c r="BT11" s="22">
        <f>IFERROR(__xludf.DUMMYFUNCTION("""COMPUTED_VALUE"""),0.0)</f>
        <v>0</v>
      </c>
      <c r="BU11" s="22">
        <f>IFERROR(__xludf.DUMMYFUNCTION("""COMPUTED_VALUE"""),2.0)</f>
        <v>2</v>
      </c>
      <c r="BV11" s="22">
        <f>IFERROR(__xludf.DUMMYFUNCTION("""COMPUTED_VALUE"""),0.0)</f>
        <v>0</v>
      </c>
      <c r="BW11" s="22">
        <f>IFERROR(__xludf.DUMMYFUNCTION("""COMPUTED_VALUE"""),1.0)</f>
        <v>1</v>
      </c>
      <c r="BX11" s="22">
        <f>IFERROR(__xludf.DUMMYFUNCTION("""COMPUTED_VALUE"""),1.0)</f>
        <v>1</v>
      </c>
      <c r="BY11" s="22">
        <f>IFERROR(__xludf.DUMMYFUNCTION("""COMPUTED_VALUE"""),1.0)</f>
        <v>1</v>
      </c>
      <c r="BZ11" s="22">
        <f>IFERROR(__xludf.DUMMYFUNCTION("""COMPUTED_VALUE"""),1.0)</f>
        <v>1</v>
      </c>
      <c r="CA11" s="22">
        <f>IFERROR(__xludf.DUMMYFUNCTION("""COMPUTED_VALUE"""),4.0)</f>
        <v>4</v>
      </c>
      <c r="CB11" s="22">
        <f>IFERROR(__xludf.DUMMYFUNCTION("""COMPUTED_VALUE"""),6.0)</f>
        <v>6</v>
      </c>
      <c r="CC11" s="61">
        <f>IFERROR(__xludf.DUMMYFUNCTION("""COMPUTED_VALUE"""),3.75)</f>
        <v>3.75</v>
      </c>
      <c r="CD11" s="62" t="str">
        <f>IFERROR(__xludf.DUMMYFUNCTION("""COMPUTED_VALUE"""),"good")</f>
        <v>good</v>
      </c>
      <c r="CE11" s="22" t="s">
        <v>246</v>
      </c>
      <c r="CF11" s="24">
        <v>12.0</v>
      </c>
      <c r="CG11" s="22" t="b">
        <v>0</v>
      </c>
      <c r="CH11" s="22" t="b">
        <v>1</v>
      </c>
      <c r="CI11" s="24">
        <v>12.0</v>
      </c>
      <c r="CJ11" s="22">
        <v>0.0</v>
      </c>
      <c r="CK11" s="22">
        <v>1.0</v>
      </c>
      <c r="CL11" s="22">
        <v>0.0</v>
      </c>
      <c r="CM11" s="22">
        <v>0.0</v>
      </c>
      <c r="CN11" s="22">
        <v>0.0</v>
      </c>
      <c r="CO11" s="22">
        <v>0.0</v>
      </c>
      <c r="CP11" s="22">
        <v>1.0</v>
      </c>
      <c r="CQ11" s="22">
        <v>0.0</v>
      </c>
      <c r="CR11" s="22">
        <v>2.0</v>
      </c>
      <c r="CS11" s="22">
        <v>0.0</v>
      </c>
      <c r="CT11" s="22">
        <v>1.0</v>
      </c>
      <c r="CU11" s="22">
        <v>1.0</v>
      </c>
      <c r="CV11" s="22">
        <v>1.0</v>
      </c>
      <c r="CW11" s="22">
        <v>1.0</v>
      </c>
      <c r="CX11" s="22">
        <v>4.0</v>
      </c>
      <c r="CY11" s="22">
        <v>6.0</v>
      </c>
      <c r="CZ11" s="61">
        <v>3.75</v>
      </c>
      <c r="DA11" s="62" t="s">
        <v>561</v>
      </c>
    </row>
    <row r="12">
      <c r="A12" s="16" t="s">
        <v>52</v>
      </c>
      <c r="B12" s="16" t="s">
        <v>53</v>
      </c>
      <c r="C12" s="16" t="s">
        <v>26</v>
      </c>
      <c r="D12" s="16" t="s">
        <v>54</v>
      </c>
      <c r="E12" s="17" t="b">
        <f t="shared" ref="E12:K12" si="61">If(IFERROR(SEARCH(E$1, $D12),0) &gt;= 1, true,false)</f>
        <v>1</v>
      </c>
      <c r="F12" s="17" t="b">
        <f t="shared" si="61"/>
        <v>1</v>
      </c>
      <c r="G12" s="17" t="b">
        <f t="shared" si="61"/>
        <v>0</v>
      </c>
      <c r="H12" s="17" t="b">
        <f t="shared" si="61"/>
        <v>0</v>
      </c>
      <c r="I12" s="17" t="b">
        <f t="shared" si="61"/>
        <v>0</v>
      </c>
      <c r="J12" s="17" t="b">
        <f t="shared" si="61"/>
        <v>1</v>
      </c>
      <c r="K12" s="17" t="b">
        <f t="shared" si="61"/>
        <v>0</v>
      </c>
      <c r="L12" s="18" t="b">
        <v>1</v>
      </c>
      <c r="M12" s="18" t="b">
        <v>0</v>
      </c>
      <c r="N12" s="18" t="b">
        <v>0</v>
      </c>
      <c r="O12" s="18" t="b">
        <v>0</v>
      </c>
      <c r="P12" s="16" t="str">
        <f t="shared" si="7"/>
        <v>Aardbeimuseum</v>
      </c>
      <c r="Q12" s="19">
        <v>6.0</v>
      </c>
      <c r="R12" s="18" t="b">
        <v>0</v>
      </c>
      <c r="S12" s="18" t="b">
        <v>0</v>
      </c>
      <c r="T12" s="16"/>
      <c r="U12" s="21">
        <f t="shared" si="8"/>
        <v>0</v>
      </c>
      <c r="V12" s="21">
        <f t="shared" ref="V12:AB12" si="62">if(OR(AW12 = $AO$4, AW12 = $AQ$4), 1, 0)</f>
        <v>1</v>
      </c>
      <c r="W12" s="21">
        <f t="shared" si="62"/>
        <v>0</v>
      </c>
      <c r="X12" s="21">
        <f t="shared" si="62"/>
        <v>0</v>
      </c>
      <c r="Y12" s="21">
        <f t="shared" si="62"/>
        <v>0</v>
      </c>
      <c r="Z12" s="21">
        <f t="shared" si="62"/>
        <v>0</v>
      </c>
      <c r="AA12" s="21">
        <f t="shared" si="62"/>
        <v>1</v>
      </c>
      <c r="AB12" s="21">
        <f t="shared" si="62"/>
        <v>0</v>
      </c>
      <c r="AC12" s="21">
        <f t="shared" si="10"/>
        <v>2</v>
      </c>
      <c r="AD12" s="21">
        <f t="shared" si="11"/>
        <v>1</v>
      </c>
      <c r="AE12" s="21">
        <f t="shared" ref="AE12:AH12" si="63">if(OR(BD12 = $AO$6, BD12 = $AS$6, BD12 = $AT$6, BD12 = $AU$6), 1, 0)</f>
        <v>1</v>
      </c>
      <c r="AF12" s="21">
        <f t="shared" si="63"/>
        <v>0</v>
      </c>
      <c r="AG12" s="21">
        <f t="shared" si="63"/>
        <v>0</v>
      </c>
      <c r="AH12" s="21">
        <f t="shared" si="63"/>
        <v>0</v>
      </c>
      <c r="AI12" s="21">
        <f t="shared" si="13"/>
        <v>1</v>
      </c>
      <c r="AJ12" s="21">
        <f t="shared" si="14"/>
        <v>4</v>
      </c>
      <c r="AK12" s="59">
        <f t="shared" si="15"/>
        <v>2.5</v>
      </c>
      <c r="AL12" s="60" t="str">
        <f t="shared" si="16"/>
        <v>subpar</v>
      </c>
      <c r="AW12" s="22" t="str">
        <f t="shared" ref="AW12:BC12" si="64">IF(IFERROR(SEARCH(E$1, $D12),0) &gt;= 1, E$1,0)</f>
        <v>Geschiedenis en archeologie</v>
      </c>
      <c r="AX12" s="22" t="str">
        <f t="shared" si="64"/>
        <v>Wetenschap en technologie</v>
      </c>
      <c r="AY12" s="22">
        <f t="shared" si="64"/>
        <v>0</v>
      </c>
      <c r="AZ12" s="22">
        <f t="shared" si="64"/>
        <v>0</v>
      </c>
      <c r="BA12" s="22">
        <f t="shared" si="64"/>
        <v>0</v>
      </c>
      <c r="BB12" s="22" t="str">
        <f t="shared" si="64"/>
        <v>Beeldende kunst</v>
      </c>
      <c r="BC12" s="22">
        <f t="shared" si="64"/>
        <v>0</v>
      </c>
      <c r="BD12" s="22" t="str">
        <f t="shared" ref="BD12:BG12" si="65">IF(L12 = true, BD$1, 0)</f>
        <v>Shop</v>
      </c>
      <c r="BE12" s="22">
        <f t="shared" si="65"/>
        <v>0</v>
      </c>
      <c r="BF12" s="22">
        <f t="shared" si="65"/>
        <v>0</v>
      </c>
      <c r="BG12" s="22">
        <f t="shared" si="65"/>
        <v>0</v>
      </c>
      <c r="BH12" s="22" t="str">
        <f>IFERROR(__xludf.DUMMYFUNCTION("""COMPUTED_VALUE"""),"C-mine")</f>
        <v>C-mine</v>
      </c>
      <c r="BI12" s="24">
        <f>IFERROR(__xludf.DUMMYFUNCTION("""COMPUTED_VALUE"""),14.0)</f>
        <v>14</v>
      </c>
      <c r="BJ12" s="22" t="b">
        <f>IFERROR(__xludf.DUMMYFUNCTION("""COMPUTED_VALUE"""),FALSE)</f>
        <v>0</v>
      </c>
      <c r="BK12" s="22" t="b">
        <f>IFERROR(__xludf.DUMMYFUNCTION("""COMPUTED_VALUE"""),TRUE)</f>
        <v>1</v>
      </c>
      <c r="BL12" s="24">
        <f>IFERROR(__xludf.DUMMYFUNCTION("""COMPUTED_VALUE"""),14.0)</f>
        <v>14</v>
      </c>
      <c r="BM12" s="22">
        <f>IFERROR(__xludf.DUMMYFUNCTION("""COMPUTED_VALUE"""),0.0)</f>
        <v>0</v>
      </c>
      <c r="BN12" s="22">
        <f>IFERROR(__xludf.DUMMYFUNCTION("""COMPUTED_VALUE"""),1.0)</f>
        <v>1</v>
      </c>
      <c r="BO12" s="22">
        <f>IFERROR(__xludf.DUMMYFUNCTION("""COMPUTED_VALUE"""),0.0)</f>
        <v>0</v>
      </c>
      <c r="BP12" s="22">
        <f>IFERROR(__xludf.DUMMYFUNCTION("""COMPUTED_VALUE"""),0.0)</f>
        <v>0</v>
      </c>
      <c r="BQ12" s="22">
        <f>IFERROR(__xludf.DUMMYFUNCTION("""COMPUTED_VALUE"""),0.0)</f>
        <v>0</v>
      </c>
      <c r="BR12" s="22">
        <f>IFERROR(__xludf.DUMMYFUNCTION("""COMPUTED_VALUE"""),0.0)</f>
        <v>0</v>
      </c>
      <c r="BS12" s="22">
        <f>IFERROR(__xludf.DUMMYFUNCTION("""COMPUTED_VALUE"""),1.0)</f>
        <v>1</v>
      </c>
      <c r="BT12" s="22">
        <f>IFERROR(__xludf.DUMMYFUNCTION("""COMPUTED_VALUE"""),0.0)</f>
        <v>0</v>
      </c>
      <c r="BU12" s="22">
        <f>IFERROR(__xludf.DUMMYFUNCTION("""COMPUTED_VALUE"""),2.0)</f>
        <v>2</v>
      </c>
      <c r="BV12" s="22">
        <f>IFERROR(__xludf.DUMMYFUNCTION("""COMPUTED_VALUE"""),0.0)</f>
        <v>0</v>
      </c>
      <c r="BW12" s="22">
        <f>IFERROR(__xludf.DUMMYFUNCTION("""COMPUTED_VALUE"""),1.0)</f>
        <v>1</v>
      </c>
      <c r="BX12" s="22">
        <f>IFERROR(__xludf.DUMMYFUNCTION("""COMPUTED_VALUE"""),1.0)</f>
        <v>1</v>
      </c>
      <c r="BY12" s="22">
        <f>IFERROR(__xludf.DUMMYFUNCTION("""COMPUTED_VALUE"""),1.0)</f>
        <v>1</v>
      </c>
      <c r="BZ12" s="22">
        <f>IFERROR(__xludf.DUMMYFUNCTION("""COMPUTED_VALUE"""),1.0)</f>
        <v>1</v>
      </c>
      <c r="CA12" s="22">
        <f>IFERROR(__xludf.DUMMYFUNCTION("""COMPUTED_VALUE"""),4.0)</f>
        <v>4</v>
      </c>
      <c r="CB12" s="22">
        <f>IFERROR(__xludf.DUMMYFUNCTION("""COMPUTED_VALUE"""),6.0)</f>
        <v>6</v>
      </c>
      <c r="CC12" s="61">
        <f>IFERROR(__xludf.DUMMYFUNCTION("""COMPUTED_VALUE"""),3.75)</f>
        <v>3.75</v>
      </c>
      <c r="CD12" s="62" t="str">
        <f>IFERROR(__xludf.DUMMYFUNCTION("""COMPUTED_VALUE"""),"good")</f>
        <v>good</v>
      </c>
      <c r="CE12" s="22" t="s">
        <v>256</v>
      </c>
      <c r="CF12" s="24">
        <v>14.0</v>
      </c>
      <c r="CG12" s="22" t="b">
        <v>0</v>
      </c>
      <c r="CH12" s="22" t="b">
        <v>1</v>
      </c>
      <c r="CI12" s="24">
        <v>14.0</v>
      </c>
      <c r="CJ12" s="22">
        <v>0.0</v>
      </c>
      <c r="CK12" s="22">
        <v>1.0</v>
      </c>
      <c r="CL12" s="22">
        <v>0.0</v>
      </c>
      <c r="CM12" s="22">
        <v>0.0</v>
      </c>
      <c r="CN12" s="22">
        <v>0.0</v>
      </c>
      <c r="CO12" s="22">
        <v>0.0</v>
      </c>
      <c r="CP12" s="22">
        <v>1.0</v>
      </c>
      <c r="CQ12" s="22">
        <v>0.0</v>
      </c>
      <c r="CR12" s="22">
        <v>2.0</v>
      </c>
      <c r="CS12" s="22">
        <v>0.0</v>
      </c>
      <c r="CT12" s="22">
        <v>1.0</v>
      </c>
      <c r="CU12" s="22">
        <v>1.0</v>
      </c>
      <c r="CV12" s="22">
        <v>1.0</v>
      </c>
      <c r="CW12" s="22">
        <v>1.0</v>
      </c>
      <c r="CX12" s="22">
        <v>4.0</v>
      </c>
      <c r="CY12" s="22">
        <v>6.0</v>
      </c>
      <c r="CZ12" s="61">
        <v>3.75</v>
      </c>
      <c r="DA12" s="62" t="s">
        <v>561</v>
      </c>
    </row>
    <row r="13">
      <c r="A13" s="16"/>
      <c r="B13" s="16" t="s">
        <v>56</v>
      </c>
      <c r="C13" s="16" t="s">
        <v>26</v>
      </c>
      <c r="D13" s="16" t="s">
        <v>4</v>
      </c>
      <c r="E13" s="17" t="b">
        <f t="shared" ref="E13:K13" si="66">If(IFERROR(SEARCH(E$1, $D13),0) &gt;= 1, true,false)</f>
        <v>1</v>
      </c>
      <c r="F13" s="17" t="b">
        <f t="shared" si="66"/>
        <v>0</v>
      </c>
      <c r="G13" s="17" t="b">
        <f t="shared" si="66"/>
        <v>0</v>
      </c>
      <c r="H13" s="17" t="b">
        <f t="shared" si="66"/>
        <v>0</v>
      </c>
      <c r="I13" s="17" t="b">
        <f t="shared" si="66"/>
        <v>0</v>
      </c>
      <c r="J13" s="17" t="b">
        <f t="shared" si="66"/>
        <v>0</v>
      </c>
      <c r="K13" s="17" t="b">
        <f t="shared" si="66"/>
        <v>0</v>
      </c>
      <c r="L13" s="18" t="b">
        <v>1</v>
      </c>
      <c r="M13" s="18" t="b">
        <v>0</v>
      </c>
      <c r="N13" s="18" t="b">
        <v>0</v>
      </c>
      <c r="O13" s="18" t="b">
        <v>0</v>
      </c>
      <c r="P13" s="16" t="str">
        <f t="shared" si="7"/>
        <v>Musée du Malgré-Tout</v>
      </c>
      <c r="Q13" s="28">
        <v>5.0</v>
      </c>
      <c r="R13" s="18" t="b">
        <v>0</v>
      </c>
      <c r="S13" s="18" t="b">
        <v>0</v>
      </c>
      <c r="T13" s="16"/>
      <c r="U13" s="21">
        <f t="shared" si="8"/>
        <v>0</v>
      </c>
      <c r="V13" s="21">
        <f t="shared" ref="V13:AB13" si="67">if(OR(AW13 = $AO$4, AW13 = $AQ$4), 1, 0)</f>
        <v>1</v>
      </c>
      <c r="W13" s="21">
        <f t="shared" si="67"/>
        <v>0</v>
      </c>
      <c r="X13" s="21">
        <f t="shared" si="67"/>
        <v>0</v>
      </c>
      <c r="Y13" s="21">
        <f t="shared" si="67"/>
        <v>0</v>
      </c>
      <c r="Z13" s="21">
        <f t="shared" si="67"/>
        <v>0</v>
      </c>
      <c r="AA13" s="21">
        <f t="shared" si="67"/>
        <v>0</v>
      </c>
      <c r="AB13" s="21">
        <f t="shared" si="67"/>
        <v>0</v>
      </c>
      <c r="AC13" s="21">
        <f t="shared" si="10"/>
        <v>1</v>
      </c>
      <c r="AD13" s="21">
        <f t="shared" si="11"/>
        <v>1</v>
      </c>
      <c r="AE13" s="21">
        <f t="shared" ref="AE13:AH13" si="68">if(OR(BD13 = $AO$6, BD13 = $AS$6, BD13 = $AT$6, BD13 = $AU$6), 1, 0)</f>
        <v>1</v>
      </c>
      <c r="AF13" s="21">
        <f t="shared" si="68"/>
        <v>0</v>
      </c>
      <c r="AG13" s="21">
        <f t="shared" si="68"/>
        <v>0</v>
      </c>
      <c r="AH13" s="21">
        <f t="shared" si="68"/>
        <v>0</v>
      </c>
      <c r="AI13" s="21">
        <f t="shared" si="13"/>
        <v>1</v>
      </c>
      <c r="AJ13" s="21">
        <f t="shared" si="14"/>
        <v>3</v>
      </c>
      <c r="AK13" s="59">
        <f t="shared" si="15"/>
        <v>1.875</v>
      </c>
      <c r="AL13" s="60" t="str">
        <f t="shared" si="16"/>
        <v>subpar</v>
      </c>
      <c r="AW13" s="22" t="str">
        <f t="shared" ref="AW13:BC13" si="69">IF(IFERROR(SEARCH(E$1, $D13),0) &gt;= 1, E$1,0)</f>
        <v>Geschiedenis en archeologie</v>
      </c>
      <c r="AX13" s="22">
        <f t="shared" si="69"/>
        <v>0</v>
      </c>
      <c r="AY13" s="22">
        <f t="shared" si="69"/>
        <v>0</v>
      </c>
      <c r="AZ13" s="22">
        <f t="shared" si="69"/>
        <v>0</v>
      </c>
      <c r="BA13" s="22">
        <f t="shared" si="69"/>
        <v>0</v>
      </c>
      <c r="BB13" s="22">
        <f t="shared" si="69"/>
        <v>0</v>
      </c>
      <c r="BC13" s="22">
        <f t="shared" si="69"/>
        <v>0</v>
      </c>
      <c r="BD13" s="22" t="str">
        <f t="shared" ref="BD13:BG13" si="70">IF(L13 = true, BD$1, 0)</f>
        <v>Shop</v>
      </c>
      <c r="BE13" s="22">
        <f t="shared" si="70"/>
        <v>0</v>
      </c>
      <c r="BF13" s="22">
        <f t="shared" si="70"/>
        <v>0</v>
      </c>
      <c r="BG13" s="22">
        <f t="shared" si="70"/>
        <v>0</v>
      </c>
      <c r="BH13" s="22" t="str">
        <f>IFERROR(__xludf.DUMMYFUNCTION("""COMPUTED_VALUE"""),"Duitse Orde Museum (DOMUS) Alden Biesen")</f>
        <v>Duitse Orde Museum (DOMUS) Alden Biesen</v>
      </c>
      <c r="BI13" s="24">
        <f>IFERROR(__xludf.DUMMYFUNCTION("""COMPUTED_VALUE"""),8.0)</f>
        <v>8</v>
      </c>
      <c r="BJ13" s="22" t="b">
        <f>IFERROR(__xludf.DUMMYFUNCTION("""COMPUTED_VALUE"""),FALSE)</f>
        <v>0</v>
      </c>
      <c r="BK13" s="22" t="b">
        <f>IFERROR(__xludf.DUMMYFUNCTION("""COMPUTED_VALUE"""),TRUE)</f>
        <v>1</v>
      </c>
      <c r="BL13" s="24">
        <f>IFERROR(__xludf.DUMMYFUNCTION("""COMPUTED_VALUE"""),8.0)</f>
        <v>8</v>
      </c>
      <c r="BM13" s="22">
        <f>IFERROR(__xludf.DUMMYFUNCTION("""COMPUTED_VALUE"""),0.0)</f>
        <v>0</v>
      </c>
      <c r="BN13" s="22">
        <f>IFERROR(__xludf.DUMMYFUNCTION("""COMPUTED_VALUE"""),1.0)</f>
        <v>1</v>
      </c>
      <c r="BO13" s="22">
        <f>IFERROR(__xludf.DUMMYFUNCTION("""COMPUTED_VALUE"""),0.0)</f>
        <v>0</v>
      </c>
      <c r="BP13" s="22">
        <f>IFERROR(__xludf.DUMMYFUNCTION("""COMPUTED_VALUE"""),0.0)</f>
        <v>0</v>
      </c>
      <c r="BQ13" s="22">
        <f>IFERROR(__xludf.DUMMYFUNCTION("""COMPUTED_VALUE"""),0.0)</f>
        <v>0</v>
      </c>
      <c r="BR13" s="22">
        <f>IFERROR(__xludf.DUMMYFUNCTION("""COMPUTED_VALUE"""),0.0)</f>
        <v>0</v>
      </c>
      <c r="BS13" s="22">
        <f>IFERROR(__xludf.DUMMYFUNCTION("""COMPUTED_VALUE"""),1.0)</f>
        <v>1</v>
      </c>
      <c r="BT13" s="22">
        <f>IFERROR(__xludf.DUMMYFUNCTION("""COMPUTED_VALUE"""),0.0)</f>
        <v>0</v>
      </c>
      <c r="BU13" s="22">
        <f>IFERROR(__xludf.DUMMYFUNCTION("""COMPUTED_VALUE"""),2.0)</f>
        <v>2</v>
      </c>
      <c r="BV13" s="22">
        <f>IFERROR(__xludf.DUMMYFUNCTION("""COMPUTED_VALUE"""),1.0)</f>
        <v>1</v>
      </c>
      <c r="BW13" s="22">
        <f>IFERROR(__xludf.DUMMYFUNCTION("""COMPUTED_VALUE"""),1.0)</f>
        <v>1</v>
      </c>
      <c r="BX13" s="22">
        <f>IFERROR(__xludf.DUMMYFUNCTION("""COMPUTED_VALUE"""),1.0)</f>
        <v>1</v>
      </c>
      <c r="BY13" s="22">
        <f>IFERROR(__xludf.DUMMYFUNCTION("""COMPUTED_VALUE"""),0.0)</f>
        <v>0</v>
      </c>
      <c r="BZ13" s="22">
        <f>IFERROR(__xludf.DUMMYFUNCTION("""COMPUTED_VALUE"""),1.0)</f>
        <v>1</v>
      </c>
      <c r="CA13" s="22">
        <f>IFERROR(__xludf.DUMMYFUNCTION("""COMPUTED_VALUE"""),3.0)</f>
        <v>3</v>
      </c>
      <c r="CB13" s="22">
        <f>IFERROR(__xludf.DUMMYFUNCTION("""COMPUTED_VALUE"""),6.0)</f>
        <v>6</v>
      </c>
      <c r="CC13" s="61">
        <f>IFERROR(__xludf.DUMMYFUNCTION("""COMPUTED_VALUE"""),3.75)</f>
        <v>3.75</v>
      </c>
      <c r="CD13" s="62" t="str">
        <f>IFERROR(__xludf.DUMMYFUNCTION("""COMPUTED_VALUE"""),"good")</f>
        <v>good</v>
      </c>
      <c r="CE13" s="22" t="s">
        <v>260</v>
      </c>
      <c r="CF13" s="24">
        <v>8.0</v>
      </c>
      <c r="CG13" s="22" t="b">
        <v>0</v>
      </c>
      <c r="CH13" s="22" t="b">
        <v>1</v>
      </c>
      <c r="CI13" s="24">
        <v>8.0</v>
      </c>
      <c r="CJ13" s="22">
        <v>0.0</v>
      </c>
      <c r="CK13" s="22">
        <v>1.0</v>
      </c>
      <c r="CL13" s="22">
        <v>0.0</v>
      </c>
      <c r="CM13" s="22">
        <v>0.0</v>
      </c>
      <c r="CN13" s="22">
        <v>0.0</v>
      </c>
      <c r="CO13" s="22">
        <v>0.0</v>
      </c>
      <c r="CP13" s="22">
        <v>1.0</v>
      </c>
      <c r="CQ13" s="22">
        <v>0.0</v>
      </c>
      <c r="CR13" s="22">
        <v>2.0</v>
      </c>
      <c r="CS13" s="22">
        <v>1.0</v>
      </c>
      <c r="CT13" s="22">
        <v>1.0</v>
      </c>
      <c r="CU13" s="22">
        <v>1.0</v>
      </c>
      <c r="CV13" s="22">
        <v>0.0</v>
      </c>
      <c r="CW13" s="22">
        <v>1.0</v>
      </c>
      <c r="CX13" s="22">
        <v>3.0</v>
      </c>
      <c r="CY13" s="22">
        <v>6.0</v>
      </c>
      <c r="CZ13" s="61">
        <v>3.75</v>
      </c>
      <c r="DA13" s="62" t="s">
        <v>561</v>
      </c>
    </row>
    <row r="14">
      <c r="A14" s="16" t="s">
        <v>57</v>
      </c>
      <c r="B14" s="16" t="s">
        <v>58</v>
      </c>
      <c r="C14" s="16" t="s">
        <v>26</v>
      </c>
      <c r="D14" s="16" t="s">
        <v>9</v>
      </c>
      <c r="E14" s="17" t="b">
        <f t="shared" ref="E14:K14" si="71">If(IFERROR(SEARCH(E$1, $D14),0) &gt;= 1, true,false)</f>
        <v>0</v>
      </c>
      <c r="F14" s="17" t="b">
        <f t="shared" si="71"/>
        <v>0</v>
      </c>
      <c r="G14" s="17" t="b">
        <f t="shared" si="71"/>
        <v>0</v>
      </c>
      <c r="H14" s="17" t="b">
        <f t="shared" si="71"/>
        <v>0</v>
      </c>
      <c r="I14" s="17" t="b">
        <f t="shared" si="71"/>
        <v>0</v>
      </c>
      <c r="J14" s="17" t="b">
        <f t="shared" si="71"/>
        <v>1</v>
      </c>
      <c r="K14" s="17" t="b">
        <f t="shared" si="71"/>
        <v>0</v>
      </c>
      <c r="L14" s="18" t="b">
        <v>1</v>
      </c>
      <c r="M14" s="18" t="b">
        <v>0</v>
      </c>
      <c r="N14" s="18" t="b">
        <v>0</v>
      </c>
      <c r="O14" s="18" t="b">
        <v>0</v>
      </c>
      <c r="P14" s="16" t="str">
        <f t="shared" si="7"/>
        <v>Museum van het Klein Formaat</v>
      </c>
      <c r="Q14" s="19">
        <v>5.0</v>
      </c>
      <c r="R14" s="18" t="b">
        <v>0</v>
      </c>
      <c r="S14" s="18" t="b">
        <v>1</v>
      </c>
      <c r="T14" s="29">
        <v>5.0</v>
      </c>
      <c r="U14" s="21">
        <f t="shared" si="8"/>
        <v>0</v>
      </c>
      <c r="V14" s="21">
        <f t="shared" ref="V14:AB14" si="72">if(OR(AW14 = $AO$4, AW14 = $AQ$4), 1, 0)</f>
        <v>0</v>
      </c>
      <c r="W14" s="21">
        <f t="shared" si="72"/>
        <v>0</v>
      </c>
      <c r="X14" s="21">
        <f t="shared" si="72"/>
        <v>0</v>
      </c>
      <c r="Y14" s="21">
        <f t="shared" si="72"/>
        <v>0</v>
      </c>
      <c r="Z14" s="21">
        <f t="shared" si="72"/>
        <v>0</v>
      </c>
      <c r="AA14" s="21">
        <f t="shared" si="72"/>
        <v>1</v>
      </c>
      <c r="AB14" s="21">
        <f t="shared" si="72"/>
        <v>0</v>
      </c>
      <c r="AC14" s="21">
        <f t="shared" si="10"/>
        <v>1</v>
      </c>
      <c r="AD14" s="21">
        <f t="shared" si="11"/>
        <v>1</v>
      </c>
      <c r="AE14" s="21">
        <f t="shared" ref="AE14:AH14" si="73">if(OR(BD14 = $AO$6, BD14 = $AS$6, BD14 = $AT$6, BD14 = $AU$6), 1, 0)</f>
        <v>1</v>
      </c>
      <c r="AF14" s="21">
        <f t="shared" si="73"/>
        <v>0</v>
      </c>
      <c r="AG14" s="21">
        <f t="shared" si="73"/>
        <v>0</v>
      </c>
      <c r="AH14" s="21">
        <f t="shared" si="73"/>
        <v>0</v>
      </c>
      <c r="AI14" s="21">
        <f t="shared" si="13"/>
        <v>1</v>
      </c>
      <c r="AJ14" s="21">
        <f t="shared" si="14"/>
        <v>3</v>
      </c>
      <c r="AK14" s="59">
        <f t="shared" si="15"/>
        <v>1.875</v>
      </c>
      <c r="AL14" s="60" t="str">
        <f t="shared" si="16"/>
        <v>subpar</v>
      </c>
      <c r="AW14" s="22">
        <f t="shared" ref="AW14:BC14" si="74">IF(IFERROR(SEARCH(E$1, $D14),0) &gt;= 1, E$1,0)</f>
        <v>0</v>
      </c>
      <c r="AX14" s="22">
        <f t="shared" si="74"/>
        <v>0</v>
      </c>
      <c r="AY14" s="22">
        <f t="shared" si="74"/>
        <v>0</v>
      </c>
      <c r="AZ14" s="22">
        <f t="shared" si="74"/>
        <v>0</v>
      </c>
      <c r="BA14" s="22">
        <f t="shared" si="74"/>
        <v>0</v>
      </c>
      <c r="BB14" s="22" t="str">
        <f t="shared" si="74"/>
        <v>Beeldende kunst</v>
      </c>
      <c r="BC14" s="22">
        <f t="shared" si="74"/>
        <v>0</v>
      </c>
      <c r="BD14" s="22" t="str">
        <f t="shared" ref="BD14:BG14" si="75">IF(L14 = true, BD$1, 0)</f>
        <v>Shop</v>
      </c>
      <c r="BE14" s="22">
        <f t="shared" si="75"/>
        <v>0</v>
      </c>
      <c r="BF14" s="22">
        <f t="shared" si="75"/>
        <v>0</v>
      </c>
      <c r="BG14" s="22">
        <f t="shared" si="75"/>
        <v>0</v>
      </c>
      <c r="BH14" s="22" t="str">
        <f>IFERROR(__xludf.DUMMYFUNCTION("""COMPUTED_VALUE"""),"Trinkhall museum")</f>
        <v>Trinkhall museum</v>
      </c>
      <c r="BI14" s="24">
        <f>IFERROR(__xludf.DUMMYFUNCTION("""COMPUTED_VALUE"""),9.0)</f>
        <v>9</v>
      </c>
      <c r="BJ14" s="22" t="b">
        <f>IFERROR(__xludf.DUMMYFUNCTION("""COMPUTED_VALUE"""),FALSE)</f>
        <v>0</v>
      </c>
      <c r="BK14" s="22" t="b">
        <f>IFERROR(__xludf.DUMMYFUNCTION("""COMPUTED_VALUE"""),TRUE)</f>
        <v>1</v>
      </c>
      <c r="BL14" s="24">
        <f>IFERROR(__xludf.DUMMYFUNCTION("""COMPUTED_VALUE"""),9.0)</f>
        <v>9</v>
      </c>
      <c r="BM14" s="22">
        <f>IFERROR(__xludf.DUMMYFUNCTION("""COMPUTED_VALUE"""),0.0)</f>
        <v>0</v>
      </c>
      <c r="BN14" s="22">
        <f>IFERROR(__xludf.DUMMYFUNCTION("""COMPUTED_VALUE"""),0.0)</f>
        <v>0</v>
      </c>
      <c r="BO14" s="22">
        <f>IFERROR(__xludf.DUMMYFUNCTION("""COMPUTED_VALUE"""),0.0)</f>
        <v>0</v>
      </c>
      <c r="BP14" s="22">
        <f>IFERROR(__xludf.DUMMYFUNCTION("""COMPUTED_VALUE"""),0.0)</f>
        <v>0</v>
      </c>
      <c r="BQ14" s="22">
        <f>IFERROR(__xludf.DUMMYFUNCTION("""COMPUTED_VALUE"""),0.0)</f>
        <v>0</v>
      </c>
      <c r="BR14" s="22">
        <f>IFERROR(__xludf.DUMMYFUNCTION("""COMPUTED_VALUE"""),0.0)</f>
        <v>0</v>
      </c>
      <c r="BS14" s="22">
        <f>IFERROR(__xludf.DUMMYFUNCTION("""COMPUTED_VALUE"""),1.0)</f>
        <v>1</v>
      </c>
      <c r="BT14" s="22">
        <f>IFERROR(__xludf.DUMMYFUNCTION("""COMPUTED_VALUE"""),0.0)</f>
        <v>0</v>
      </c>
      <c r="BU14" s="22">
        <f>IFERROR(__xludf.DUMMYFUNCTION("""COMPUTED_VALUE"""),1.0)</f>
        <v>1</v>
      </c>
      <c r="BV14" s="22">
        <f>IFERROR(__xludf.DUMMYFUNCTION("""COMPUTED_VALUE"""),1.0)</f>
        <v>1</v>
      </c>
      <c r="BW14" s="22">
        <f>IFERROR(__xludf.DUMMYFUNCTION("""COMPUTED_VALUE"""),1.0)</f>
        <v>1</v>
      </c>
      <c r="BX14" s="22">
        <f>IFERROR(__xludf.DUMMYFUNCTION("""COMPUTED_VALUE"""),1.0)</f>
        <v>1</v>
      </c>
      <c r="BY14" s="22">
        <f>IFERROR(__xludf.DUMMYFUNCTION("""COMPUTED_VALUE"""),1.0)</f>
        <v>1</v>
      </c>
      <c r="BZ14" s="22">
        <f>IFERROR(__xludf.DUMMYFUNCTION("""COMPUTED_VALUE"""),1.0)</f>
        <v>1</v>
      </c>
      <c r="CA14" s="22">
        <f>IFERROR(__xludf.DUMMYFUNCTION("""COMPUTED_VALUE"""),4.0)</f>
        <v>4</v>
      </c>
      <c r="CB14" s="22">
        <f>IFERROR(__xludf.DUMMYFUNCTION("""COMPUTED_VALUE"""),6.0)</f>
        <v>6</v>
      </c>
      <c r="CC14" s="61">
        <f>IFERROR(__xludf.DUMMYFUNCTION("""COMPUTED_VALUE"""),3.75)</f>
        <v>3.75</v>
      </c>
      <c r="CD14" s="62" t="str">
        <f>IFERROR(__xludf.DUMMYFUNCTION("""COMPUTED_VALUE"""),"good")</f>
        <v>good</v>
      </c>
      <c r="CE14" s="22" t="s">
        <v>312</v>
      </c>
      <c r="CF14" s="24">
        <v>9.0</v>
      </c>
      <c r="CG14" s="22" t="b">
        <v>0</v>
      </c>
      <c r="CH14" s="22" t="b">
        <v>1</v>
      </c>
      <c r="CI14" s="24">
        <v>9.0</v>
      </c>
      <c r="CJ14" s="22">
        <v>0.0</v>
      </c>
      <c r="CK14" s="22">
        <v>0.0</v>
      </c>
      <c r="CL14" s="22">
        <v>0.0</v>
      </c>
      <c r="CM14" s="22">
        <v>0.0</v>
      </c>
      <c r="CN14" s="22">
        <v>0.0</v>
      </c>
      <c r="CO14" s="22">
        <v>0.0</v>
      </c>
      <c r="CP14" s="22">
        <v>1.0</v>
      </c>
      <c r="CQ14" s="22">
        <v>0.0</v>
      </c>
      <c r="CR14" s="22">
        <v>1.0</v>
      </c>
      <c r="CS14" s="22">
        <v>1.0</v>
      </c>
      <c r="CT14" s="22">
        <v>1.0</v>
      </c>
      <c r="CU14" s="22">
        <v>1.0</v>
      </c>
      <c r="CV14" s="22">
        <v>1.0</v>
      </c>
      <c r="CW14" s="22">
        <v>1.0</v>
      </c>
      <c r="CX14" s="22">
        <v>4.0</v>
      </c>
      <c r="CY14" s="22">
        <v>6.0</v>
      </c>
      <c r="CZ14" s="61">
        <v>3.75</v>
      </c>
      <c r="DA14" s="62" t="s">
        <v>561</v>
      </c>
    </row>
    <row r="15">
      <c r="A15" s="16" t="s">
        <v>59</v>
      </c>
      <c r="B15" s="16" t="s">
        <v>60</v>
      </c>
      <c r="C15" s="16" t="s">
        <v>26</v>
      </c>
      <c r="D15" s="16" t="s">
        <v>9</v>
      </c>
      <c r="E15" s="17" t="b">
        <f t="shared" ref="E15:K15" si="76">If(IFERROR(SEARCH(E$1, $D15),0) &gt;= 1, true,false)</f>
        <v>0</v>
      </c>
      <c r="F15" s="17" t="b">
        <f t="shared" si="76"/>
        <v>0</v>
      </c>
      <c r="G15" s="17" t="b">
        <f t="shared" si="76"/>
        <v>0</v>
      </c>
      <c r="H15" s="17" t="b">
        <f t="shared" si="76"/>
        <v>0</v>
      </c>
      <c r="I15" s="17" t="b">
        <f t="shared" si="76"/>
        <v>0</v>
      </c>
      <c r="J15" s="17" t="b">
        <f t="shared" si="76"/>
        <v>1</v>
      </c>
      <c r="K15" s="17" t="b">
        <f t="shared" si="76"/>
        <v>0</v>
      </c>
      <c r="L15" s="18" t="b">
        <v>1</v>
      </c>
      <c r="M15" s="18" t="b">
        <v>0</v>
      </c>
      <c r="N15" s="18" t="b">
        <v>0</v>
      </c>
      <c r="O15" s="18" t="b">
        <v>0</v>
      </c>
      <c r="P15" s="16" t="str">
        <f t="shared" si="7"/>
        <v>Félicien Rops Museum</v>
      </c>
      <c r="Q15" s="19">
        <v>0.0</v>
      </c>
      <c r="R15" s="18" t="b">
        <v>0</v>
      </c>
      <c r="S15" s="18" t="b">
        <v>1</v>
      </c>
      <c r="T15" s="29">
        <v>8.0</v>
      </c>
      <c r="U15" s="21">
        <f t="shared" si="8"/>
        <v>0</v>
      </c>
      <c r="V15" s="21">
        <f t="shared" ref="V15:AB15" si="77">if(OR(AW15 = $AO$4, AW15 = $AQ$4), 1, 0)</f>
        <v>0</v>
      </c>
      <c r="W15" s="21">
        <f t="shared" si="77"/>
        <v>0</v>
      </c>
      <c r="X15" s="21">
        <f t="shared" si="77"/>
        <v>0</v>
      </c>
      <c r="Y15" s="21">
        <f t="shared" si="77"/>
        <v>0</v>
      </c>
      <c r="Z15" s="21">
        <f t="shared" si="77"/>
        <v>0</v>
      </c>
      <c r="AA15" s="21">
        <f t="shared" si="77"/>
        <v>1</v>
      </c>
      <c r="AB15" s="21">
        <f t="shared" si="77"/>
        <v>0</v>
      </c>
      <c r="AC15" s="21">
        <f t="shared" si="10"/>
        <v>1</v>
      </c>
      <c r="AD15" s="21">
        <f t="shared" si="11"/>
        <v>1</v>
      </c>
      <c r="AE15" s="21">
        <f t="shared" ref="AE15:AH15" si="78">if(OR(BD15 = $AO$6, BD15 = $AS$6, BD15 = $AT$6, BD15 = $AU$6), 1, 0)</f>
        <v>1</v>
      </c>
      <c r="AF15" s="21">
        <f t="shared" si="78"/>
        <v>0</v>
      </c>
      <c r="AG15" s="21">
        <f t="shared" si="78"/>
        <v>0</v>
      </c>
      <c r="AH15" s="21">
        <f t="shared" si="78"/>
        <v>0</v>
      </c>
      <c r="AI15" s="21">
        <f t="shared" si="13"/>
        <v>1</v>
      </c>
      <c r="AJ15" s="21">
        <f t="shared" si="14"/>
        <v>3</v>
      </c>
      <c r="AK15" s="59">
        <f t="shared" si="15"/>
        <v>1.875</v>
      </c>
      <c r="AL15" s="60" t="str">
        <f t="shared" si="16"/>
        <v>subpar</v>
      </c>
      <c r="AW15" s="22">
        <f t="shared" ref="AW15:BC15" si="79">IF(IFERROR(SEARCH(E$1, $D15),0) &gt;= 1, E$1,0)</f>
        <v>0</v>
      </c>
      <c r="AX15" s="22">
        <f t="shared" si="79"/>
        <v>0</v>
      </c>
      <c r="AY15" s="22">
        <f t="shared" si="79"/>
        <v>0</v>
      </c>
      <c r="AZ15" s="22">
        <f t="shared" si="79"/>
        <v>0</v>
      </c>
      <c r="BA15" s="22">
        <f t="shared" si="79"/>
        <v>0</v>
      </c>
      <c r="BB15" s="22" t="str">
        <f t="shared" si="79"/>
        <v>Beeldende kunst</v>
      </c>
      <c r="BC15" s="22">
        <f t="shared" si="79"/>
        <v>0</v>
      </c>
      <c r="BD15" s="22" t="str">
        <f t="shared" ref="BD15:BG15" si="80">IF(L15 = true, BD$1, 0)</f>
        <v>Shop</v>
      </c>
      <c r="BE15" s="22">
        <f t="shared" si="80"/>
        <v>0</v>
      </c>
      <c r="BF15" s="22">
        <f t="shared" si="80"/>
        <v>0</v>
      </c>
      <c r="BG15" s="22">
        <f t="shared" si="80"/>
        <v>0</v>
      </c>
      <c r="BH15" s="22" t="str">
        <f>IFERROR(__xludf.DUMMYFUNCTION("""COMPUTED_VALUE"""),"Centrum voor Innovatie en Design van Grand-Hornu")</f>
        <v>Centrum voor Innovatie en Design van Grand-Hornu</v>
      </c>
      <c r="BI15" s="24">
        <f>IFERROR(__xludf.DUMMYFUNCTION("""COMPUTED_VALUE"""),10.0)</f>
        <v>10</v>
      </c>
      <c r="BJ15" s="22" t="b">
        <f>IFERROR(__xludf.DUMMYFUNCTION("""COMPUTED_VALUE"""),FALSE)</f>
        <v>0</v>
      </c>
      <c r="BK15" s="22" t="b">
        <f>IFERROR(__xludf.DUMMYFUNCTION("""COMPUTED_VALUE"""),TRUE)</f>
        <v>1</v>
      </c>
      <c r="BL15" s="24">
        <f>IFERROR(__xludf.DUMMYFUNCTION("""COMPUTED_VALUE"""),10.0)</f>
        <v>10</v>
      </c>
      <c r="BM15" s="22">
        <f>IFERROR(__xludf.DUMMYFUNCTION("""COMPUTED_VALUE"""),0.0)</f>
        <v>0</v>
      </c>
      <c r="BN15" s="22">
        <f>IFERROR(__xludf.DUMMYFUNCTION("""COMPUTED_VALUE"""),0.0)</f>
        <v>0</v>
      </c>
      <c r="BO15" s="22">
        <f>IFERROR(__xludf.DUMMYFUNCTION("""COMPUTED_VALUE"""),0.0)</f>
        <v>0</v>
      </c>
      <c r="BP15" s="22">
        <f>IFERROR(__xludf.DUMMYFUNCTION("""COMPUTED_VALUE"""),0.0)</f>
        <v>0</v>
      </c>
      <c r="BQ15" s="22">
        <f>IFERROR(__xludf.DUMMYFUNCTION("""COMPUTED_VALUE"""),0.0)</f>
        <v>0</v>
      </c>
      <c r="BR15" s="22">
        <f>IFERROR(__xludf.DUMMYFUNCTION("""COMPUTED_VALUE"""),0.0)</f>
        <v>0</v>
      </c>
      <c r="BS15" s="22">
        <f>IFERROR(__xludf.DUMMYFUNCTION("""COMPUTED_VALUE"""),1.0)</f>
        <v>1</v>
      </c>
      <c r="BT15" s="22">
        <f>IFERROR(__xludf.DUMMYFUNCTION("""COMPUTED_VALUE"""),0.0)</f>
        <v>0</v>
      </c>
      <c r="BU15" s="22">
        <f>IFERROR(__xludf.DUMMYFUNCTION("""COMPUTED_VALUE"""),1.0)</f>
        <v>1</v>
      </c>
      <c r="BV15" s="22">
        <f>IFERROR(__xludf.DUMMYFUNCTION("""COMPUTED_VALUE"""),1.0)</f>
        <v>1</v>
      </c>
      <c r="BW15" s="22">
        <f>IFERROR(__xludf.DUMMYFUNCTION("""COMPUTED_VALUE"""),1.0)</f>
        <v>1</v>
      </c>
      <c r="BX15" s="22">
        <f>IFERROR(__xludf.DUMMYFUNCTION("""COMPUTED_VALUE"""),1.0)</f>
        <v>1</v>
      </c>
      <c r="BY15" s="22">
        <f>IFERROR(__xludf.DUMMYFUNCTION("""COMPUTED_VALUE"""),1.0)</f>
        <v>1</v>
      </c>
      <c r="BZ15" s="22">
        <f>IFERROR(__xludf.DUMMYFUNCTION("""COMPUTED_VALUE"""),1.0)</f>
        <v>1</v>
      </c>
      <c r="CA15" s="22">
        <f>IFERROR(__xludf.DUMMYFUNCTION("""COMPUTED_VALUE"""),4.0)</f>
        <v>4</v>
      </c>
      <c r="CB15" s="22">
        <f>IFERROR(__xludf.DUMMYFUNCTION("""COMPUTED_VALUE"""),6.0)</f>
        <v>6</v>
      </c>
      <c r="CC15" s="61">
        <f>IFERROR(__xludf.DUMMYFUNCTION("""COMPUTED_VALUE"""),3.75)</f>
        <v>3.75</v>
      </c>
      <c r="CD15" s="62" t="str">
        <f>IFERROR(__xludf.DUMMYFUNCTION("""COMPUTED_VALUE"""),"good")</f>
        <v>good</v>
      </c>
      <c r="CE15" s="22" t="s">
        <v>336</v>
      </c>
      <c r="CF15" s="24">
        <v>10.0</v>
      </c>
      <c r="CG15" s="22" t="b">
        <v>0</v>
      </c>
      <c r="CH15" s="22" t="b">
        <v>1</v>
      </c>
      <c r="CI15" s="24">
        <v>10.0</v>
      </c>
      <c r="CJ15" s="22">
        <v>0.0</v>
      </c>
      <c r="CK15" s="22">
        <v>0.0</v>
      </c>
      <c r="CL15" s="22">
        <v>0.0</v>
      </c>
      <c r="CM15" s="22">
        <v>0.0</v>
      </c>
      <c r="CN15" s="22">
        <v>0.0</v>
      </c>
      <c r="CO15" s="22">
        <v>0.0</v>
      </c>
      <c r="CP15" s="22">
        <v>1.0</v>
      </c>
      <c r="CQ15" s="22">
        <v>0.0</v>
      </c>
      <c r="CR15" s="22">
        <v>1.0</v>
      </c>
      <c r="CS15" s="22">
        <v>1.0</v>
      </c>
      <c r="CT15" s="22">
        <v>1.0</v>
      </c>
      <c r="CU15" s="22">
        <v>1.0</v>
      </c>
      <c r="CV15" s="22">
        <v>1.0</v>
      </c>
      <c r="CW15" s="22">
        <v>1.0</v>
      </c>
      <c r="CX15" s="22">
        <v>4.0</v>
      </c>
      <c r="CY15" s="22">
        <v>6.0</v>
      </c>
      <c r="CZ15" s="61">
        <v>3.75</v>
      </c>
      <c r="DA15" s="62" t="s">
        <v>561</v>
      </c>
    </row>
    <row r="16">
      <c r="A16" s="16" t="s">
        <v>61</v>
      </c>
      <c r="B16" s="16" t="s">
        <v>62</v>
      </c>
      <c r="C16" s="16" t="s">
        <v>26</v>
      </c>
      <c r="D16" s="16" t="s">
        <v>9</v>
      </c>
      <c r="E16" s="17" t="b">
        <f t="shared" ref="E16:K16" si="81">If(IFERROR(SEARCH(E$1, $D16),0) &gt;= 1, true,false)</f>
        <v>0</v>
      </c>
      <c r="F16" s="17" t="b">
        <f t="shared" si="81"/>
        <v>0</v>
      </c>
      <c r="G16" s="17" t="b">
        <f t="shared" si="81"/>
        <v>0</v>
      </c>
      <c r="H16" s="17" t="b">
        <f t="shared" si="81"/>
        <v>0</v>
      </c>
      <c r="I16" s="17" t="b">
        <f t="shared" si="81"/>
        <v>0</v>
      </c>
      <c r="J16" s="17" t="b">
        <f t="shared" si="81"/>
        <v>1</v>
      </c>
      <c r="K16" s="17" t="b">
        <f t="shared" si="81"/>
        <v>0</v>
      </c>
      <c r="L16" s="18" t="b">
        <v>1</v>
      </c>
      <c r="M16" s="18" t="b">
        <v>0</v>
      </c>
      <c r="N16" s="18" t="b">
        <v>0</v>
      </c>
      <c r="O16" s="18" t="b">
        <v>0</v>
      </c>
      <c r="P16" s="16" t="str">
        <f t="shared" si="7"/>
        <v>Museum voor Oude Kunsten</v>
      </c>
      <c r="Q16" s="19">
        <v>5.0</v>
      </c>
      <c r="R16" s="18" t="b">
        <v>0</v>
      </c>
      <c r="S16" s="18" t="b">
        <v>1</v>
      </c>
      <c r="T16" s="30">
        <v>8.0</v>
      </c>
      <c r="U16" s="21">
        <f t="shared" si="8"/>
        <v>0</v>
      </c>
      <c r="V16" s="21">
        <f t="shared" ref="V16:AB16" si="82">if(OR(AW16 = $AO$4, AW16 = $AQ$4), 1, 0)</f>
        <v>0</v>
      </c>
      <c r="W16" s="21">
        <f t="shared" si="82"/>
        <v>0</v>
      </c>
      <c r="X16" s="21">
        <f t="shared" si="82"/>
        <v>0</v>
      </c>
      <c r="Y16" s="21">
        <f t="shared" si="82"/>
        <v>0</v>
      </c>
      <c r="Z16" s="21">
        <f t="shared" si="82"/>
        <v>0</v>
      </c>
      <c r="AA16" s="21">
        <f t="shared" si="82"/>
        <v>1</v>
      </c>
      <c r="AB16" s="21">
        <f t="shared" si="82"/>
        <v>0</v>
      </c>
      <c r="AC16" s="21">
        <f t="shared" si="10"/>
        <v>1</v>
      </c>
      <c r="AD16" s="21">
        <f t="shared" si="11"/>
        <v>1</v>
      </c>
      <c r="AE16" s="21">
        <f t="shared" ref="AE16:AH16" si="83">if(OR(BD16 = $AO$6, BD16 = $AS$6, BD16 = $AT$6, BD16 = $AU$6), 1, 0)</f>
        <v>1</v>
      </c>
      <c r="AF16" s="21">
        <f t="shared" si="83"/>
        <v>0</v>
      </c>
      <c r="AG16" s="21">
        <f t="shared" si="83"/>
        <v>0</v>
      </c>
      <c r="AH16" s="21">
        <f t="shared" si="83"/>
        <v>0</v>
      </c>
      <c r="AI16" s="21">
        <f t="shared" si="13"/>
        <v>1</v>
      </c>
      <c r="AJ16" s="21">
        <f t="shared" si="14"/>
        <v>3</v>
      </c>
      <c r="AK16" s="59">
        <f t="shared" si="15"/>
        <v>1.875</v>
      </c>
      <c r="AL16" s="60" t="str">
        <f t="shared" si="16"/>
        <v>subpar</v>
      </c>
      <c r="AW16" s="22">
        <f t="shared" ref="AW16:BC16" si="84">IF(IFERROR(SEARCH(E$1, $D16),0) &gt;= 1, E$1,0)</f>
        <v>0</v>
      </c>
      <c r="AX16" s="22">
        <f t="shared" si="84"/>
        <v>0</v>
      </c>
      <c r="AY16" s="22">
        <f t="shared" si="84"/>
        <v>0</v>
      </c>
      <c r="AZ16" s="22">
        <f t="shared" si="84"/>
        <v>0</v>
      </c>
      <c r="BA16" s="22">
        <f t="shared" si="84"/>
        <v>0</v>
      </c>
      <c r="BB16" s="22" t="str">
        <f t="shared" si="84"/>
        <v>Beeldende kunst</v>
      </c>
      <c r="BC16" s="22">
        <f t="shared" si="84"/>
        <v>0</v>
      </c>
      <c r="BD16" s="22" t="str">
        <f t="shared" ref="BD16:BG16" si="85">IF(L16 = true, BD$1, 0)</f>
        <v>Shop</v>
      </c>
      <c r="BE16" s="22">
        <f t="shared" si="85"/>
        <v>0</v>
      </c>
      <c r="BF16" s="22">
        <f t="shared" si="85"/>
        <v>0</v>
      </c>
      <c r="BG16" s="22">
        <f t="shared" si="85"/>
        <v>0</v>
      </c>
      <c r="BH16" s="22" t="str">
        <f>IFERROR(__xludf.DUMMYFUNCTION("""COMPUTED_VALUE"""),"Le Bois du Cazier ")</f>
        <v>Le Bois du Cazier </v>
      </c>
      <c r="BI16" s="24">
        <f>IFERROR(__xludf.DUMMYFUNCTION("""COMPUTED_VALUE"""),9.0)</f>
        <v>9</v>
      </c>
      <c r="BJ16" s="22" t="b">
        <f>IFERROR(__xludf.DUMMYFUNCTION("""COMPUTED_VALUE"""),FALSE)</f>
        <v>0</v>
      </c>
      <c r="BK16" s="22" t="b">
        <f>IFERROR(__xludf.DUMMYFUNCTION("""COMPUTED_VALUE"""),TRUE)</f>
        <v>1</v>
      </c>
      <c r="BL16" s="24">
        <f>IFERROR(__xludf.DUMMYFUNCTION("""COMPUTED_VALUE"""),9.0)</f>
        <v>9</v>
      </c>
      <c r="BM16" s="22">
        <f>IFERROR(__xludf.DUMMYFUNCTION("""COMPUTED_VALUE"""),0.0)</f>
        <v>0</v>
      </c>
      <c r="BN16" s="22">
        <f>IFERROR(__xludf.DUMMYFUNCTION("""COMPUTED_VALUE"""),1.0)</f>
        <v>1</v>
      </c>
      <c r="BO16" s="22">
        <f>IFERROR(__xludf.DUMMYFUNCTION("""COMPUTED_VALUE"""),0.0)</f>
        <v>0</v>
      </c>
      <c r="BP16" s="22">
        <f>IFERROR(__xludf.DUMMYFUNCTION("""COMPUTED_VALUE"""),0.0)</f>
        <v>0</v>
      </c>
      <c r="BQ16" s="22">
        <f>IFERROR(__xludf.DUMMYFUNCTION("""COMPUTED_VALUE"""),0.0)</f>
        <v>0</v>
      </c>
      <c r="BR16" s="22">
        <f>IFERROR(__xludf.DUMMYFUNCTION("""COMPUTED_VALUE"""),0.0)</f>
        <v>0</v>
      </c>
      <c r="BS16" s="22">
        <f>IFERROR(__xludf.DUMMYFUNCTION("""COMPUTED_VALUE"""),0.0)</f>
        <v>0</v>
      </c>
      <c r="BT16" s="22">
        <f>IFERROR(__xludf.DUMMYFUNCTION("""COMPUTED_VALUE"""),0.0)</f>
        <v>0</v>
      </c>
      <c r="BU16" s="22">
        <f>IFERROR(__xludf.DUMMYFUNCTION("""COMPUTED_VALUE"""),1.0)</f>
        <v>1</v>
      </c>
      <c r="BV16" s="22">
        <f>IFERROR(__xludf.DUMMYFUNCTION("""COMPUTED_VALUE"""),1.0)</f>
        <v>1</v>
      </c>
      <c r="BW16" s="22">
        <f>IFERROR(__xludf.DUMMYFUNCTION("""COMPUTED_VALUE"""),1.0)</f>
        <v>1</v>
      </c>
      <c r="BX16" s="22">
        <f>IFERROR(__xludf.DUMMYFUNCTION("""COMPUTED_VALUE"""),1.0)</f>
        <v>1</v>
      </c>
      <c r="BY16" s="22">
        <f>IFERROR(__xludf.DUMMYFUNCTION("""COMPUTED_VALUE"""),1.0)</f>
        <v>1</v>
      </c>
      <c r="BZ16" s="22">
        <f>IFERROR(__xludf.DUMMYFUNCTION("""COMPUTED_VALUE"""),1.0)</f>
        <v>1</v>
      </c>
      <c r="CA16" s="22">
        <f>IFERROR(__xludf.DUMMYFUNCTION("""COMPUTED_VALUE"""),4.0)</f>
        <v>4</v>
      </c>
      <c r="CB16" s="22">
        <f>IFERROR(__xludf.DUMMYFUNCTION("""COMPUTED_VALUE"""),6.0)</f>
        <v>6</v>
      </c>
      <c r="CC16" s="61">
        <f>IFERROR(__xludf.DUMMYFUNCTION("""COMPUTED_VALUE"""),3.75)</f>
        <v>3.75</v>
      </c>
      <c r="CD16" s="62" t="str">
        <f>IFERROR(__xludf.DUMMYFUNCTION("""COMPUTED_VALUE"""),"good")</f>
        <v>good</v>
      </c>
      <c r="CE16" s="22" t="s">
        <v>354</v>
      </c>
      <c r="CF16" s="24">
        <v>9.0</v>
      </c>
      <c r="CG16" s="22" t="b">
        <v>0</v>
      </c>
      <c r="CH16" s="22" t="b">
        <v>1</v>
      </c>
      <c r="CI16" s="24">
        <v>9.0</v>
      </c>
      <c r="CJ16" s="22">
        <v>0.0</v>
      </c>
      <c r="CK16" s="22">
        <v>1.0</v>
      </c>
      <c r="CL16" s="22">
        <v>0.0</v>
      </c>
      <c r="CM16" s="22">
        <v>0.0</v>
      </c>
      <c r="CN16" s="22">
        <v>0.0</v>
      </c>
      <c r="CO16" s="22">
        <v>0.0</v>
      </c>
      <c r="CP16" s="22">
        <v>0.0</v>
      </c>
      <c r="CQ16" s="22">
        <v>0.0</v>
      </c>
      <c r="CR16" s="22">
        <v>1.0</v>
      </c>
      <c r="CS16" s="22">
        <v>1.0</v>
      </c>
      <c r="CT16" s="22">
        <v>1.0</v>
      </c>
      <c r="CU16" s="22">
        <v>1.0</v>
      </c>
      <c r="CV16" s="22">
        <v>1.0</v>
      </c>
      <c r="CW16" s="22">
        <v>1.0</v>
      </c>
      <c r="CX16" s="22">
        <v>4.0</v>
      </c>
      <c r="CY16" s="22">
        <v>6.0</v>
      </c>
      <c r="CZ16" s="61">
        <v>3.75</v>
      </c>
      <c r="DA16" s="62" t="s">
        <v>561</v>
      </c>
    </row>
    <row r="17">
      <c r="A17" s="16" t="s">
        <v>63</v>
      </c>
      <c r="B17" s="16" t="s">
        <v>64</v>
      </c>
      <c r="C17" s="16" t="s">
        <v>28</v>
      </c>
      <c r="D17" s="16" t="s">
        <v>65</v>
      </c>
      <c r="E17" s="17" t="b">
        <f t="shared" ref="E17:K17" si="86">If(IFERROR(SEARCH(E$1, $D17),0) &gt;= 1, true,false)</f>
        <v>1</v>
      </c>
      <c r="F17" s="17" t="b">
        <f t="shared" si="86"/>
        <v>1</v>
      </c>
      <c r="G17" s="17" t="b">
        <f t="shared" si="86"/>
        <v>0</v>
      </c>
      <c r="H17" s="17" t="b">
        <f t="shared" si="86"/>
        <v>0</v>
      </c>
      <c r="I17" s="17" t="b">
        <f t="shared" si="86"/>
        <v>1</v>
      </c>
      <c r="J17" s="17" t="b">
        <f t="shared" si="86"/>
        <v>0</v>
      </c>
      <c r="K17" s="17" t="b">
        <f t="shared" si="86"/>
        <v>0</v>
      </c>
      <c r="L17" s="18" t="b">
        <v>1</v>
      </c>
      <c r="M17" s="18" t="b">
        <v>0</v>
      </c>
      <c r="N17" s="18" t="b">
        <v>1</v>
      </c>
      <c r="O17" s="18" t="b">
        <v>0</v>
      </c>
      <c r="P17" s="16" t="str">
        <f t="shared" si="7"/>
        <v>Abdijmuseum Ten Duinen</v>
      </c>
      <c r="Q17" s="28">
        <v>10.0</v>
      </c>
      <c r="R17" s="18" t="b">
        <v>0</v>
      </c>
      <c r="S17" s="18" t="b">
        <v>1</v>
      </c>
      <c r="T17" s="31">
        <v>10.0</v>
      </c>
      <c r="U17" s="21">
        <f t="shared" si="8"/>
        <v>0</v>
      </c>
      <c r="V17" s="21">
        <f t="shared" ref="V17:AB17" si="87">if(OR(AW17 = $AO$4, AW17 = $AQ$4), 1, 0)</f>
        <v>1</v>
      </c>
      <c r="W17" s="21">
        <f t="shared" si="87"/>
        <v>0</v>
      </c>
      <c r="X17" s="21">
        <f t="shared" si="87"/>
        <v>0</v>
      </c>
      <c r="Y17" s="21">
        <f t="shared" si="87"/>
        <v>0</v>
      </c>
      <c r="Z17" s="21">
        <f t="shared" si="87"/>
        <v>0</v>
      </c>
      <c r="AA17" s="21">
        <f t="shared" si="87"/>
        <v>0</v>
      </c>
      <c r="AB17" s="21">
        <f t="shared" si="87"/>
        <v>0</v>
      </c>
      <c r="AC17" s="21">
        <f t="shared" si="10"/>
        <v>1</v>
      </c>
      <c r="AD17" s="21">
        <f t="shared" si="11"/>
        <v>1</v>
      </c>
      <c r="AE17" s="21">
        <f t="shared" ref="AE17:AH17" si="88">if(OR(BD17 = $AO$6, BD17 = $AS$6, BD17 = $AT$6, BD17 = $AU$6), 1, 0)</f>
        <v>1</v>
      </c>
      <c r="AF17" s="21">
        <f t="shared" si="88"/>
        <v>0</v>
      </c>
      <c r="AG17" s="21">
        <f t="shared" si="88"/>
        <v>1</v>
      </c>
      <c r="AH17" s="21">
        <f t="shared" si="88"/>
        <v>0</v>
      </c>
      <c r="AI17" s="21">
        <f t="shared" si="13"/>
        <v>2</v>
      </c>
      <c r="AJ17" s="21">
        <f t="shared" si="14"/>
        <v>4</v>
      </c>
      <c r="AK17" s="59">
        <f t="shared" si="15"/>
        <v>2.5</v>
      </c>
      <c r="AL17" s="60" t="str">
        <f t="shared" si="16"/>
        <v>subpar</v>
      </c>
      <c r="AW17" s="22" t="str">
        <f t="shared" ref="AW17:BC17" si="89">IF(IFERROR(SEARCH(E$1, $D17),0) &gt;= 1, E$1,0)</f>
        <v>Geschiedenis en archeologie</v>
      </c>
      <c r="AX17" s="22" t="str">
        <f t="shared" si="89"/>
        <v>Wetenschap en technologie</v>
      </c>
      <c r="AY17" s="22">
        <f t="shared" si="89"/>
        <v>0</v>
      </c>
      <c r="AZ17" s="22">
        <f t="shared" si="89"/>
        <v>0</v>
      </c>
      <c r="BA17" s="22" t="str">
        <f t="shared" si="89"/>
        <v>Architectuur</v>
      </c>
      <c r="BB17" s="22">
        <f t="shared" si="89"/>
        <v>0</v>
      </c>
      <c r="BC17" s="22">
        <f t="shared" si="89"/>
        <v>0</v>
      </c>
      <c r="BD17" s="22" t="str">
        <f t="shared" ref="BD17:BG17" si="90">IF(L17 = true, BD$1, 0)</f>
        <v>Shop</v>
      </c>
      <c r="BE17" s="22">
        <f t="shared" si="90"/>
        <v>0</v>
      </c>
      <c r="BF17" s="22" t="str">
        <f t="shared" si="90"/>
        <v>Parking</v>
      </c>
      <c r="BG17" s="22">
        <f t="shared" si="90"/>
        <v>0</v>
      </c>
      <c r="BH17" s="22" t="str">
        <f>IFERROR(__xludf.DUMMYFUNCTION("""COMPUTED_VALUE"""),"Internationaal Museum van het Carnaval en het Masker")</f>
        <v>Internationaal Museum van het Carnaval en het Masker</v>
      </c>
      <c r="BI17" s="24">
        <f>IFERROR(__xludf.DUMMYFUNCTION("""COMPUTED_VALUE"""),8.0)</f>
        <v>8</v>
      </c>
      <c r="BJ17" s="22" t="b">
        <f>IFERROR(__xludf.DUMMYFUNCTION("""COMPUTED_VALUE"""),FALSE)</f>
        <v>0</v>
      </c>
      <c r="BK17" s="22" t="b">
        <f>IFERROR(__xludf.DUMMYFUNCTION("""COMPUTED_VALUE"""),TRUE)</f>
        <v>1</v>
      </c>
      <c r="BL17" s="24">
        <f>IFERROR(__xludf.DUMMYFUNCTION("""COMPUTED_VALUE"""),8.0)</f>
        <v>8</v>
      </c>
      <c r="BM17" s="22">
        <f>IFERROR(__xludf.DUMMYFUNCTION("""COMPUTED_VALUE"""),0.0)</f>
        <v>0</v>
      </c>
      <c r="BN17" s="22">
        <f>IFERROR(__xludf.DUMMYFUNCTION("""COMPUTED_VALUE"""),1.0)</f>
        <v>1</v>
      </c>
      <c r="BO17" s="22">
        <f>IFERROR(__xludf.DUMMYFUNCTION("""COMPUTED_VALUE"""),0.0)</f>
        <v>0</v>
      </c>
      <c r="BP17" s="22">
        <f>IFERROR(__xludf.DUMMYFUNCTION("""COMPUTED_VALUE"""),0.0)</f>
        <v>0</v>
      </c>
      <c r="BQ17" s="22">
        <f>IFERROR(__xludf.DUMMYFUNCTION("""COMPUTED_VALUE"""),0.0)</f>
        <v>0</v>
      </c>
      <c r="BR17" s="22">
        <f>IFERROR(__xludf.DUMMYFUNCTION("""COMPUTED_VALUE"""),0.0)</f>
        <v>0</v>
      </c>
      <c r="BS17" s="22">
        <f>IFERROR(__xludf.DUMMYFUNCTION("""COMPUTED_VALUE"""),0.0)</f>
        <v>0</v>
      </c>
      <c r="BT17" s="22">
        <f>IFERROR(__xludf.DUMMYFUNCTION("""COMPUTED_VALUE"""),0.0)</f>
        <v>0</v>
      </c>
      <c r="BU17" s="22">
        <f>IFERROR(__xludf.DUMMYFUNCTION("""COMPUTED_VALUE"""),1.0)</f>
        <v>1</v>
      </c>
      <c r="BV17" s="22">
        <f>IFERROR(__xludf.DUMMYFUNCTION("""COMPUTED_VALUE"""),1.0)</f>
        <v>1</v>
      </c>
      <c r="BW17" s="22">
        <f>IFERROR(__xludf.DUMMYFUNCTION("""COMPUTED_VALUE"""),1.0)</f>
        <v>1</v>
      </c>
      <c r="BX17" s="22">
        <f>IFERROR(__xludf.DUMMYFUNCTION("""COMPUTED_VALUE"""),1.0)</f>
        <v>1</v>
      </c>
      <c r="BY17" s="22">
        <f>IFERROR(__xludf.DUMMYFUNCTION("""COMPUTED_VALUE"""),1.0)</f>
        <v>1</v>
      </c>
      <c r="BZ17" s="22">
        <f>IFERROR(__xludf.DUMMYFUNCTION("""COMPUTED_VALUE"""),1.0)</f>
        <v>1</v>
      </c>
      <c r="CA17" s="22">
        <f>IFERROR(__xludf.DUMMYFUNCTION("""COMPUTED_VALUE"""),4.0)</f>
        <v>4</v>
      </c>
      <c r="CB17" s="22">
        <f>IFERROR(__xludf.DUMMYFUNCTION("""COMPUTED_VALUE"""),6.0)</f>
        <v>6</v>
      </c>
      <c r="CC17" s="61">
        <f>IFERROR(__xludf.DUMMYFUNCTION("""COMPUTED_VALUE"""),3.75)</f>
        <v>3.75</v>
      </c>
      <c r="CD17" s="62" t="str">
        <f>IFERROR(__xludf.DUMMYFUNCTION("""COMPUTED_VALUE"""),"good")</f>
        <v>good</v>
      </c>
      <c r="CE17" s="22" t="s">
        <v>384</v>
      </c>
      <c r="CF17" s="24">
        <v>8.0</v>
      </c>
      <c r="CG17" s="22" t="b">
        <v>0</v>
      </c>
      <c r="CH17" s="22" t="b">
        <v>1</v>
      </c>
      <c r="CI17" s="24">
        <v>8.0</v>
      </c>
      <c r="CJ17" s="22">
        <v>0.0</v>
      </c>
      <c r="CK17" s="22">
        <v>1.0</v>
      </c>
      <c r="CL17" s="22">
        <v>0.0</v>
      </c>
      <c r="CM17" s="22">
        <v>0.0</v>
      </c>
      <c r="CN17" s="22">
        <v>0.0</v>
      </c>
      <c r="CO17" s="22">
        <v>0.0</v>
      </c>
      <c r="CP17" s="22">
        <v>0.0</v>
      </c>
      <c r="CQ17" s="22">
        <v>0.0</v>
      </c>
      <c r="CR17" s="22">
        <v>1.0</v>
      </c>
      <c r="CS17" s="22">
        <v>1.0</v>
      </c>
      <c r="CT17" s="22">
        <v>1.0</v>
      </c>
      <c r="CU17" s="22">
        <v>1.0</v>
      </c>
      <c r="CV17" s="22">
        <v>1.0</v>
      </c>
      <c r="CW17" s="22">
        <v>1.0</v>
      </c>
      <c r="CX17" s="22">
        <v>4.0</v>
      </c>
      <c r="CY17" s="22">
        <v>6.0</v>
      </c>
      <c r="CZ17" s="61">
        <v>3.75</v>
      </c>
      <c r="DA17" s="62" t="s">
        <v>561</v>
      </c>
    </row>
    <row r="18">
      <c r="A18" s="16" t="s">
        <v>66</v>
      </c>
      <c r="B18" s="16" t="s">
        <v>67</v>
      </c>
      <c r="C18" s="16" t="s">
        <v>28</v>
      </c>
      <c r="D18" s="16" t="s">
        <v>68</v>
      </c>
      <c r="E18" s="17" t="b">
        <f t="shared" ref="E18:K18" si="91">If(IFERROR(SEARCH(E$1, $D18),0) &gt;= 1, true,false)</f>
        <v>1</v>
      </c>
      <c r="F18" s="17" t="b">
        <f t="shared" si="91"/>
        <v>0</v>
      </c>
      <c r="G18" s="17" t="b">
        <f t="shared" si="91"/>
        <v>0</v>
      </c>
      <c r="H18" s="17" t="b">
        <f t="shared" si="91"/>
        <v>0</v>
      </c>
      <c r="I18" s="17" t="b">
        <f t="shared" si="91"/>
        <v>1</v>
      </c>
      <c r="J18" s="17" t="b">
        <f t="shared" si="91"/>
        <v>1</v>
      </c>
      <c r="K18" s="17" t="b">
        <f t="shared" si="91"/>
        <v>1</v>
      </c>
      <c r="L18" s="18" t="b">
        <v>1</v>
      </c>
      <c r="M18" s="18" t="b">
        <v>1</v>
      </c>
      <c r="N18" s="18" t="b">
        <v>0</v>
      </c>
      <c r="O18" s="18" t="b">
        <v>0</v>
      </c>
      <c r="P18" s="16" t="str">
        <f t="shared" si="7"/>
        <v>Adornesdomein</v>
      </c>
      <c r="Q18" s="28">
        <v>10.0</v>
      </c>
      <c r="R18" s="18" t="b">
        <v>0</v>
      </c>
      <c r="S18" s="18" t="b">
        <v>0</v>
      </c>
      <c r="T18" s="32"/>
      <c r="U18" s="21">
        <f t="shared" si="8"/>
        <v>0</v>
      </c>
      <c r="V18" s="21">
        <f t="shared" ref="V18:AB18" si="92">if(OR(AW18 = $AO$4, AW18 = $AQ$4), 1, 0)</f>
        <v>1</v>
      </c>
      <c r="W18" s="21">
        <f t="shared" si="92"/>
        <v>0</v>
      </c>
      <c r="X18" s="21">
        <f t="shared" si="92"/>
        <v>0</v>
      </c>
      <c r="Y18" s="21">
        <f t="shared" si="92"/>
        <v>0</v>
      </c>
      <c r="Z18" s="21">
        <f t="shared" si="92"/>
        <v>0</v>
      </c>
      <c r="AA18" s="21">
        <f t="shared" si="92"/>
        <v>1</v>
      </c>
      <c r="AB18" s="21">
        <f t="shared" si="92"/>
        <v>0</v>
      </c>
      <c r="AC18" s="21">
        <f t="shared" si="10"/>
        <v>2</v>
      </c>
      <c r="AD18" s="21">
        <f t="shared" si="11"/>
        <v>1</v>
      </c>
      <c r="AE18" s="21">
        <f t="shared" ref="AE18:AH18" si="93">if(OR(BD18 = $AO$6, BD18 = $AS$6, BD18 = $AT$6, BD18 = $AU$6), 1, 0)</f>
        <v>1</v>
      </c>
      <c r="AF18" s="21">
        <f t="shared" si="93"/>
        <v>1</v>
      </c>
      <c r="AG18" s="21">
        <f t="shared" si="93"/>
        <v>0</v>
      </c>
      <c r="AH18" s="21">
        <f t="shared" si="93"/>
        <v>0</v>
      </c>
      <c r="AI18" s="21">
        <f t="shared" si="13"/>
        <v>2</v>
      </c>
      <c r="AJ18" s="21">
        <f t="shared" si="14"/>
        <v>5</v>
      </c>
      <c r="AK18" s="59">
        <f t="shared" si="15"/>
        <v>3.125</v>
      </c>
      <c r="AL18" s="60" t="str">
        <f t="shared" si="16"/>
        <v>good</v>
      </c>
      <c r="AW18" s="22" t="str">
        <f t="shared" ref="AW18:BC18" si="94">IF(IFERROR(SEARCH(E$1, $D18),0) &gt;= 1, E$1,0)</f>
        <v>Geschiedenis en archeologie</v>
      </c>
      <c r="AX18" s="22">
        <f t="shared" si="94"/>
        <v>0</v>
      </c>
      <c r="AY18" s="22">
        <f t="shared" si="94"/>
        <v>0</v>
      </c>
      <c r="AZ18" s="22">
        <f t="shared" si="94"/>
        <v>0</v>
      </c>
      <c r="BA18" s="22" t="str">
        <f t="shared" si="94"/>
        <v>Architectuur</v>
      </c>
      <c r="BB18" s="22" t="str">
        <f t="shared" si="94"/>
        <v>Beeldende kunst</v>
      </c>
      <c r="BC18" s="22" t="str">
        <f t="shared" si="94"/>
        <v>Toegepaste kunst en design</v>
      </c>
      <c r="BD18" s="22" t="str">
        <f t="shared" ref="BD18:BG18" si="95">IF(L18 = true, BD$1, 0)</f>
        <v>Shop</v>
      </c>
      <c r="BE18" s="22" t="str">
        <f t="shared" si="95"/>
        <v>Café</v>
      </c>
      <c r="BF18" s="22">
        <f t="shared" si="95"/>
        <v>0</v>
      </c>
      <c r="BG18" s="22">
        <f t="shared" si="95"/>
        <v>0</v>
      </c>
      <c r="BH18" s="22" t="str">
        <f>IFERROR(__xludf.DUMMYFUNCTION("""COMPUTED_VALUE"""),"Koninklijk Museum van Mariemont")</f>
        <v>Koninklijk Museum van Mariemont</v>
      </c>
      <c r="BI18" s="24">
        <f>IFERROR(__xludf.DUMMYFUNCTION("""COMPUTED_VALUE"""),9.0)</f>
        <v>9</v>
      </c>
      <c r="BJ18" s="22" t="b">
        <f>IFERROR(__xludf.DUMMYFUNCTION("""COMPUTED_VALUE"""),TRUE)</f>
        <v>1</v>
      </c>
      <c r="BK18" s="22" t="b">
        <f>IFERROR(__xludf.DUMMYFUNCTION("""COMPUTED_VALUE"""),TRUE)</f>
        <v>1</v>
      </c>
      <c r="BL18" s="24">
        <f>IFERROR(__xludf.DUMMYFUNCTION("""COMPUTED_VALUE"""),9.0)</f>
        <v>9</v>
      </c>
      <c r="BM18" s="22">
        <f>IFERROR(__xludf.DUMMYFUNCTION("""COMPUTED_VALUE"""),0.0)</f>
        <v>0</v>
      </c>
      <c r="BN18" s="22">
        <f>IFERROR(__xludf.DUMMYFUNCTION("""COMPUTED_VALUE"""),1.0)</f>
        <v>1</v>
      </c>
      <c r="BO18" s="22">
        <f>IFERROR(__xludf.DUMMYFUNCTION("""COMPUTED_VALUE"""),0.0)</f>
        <v>0</v>
      </c>
      <c r="BP18" s="22">
        <f>IFERROR(__xludf.DUMMYFUNCTION("""COMPUTED_VALUE"""),0.0)</f>
        <v>0</v>
      </c>
      <c r="BQ18" s="22">
        <f>IFERROR(__xludf.DUMMYFUNCTION("""COMPUTED_VALUE"""),0.0)</f>
        <v>0</v>
      </c>
      <c r="BR18" s="22">
        <f>IFERROR(__xludf.DUMMYFUNCTION("""COMPUTED_VALUE"""),0.0)</f>
        <v>0</v>
      </c>
      <c r="BS18" s="22">
        <f>IFERROR(__xludf.DUMMYFUNCTION("""COMPUTED_VALUE"""),1.0)</f>
        <v>1</v>
      </c>
      <c r="BT18" s="22">
        <f>IFERROR(__xludf.DUMMYFUNCTION("""COMPUTED_VALUE"""),0.0)</f>
        <v>0</v>
      </c>
      <c r="BU18" s="22">
        <f>IFERROR(__xludf.DUMMYFUNCTION("""COMPUTED_VALUE"""),2.0)</f>
        <v>2</v>
      </c>
      <c r="BV18" s="22">
        <f>IFERROR(__xludf.DUMMYFUNCTION("""COMPUTED_VALUE"""),1.0)</f>
        <v>1</v>
      </c>
      <c r="BW18" s="22">
        <f>IFERROR(__xludf.DUMMYFUNCTION("""COMPUTED_VALUE"""),1.0)</f>
        <v>1</v>
      </c>
      <c r="BX18" s="22">
        <f>IFERROR(__xludf.DUMMYFUNCTION("""COMPUTED_VALUE"""),1.0)</f>
        <v>1</v>
      </c>
      <c r="BY18" s="22">
        <f>IFERROR(__xludf.DUMMYFUNCTION("""COMPUTED_VALUE"""),0.0)</f>
        <v>0</v>
      </c>
      <c r="BZ18" s="22">
        <f>IFERROR(__xludf.DUMMYFUNCTION("""COMPUTED_VALUE"""),1.0)</f>
        <v>1</v>
      </c>
      <c r="CA18" s="22">
        <f>IFERROR(__xludf.DUMMYFUNCTION("""COMPUTED_VALUE"""),3.0)</f>
        <v>3</v>
      </c>
      <c r="CB18" s="22">
        <f>IFERROR(__xludf.DUMMYFUNCTION("""COMPUTED_VALUE"""),6.0)</f>
        <v>6</v>
      </c>
      <c r="CC18" s="61">
        <f>IFERROR(__xludf.DUMMYFUNCTION("""COMPUTED_VALUE"""),3.75)</f>
        <v>3.75</v>
      </c>
      <c r="CD18" s="62" t="str">
        <f>IFERROR(__xludf.DUMMYFUNCTION("""COMPUTED_VALUE"""),"good")</f>
        <v>good</v>
      </c>
      <c r="CE18" s="22" t="s">
        <v>386</v>
      </c>
      <c r="CF18" s="24">
        <v>9.0</v>
      </c>
      <c r="CG18" s="22" t="b">
        <v>1</v>
      </c>
      <c r="CH18" s="22" t="b">
        <v>1</v>
      </c>
      <c r="CI18" s="24">
        <v>9.0</v>
      </c>
      <c r="CJ18" s="22">
        <v>0.0</v>
      </c>
      <c r="CK18" s="22">
        <v>1.0</v>
      </c>
      <c r="CL18" s="22">
        <v>0.0</v>
      </c>
      <c r="CM18" s="22">
        <v>0.0</v>
      </c>
      <c r="CN18" s="22">
        <v>0.0</v>
      </c>
      <c r="CO18" s="22">
        <v>0.0</v>
      </c>
      <c r="CP18" s="22">
        <v>1.0</v>
      </c>
      <c r="CQ18" s="22">
        <v>0.0</v>
      </c>
      <c r="CR18" s="22">
        <v>2.0</v>
      </c>
      <c r="CS18" s="22">
        <v>1.0</v>
      </c>
      <c r="CT18" s="22">
        <v>1.0</v>
      </c>
      <c r="CU18" s="22">
        <v>1.0</v>
      </c>
      <c r="CV18" s="22">
        <v>0.0</v>
      </c>
      <c r="CW18" s="22">
        <v>1.0</v>
      </c>
      <c r="CX18" s="22">
        <v>3.0</v>
      </c>
      <c r="CY18" s="22">
        <v>6.0</v>
      </c>
      <c r="CZ18" s="61">
        <v>3.75</v>
      </c>
      <c r="DA18" s="62" t="s">
        <v>561</v>
      </c>
    </row>
    <row r="19">
      <c r="A19" s="16" t="s">
        <v>69</v>
      </c>
      <c r="B19" s="16"/>
      <c r="C19" s="16" t="s">
        <v>28</v>
      </c>
      <c r="D19" s="16" t="s">
        <v>70</v>
      </c>
      <c r="E19" s="17" t="b">
        <f t="shared" ref="E19:K19" si="96">If(IFERROR(SEARCH(E$1, $D19),0) &gt;= 1, true,false)</f>
        <v>1</v>
      </c>
      <c r="F19" s="17" t="b">
        <f t="shared" si="96"/>
        <v>1</v>
      </c>
      <c r="G19" s="17" t="b">
        <f t="shared" si="96"/>
        <v>0</v>
      </c>
      <c r="H19" s="17" t="b">
        <f t="shared" si="96"/>
        <v>0</v>
      </c>
      <c r="I19" s="17" t="b">
        <f t="shared" si="96"/>
        <v>1</v>
      </c>
      <c r="J19" s="17" t="b">
        <f t="shared" si="96"/>
        <v>1</v>
      </c>
      <c r="K19" s="17" t="b">
        <f t="shared" si="96"/>
        <v>1</v>
      </c>
      <c r="L19" s="18" t="b">
        <v>1</v>
      </c>
      <c r="M19" s="18" t="b">
        <v>1</v>
      </c>
      <c r="N19" s="18" t="b">
        <v>1</v>
      </c>
      <c r="O19" s="18" t="b">
        <v>1</v>
      </c>
      <c r="P19" s="16" t="str">
        <f t="shared" si="7"/>
        <v>Atlantikwall Raversyde</v>
      </c>
      <c r="Q19" s="19">
        <v>10.0</v>
      </c>
      <c r="R19" s="18" t="b">
        <v>0</v>
      </c>
      <c r="S19" s="18" t="b">
        <v>1</v>
      </c>
      <c r="T19" s="31">
        <v>10.0</v>
      </c>
      <c r="U19" s="21">
        <f t="shared" si="8"/>
        <v>0</v>
      </c>
      <c r="V19" s="21">
        <f t="shared" ref="V19:AB19" si="97">if(OR(AW19 = $AO$4, AW19 = $AQ$4), 1, 0)</f>
        <v>1</v>
      </c>
      <c r="W19" s="21">
        <f t="shared" si="97"/>
        <v>0</v>
      </c>
      <c r="X19" s="21">
        <f t="shared" si="97"/>
        <v>0</v>
      </c>
      <c r="Y19" s="21">
        <f t="shared" si="97"/>
        <v>0</v>
      </c>
      <c r="Z19" s="21">
        <f t="shared" si="97"/>
        <v>0</v>
      </c>
      <c r="AA19" s="21">
        <f t="shared" si="97"/>
        <v>1</v>
      </c>
      <c r="AB19" s="21">
        <f t="shared" si="97"/>
        <v>0</v>
      </c>
      <c r="AC19" s="21">
        <f t="shared" si="10"/>
        <v>2</v>
      </c>
      <c r="AD19" s="21">
        <f t="shared" si="11"/>
        <v>1</v>
      </c>
      <c r="AE19" s="21">
        <f t="shared" ref="AE19:AH19" si="98">if(OR(BD19 = $AO$6, BD19 = $AS$6, BD19 = $AT$6, BD19 = $AU$6), 1, 0)</f>
        <v>1</v>
      </c>
      <c r="AF19" s="21">
        <f t="shared" si="98"/>
        <v>1</v>
      </c>
      <c r="AG19" s="21">
        <f t="shared" si="98"/>
        <v>1</v>
      </c>
      <c r="AH19" s="21">
        <f t="shared" si="98"/>
        <v>1</v>
      </c>
      <c r="AI19" s="21">
        <f t="shared" si="13"/>
        <v>4</v>
      </c>
      <c r="AJ19" s="21">
        <f t="shared" si="14"/>
        <v>7</v>
      </c>
      <c r="AK19" s="59">
        <f t="shared" si="15"/>
        <v>4.375</v>
      </c>
      <c r="AL19" s="60" t="str">
        <f t="shared" si="16"/>
        <v>excellent</v>
      </c>
      <c r="AW19" s="22" t="str">
        <f t="shared" ref="AW19:BC19" si="99">IF(IFERROR(SEARCH(E$1, $D19),0) &gt;= 1, E$1,0)</f>
        <v>Geschiedenis en archeologie</v>
      </c>
      <c r="AX19" s="22" t="str">
        <f t="shared" si="99"/>
        <v>Wetenschap en technologie</v>
      </c>
      <c r="AY19" s="22">
        <f t="shared" si="99"/>
        <v>0</v>
      </c>
      <c r="AZ19" s="22">
        <f t="shared" si="99"/>
        <v>0</v>
      </c>
      <c r="BA19" s="22" t="str">
        <f t="shared" si="99"/>
        <v>Architectuur</v>
      </c>
      <c r="BB19" s="22" t="str">
        <f t="shared" si="99"/>
        <v>Beeldende kunst</v>
      </c>
      <c r="BC19" s="22" t="str">
        <f t="shared" si="99"/>
        <v>Toegepaste kunst en design</v>
      </c>
      <c r="BD19" s="22" t="str">
        <f t="shared" ref="BD19:BG19" si="100">IF(L19 = true, BD$1, 0)</f>
        <v>Shop</v>
      </c>
      <c r="BE19" s="22" t="str">
        <f t="shared" si="100"/>
        <v>Café</v>
      </c>
      <c r="BF19" s="22" t="str">
        <f t="shared" si="100"/>
        <v>Parking</v>
      </c>
      <c r="BG19" s="22" t="str">
        <f t="shared" si="100"/>
        <v>Restaurant</v>
      </c>
      <c r="BH19" s="22" t="str">
        <f>IFERROR(__xludf.DUMMYFUNCTION("""COMPUTED_VALUE"""),"Het Gaume Museum")</f>
        <v>Het Gaume Museum</v>
      </c>
      <c r="BI19" s="24">
        <f>IFERROR(__xludf.DUMMYFUNCTION("""COMPUTED_VALUE"""),0.0)</f>
        <v>0</v>
      </c>
      <c r="BJ19" s="22" t="b">
        <f>IFERROR(__xludf.DUMMYFUNCTION("""COMPUTED_VALUE"""),FALSE)</f>
        <v>0</v>
      </c>
      <c r="BK19" s="22" t="b">
        <f>IFERROR(__xludf.DUMMYFUNCTION("""COMPUTED_VALUE"""),TRUE)</f>
        <v>1</v>
      </c>
      <c r="BL19" s="24">
        <f>IFERROR(__xludf.DUMMYFUNCTION("""COMPUTED_VALUE"""),0.0)</f>
        <v>0</v>
      </c>
      <c r="BM19" s="22">
        <f>IFERROR(__xludf.DUMMYFUNCTION("""COMPUTED_VALUE"""),0.0)</f>
        <v>0</v>
      </c>
      <c r="BN19" s="22">
        <f>IFERROR(__xludf.DUMMYFUNCTION("""COMPUTED_VALUE"""),1.0)</f>
        <v>1</v>
      </c>
      <c r="BO19" s="22">
        <f>IFERROR(__xludf.DUMMYFUNCTION("""COMPUTED_VALUE"""),0.0)</f>
        <v>0</v>
      </c>
      <c r="BP19" s="22">
        <f>IFERROR(__xludf.DUMMYFUNCTION("""COMPUTED_VALUE"""),0.0)</f>
        <v>0</v>
      </c>
      <c r="BQ19" s="22">
        <f>IFERROR(__xludf.DUMMYFUNCTION("""COMPUTED_VALUE"""),0.0)</f>
        <v>0</v>
      </c>
      <c r="BR19" s="22">
        <f>IFERROR(__xludf.DUMMYFUNCTION("""COMPUTED_VALUE"""),0.0)</f>
        <v>0</v>
      </c>
      <c r="BS19" s="22">
        <f>IFERROR(__xludf.DUMMYFUNCTION("""COMPUTED_VALUE"""),1.0)</f>
        <v>1</v>
      </c>
      <c r="BT19" s="22">
        <f>IFERROR(__xludf.DUMMYFUNCTION("""COMPUTED_VALUE"""),0.0)</f>
        <v>0</v>
      </c>
      <c r="BU19" s="22">
        <f>IFERROR(__xludf.DUMMYFUNCTION("""COMPUTED_VALUE"""),2.0)</f>
        <v>2</v>
      </c>
      <c r="BV19" s="22">
        <f>IFERROR(__xludf.DUMMYFUNCTION("""COMPUTED_VALUE"""),1.0)</f>
        <v>1</v>
      </c>
      <c r="BW19" s="22">
        <f>IFERROR(__xludf.DUMMYFUNCTION("""COMPUTED_VALUE"""),1.0)</f>
        <v>1</v>
      </c>
      <c r="BX19" s="22">
        <f>IFERROR(__xludf.DUMMYFUNCTION("""COMPUTED_VALUE"""),1.0)</f>
        <v>1</v>
      </c>
      <c r="BY19" s="22">
        <f>IFERROR(__xludf.DUMMYFUNCTION("""COMPUTED_VALUE"""),0.0)</f>
        <v>0</v>
      </c>
      <c r="BZ19" s="22">
        <f>IFERROR(__xludf.DUMMYFUNCTION("""COMPUTED_VALUE"""),1.0)</f>
        <v>1</v>
      </c>
      <c r="CA19" s="22">
        <f>IFERROR(__xludf.DUMMYFUNCTION("""COMPUTED_VALUE"""),3.0)</f>
        <v>3</v>
      </c>
      <c r="CB19" s="22">
        <f>IFERROR(__xludf.DUMMYFUNCTION("""COMPUTED_VALUE"""),6.0)</f>
        <v>6</v>
      </c>
      <c r="CC19" s="61">
        <f>IFERROR(__xludf.DUMMYFUNCTION("""COMPUTED_VALUE"""),3.75)</f>
        <v>3.75</v>
      </c>
      <c r="CD19" s="62" t="str">
        <f>IFERROR(__xludf.DUMMYFUNCTION("""COMPUTED_VALUE"""),"good")</f>
        <v>good</v>
      </c>
      <c r="CE19" s="22" t="s">
        <v>404</v>
      </c>
      <c r="CF19" s="24">
        <v>0.0</v>
      </c>
      <c r="CG19" s="22" t="b">
        <v>0</v>
      </c>
      <c r="CH19" s="22" t="b">
        <v>1</v>
      </c>
      <c r="CI19" s="24">
        <v>0.0</v>
      </c>
      <c r="CJ19" s="22">
        <v>0.0</v>
      </c>
      <c r="CK19" s="22">
        <v>1.0</v>
      </c>
      <c r="CL19" s="22">
        <v>0.0</v>
      </c>
      <c r="CM19" s="22">
        <v>0.0</v>
      </c>
      <c r="CN19" s="22">
        <v>0.0</v>
      </c>
      <c r="CO19" s="22">
        <v>0.0</v>
      </c>
      <c r="CP19" s="22">
        <v>1.0</v>
      </c>
      <c r="CQ19" s="22">
        <v>0.0</v>
      </c>
      <c r="CR19" s="22">
        <v>2.0</v>
      </c>
      <c r="CS19" s="22">
        <v>1.0</v>
      </c>
      <c r="CT19" s="22">
        <v>1.0</v>
      </c>
      <c r="CU19" s="22">
        <v>1.0</v>
      </c>
      <c r="CV19" s="22">
        <v>0.0</v>
      </c>
      <c r="CW19" s="22">
        <v>1.0</v>
      </c>
      <c r="CX19" s="22">
        <v>3.0</v>
      </c>
      <c r="CY19" s="22">
        <v>6.0</v>
      </c>
      <c r="CZ19" s="61">
        <v>3.75</v>
      </c>
      <c r="DA19" s="62" t="s">
        <v>561</v>
      </c>
    </row>
    <row r="20">
      <c r="A20" s="16" t="s">
        <v>71</v>
      </c>
      <c r="B20" s="16" t="s">
        <v>72</v>
      </c>
      <c r="C20" s="16" t="s">
        <v>28</v>
      </c>
      <c r="D20" s="16" t="s">
        <v>4</v>
      </c>
      <c r="E20" s="17" t="b">
        <f t="shared" ref="E20:K20" si="101">If(IFERROR(SEARCH(E$1, $D20),0) &gt;= 1, true,false)</f>
        <v>1</v>
      </c>
      <c r="F20" s="17" t="b">
        <f t="shared" si="101"/>
        <v>0</v>
      </c>
      <c r="G20" s="17" t="b">
        <f t="shared" si="101"/>
        <v>0</v>
      </c>
      <c r="H20" s="17" t="b">
        <f t="shared" si="101"/>
        <v>0</v>
      </c>
      <c r="I20" s="17" t="b">
        <f t="shared" si="101"/>
        <v>0</v>
      </c>
      <c r="J20" s="17" t="b">
        <f t="shared" si="101"/>
        <v>0</v>
      </c>
      <c r="K20" s="17" t="b">
        <f t="shared" si="101"/>
        <v>0</v>
      </c>
      <c r="L20" s="18" t="b">
        <v>1</v>
      </c>
      <c r="M20" s="18" t="b">
        <v>1</v>
      </c>
      <c r="N20" s="18" t="b">
        <v>1</v>
      </c>
      <c r="O20" s="18" t="b">
        <v>1</v>
      </c>
      <c r="P20" s="16" t="str">
        <f t="shared" si="7"/>
        <v>Bakkerijmuseum</v>
      </c>
      <c r="Q20" s="19">
        <v>8.0</v>
      </c>
      <c r="R20" s="18" t="b">
        <v>0</v>
      </c>
      <c r="S20" s="18" t="b">
        <v>0</v>
      </c>
      <c r="T20" s="33"/>
      <c r="U20" s="21">
        <f t="shared" si="8"/>
        <v>0</v>
      </c>
      <c r="V20" s="21">
        <f t="shared" ref="V20:AB20" si="102">if(OR(AW20 = $AO$4, AW20 = $AQ$4), 1, 0)</f>
        <v>1</v>
      </c>
      <c r="W20" s="21">
        <f t="shared" si="102"/>
        <v>0</v>
      </c>
      <c r="X20" s="21">
        <f t="shared" si="102"/>
        <v>0</v>
      </c>
      <c r="Y20" s="21">
        <f t="shared" si="102"/>
        <v>0</v>
      </c>
      <c r="Z20" s="21">
        <f t="shared" si="102"/>
        <v>0</v>
      </c>
      <c r="AA20" s="21">
        <f t="shared" si="102"/>
        <v>0</v>
      </c>
      <c r="AB20" s="21">
        <f t="shared" si="102"/>
        <v>0</v>
      </c>
      <c r="AC20" s="21">
        <f t="shared" si="10"/>
        <v>1</v>
      </c>
      <c r="AD20" s="21">
        <f t="shared" si="11"/>
        <v>1</v>
      </c>
      <c r="AE20" s="21">
        <f t="shared" ref="AE20:AH20" si="103">if(OR(BD20 = $AO$6, BD20 = $AS$6, BD20 = $AT$6, BD20 = $AU$6), 1, 0)</f>
        <v>1</v>
      </c>
      <c r="AF20" s="21">
        <f t="shared" si="103"/>
        <v>1</v>
      </c>
      <c r="AG20" s="21">
        <f t="shared" si="103"/>
        <v>1</v>
      </c>
      <c r="AH20" s="21">
        <f t="shared" si="103"/>
        <v>1</v>
      </c>
      <c r="AI20" s="21">
        <f t="shared" si="13"/>
        <v>4</v>
      </c>
      <c r="AJ20" s="21">
        <f t="shared" si="14"/>
        <v>6</v>
      </c>
      <c r="AK20" s="59">
        <f t="shared" si="15"/>
        <v>3.75</v>
      </c>
      <c r="AL20" s="60" t="str">
        <f t="shared" si="16"/>
        <v>good</v>
      </c>
      <c r="AW20" s="22" t="str">
        <f t="shared" ref="AW20:BC20" si="104">IF(IFERROR(SEARCH(E$1, $D20),0) &gt;= 1, E$1,0)</f>
        <v>Geschiedenis en archeologie</v>
      </c>
      <c r="AX20" s="22">
        <f t="shared" si="104"/>
        <v>0</v>
      </c>
      <c r="AY20" s="22">
        <f t="shared" si="104"/>
        <v>0</v>
      </c>
      <c r="AZ20" s="22">
        <f t="shared" si="104"/>
        <v>0</v>
      </c>
      <c r="BA20" s="22">
        <f t="shared" si="104"/>
        <v>0</v>
      </c>
      <c r="BB20" s="22">
        <f t="shared" si="104"/>
        <v>0</v>
      </c>
      <c r="BC20" s="22">
        <f t="shared" si="104"/>
        <v>0</v>
      </c>
      <c r="BD20" s="22" t="str">
        <f t="shared" ref="BD20:BG20" si="105">IF(L20 = true, BD$1, 0)</f>
        <v>Shop</v>
      </c>
      <c r="BE20" s="22" t="str">
        <f t="shared" si="105"/>
        <v>Café</v>
      </c>
      <c r="BF20" s="22" t="str">
        <f t="shared" si="105"/>
        <v>Parking</v>
      </c>
      <c r="BG20" s="22" t="str">
        <f t="shared" si="105"/>
        <v>Restaurant</v>
      </c>
      <c r="BH20" s="22" t="str">
        <f>IFERROR(__xludf.DUMMYFUNCTION("""COMPUTED_VALUE"""),"Museum van de Grote Ardennen")</f>
        <v>Museum van de Grote Ardennen</v>
      </c>
      <c r="BI20" s="24">
        <f>IFERROR(__xludf.DUMMYFUNCTION("""COMPUTED_VALUE"""),9.0)</f>
        <v>9</v>
      </c>
      <c r="BJ20" s="22" t="b">
        <f>IFERROR(__xludf.DUMMYFUNCTION("""COMPUTED_VALUE"""),FALSE)</f>
        <v>0</v>
      </c>
      <c r="BK20" s="22" t="b">
        <f>IFERROR(__xludf.DUMMYFUNCTION("""COMPUTED_VALUE"""),TRUE)</f>
        <v>1</v>
      </c>
      <c r="BL20" s="24">
        <f>IFERROR(__xludf.DUMMYFUNCTION("""COMPUTED_VALUE"""),9.0)</f>
        <v>9</v>
      </c>
      <c r="BM20" s="22">
        <f>IFERROR(__xludf.DUMMYFUNCTION("""COMPUTED_VALUE"""),0.0)</f>
        <v>0</v>
      </c>
      <c r="BN20" s="22">
        <f>IFERROR(__xludf.DUMMYFUNCTION("""COMPUTED_VALUE"""),1.0)</f>
        <v>1</v>
      </c>
      <c r="BO20" s="22">
        <f>IFERROR(__xludf.DUMMYFUNCTION("""COMPUTED_VALUE"""),0.0)</f>
        <v>0</v>
      </c>
      <c r="BP20" s="22">
        <f>IFERROR(__xludf.DUMMYFUNCTION("""COMPUTED_VALUE"""),0.0)</f>
        <v>0</v>
      </c>
      <c r="BQ20" s="22">
        <f>IFERROR(__xludf.DUMMYFUNCTION("""COMPUTED_VALUE"""),0.0)</f>
        <v>0</v>
      </c>
      <c r="BR20" s="22">
        <f>IFERROR(__xludf.DUMMYFUNCTION("""COMPUTED_VALUE"""),0.0)</f>
        <v>0</v>
      </c>
      <c r="BS20" s="22">
        <f>IFERROR(__xludf.DUMMYFUNCTION("""COMPUTED_VALUE"""),1.0)</f>
        <v>1</v>
      </c>
      <c r="BT20" s="22">
        <f>IFERROR(__xludf.DUMMYFUNCTION("""COMPUTED_VALUE"""),0.0)</f>
        <v>0</v>
      </c>
      <c r="BU20" s="22">
        <f>IFERROR(__xludf.DUMMYFUNCTION("""COMPUTED_VALUE"""),2.0)</f>
        <v>2</v>
      </c>
      <c r="BV20" s="22">
        <f>IFERROR(__xludf.DUMMYFUNCTION("""COMPUTED_VALUE"""),1.0)</f>
        <v>1</v>
      </c>
      <c r="BW20" s="22">
        <f>IFERROR(__xludf.DUMMYFUNCTION("""COMPUTED_VALUE"""),1.0)</f>
        <v>1</v>
      </c>
      <c r="BX20" s="22">
        <f>IFERROR(__xludf.DUMMYFUNCTION("""COMPUTED_VALUE"""),0.0)</f>
        <v>0</v>
      </c>
      <c r="BY20" s="22">
        <f>IFERROR(__xludf.DUMMYFUNCTION("""COMPUTED_VALUE"""),1.0)</f>
        <v>1</v>
      </c>
      <c r="BZ20" s="22">
        <f>IFERROR(__xludf.DUMMYFUNCTION("""COMPUTED_VALUE"""),1.0)</f>
        <v>1</v>
      </c>
      <c r="CA20" s="22">
        <f>IFERROR(__xludf.DUMMYFUNCTION("""COMPUTED_VALUE"""),3.0)</f>
        <v>3</v>
      </c>
      <c r="CB20" s="22">
        <f>IFERROR(__xludf.DUMMYFUNCTION("""COMPUTED_VALUE"""),6.0)</f>
        <v>6</v>
      </c>
      <c r="CC20" s="61">
        <f>IFERROR(__xludf.DUMMYFUNCTION("""COMPUTED_VALUE"""),3.75)</f>
        <v>3.75</v>
      </c>
      <c r="CD20" s="62" t="str">
        <f>IFERROR(__xludf.DUMMYFUNCTION("""COMPUTED_VALUE"""),"good")</f>
        <v>good</v>
      </c>
      <c r="CE20" s="22" t="s">
        <v>406</v>
      </c>
      <c r="CF20" s="24">
        <v>9.0</v>
      </c>
      <c r="CG20" s="22" t="b">
        <v>0</v>
      </c>
      <c r="CH20" s="22" t="b">
        <v>1</v>
      </c>
      <c r="CI20" s="24">
        <v>9.0</v>
      </c>
      <c r="CJ20" s="22">
        <v>0.0</v>
      </c>
      <c r="CK20" s="22">
        <v>1.0</v>
      </c>
      <c r="CL20" s="22">
        <v>0.0</v>
      </c>
      <c r="CM20" s="22">
        <v>0.0</v>
      </c>
      <c r="CN20" s="22">
        <v>0.0</v>
      </c>
      <c r="CO20" s="22">
        <v>0.0</v>
      </c>
      <c r="CP20" s="22">
        <v>1.0</v>
      </c>
      <c r="CQ20" s="22">
        <v>0.0</v>
      </c>
      <c r="CR20" s="22">
        <v>2.0</v>
      </c>
      <c r="CS20" s="22">
        <v>1.0</v>
      </c>
      <c r="CT20" s="22">
        <v>1.0</v>
      </c>
      <c r="CU20" s="22">
        <v>0.0</v>
      </c>
      <c r="CV20" s="22">
        <v>1.0</v>
      </c>
      <c r="CW20" s="22">
        <v>1.0</v>
      </c>
      <c r="CX20" s="22">
        <v>3.0</v>
      </c>
      <c r="CY20" s="22">
        <v>6.0</v>
      </c>
      <c r="CZ20" s="61">
        <v>3.75</v>
      </c>
      <c r="DA20" s="62" t="s">
        <v>561</v>
      </c>
    </row>
    <row r="21">
      <c r="A21" s="16" t="s">
        <v>73</v>
      </c>
      <c r="B21" s="16" t="s">
        <v>74</v>
      </c>
      <c r="C21" s="16" t="s">
        <v>28</v>
      </c>
      <c r="D21" s="16" t="s">
        <v>65</v>
      </c>
      <c r="E21" s="17" t="b">
        <f t="shared" ref="E21:K21" si="106">If(IFERROR(SEARCH(E$1, $D21),0) &gt;= 1, true,false)</f>
        <v>1</v>
      </c>
      <c r="F21" s="17" t="b">
        <f t="shared" si="106"/>
        <v>1</v>
      </c>
      <c r="G21" s="17" t="b">
        <f t="shared" si="106"/>
        <v>0</v>
      </c>
      <c r="H21" s="17" t="b">
        <f t="shared" si="106"/>
        <v>0</v>
      </c>
      <c r="I21" s="17" t="b">
        <f t="shared" si="106"/>
        <v>1</v>
      </c>
      <c r="J21" s="17" t="b">
        <f t="shared" si="106"/>
        <v>0</v>
      </c>
      <c r="K21" s="17" t="b">
        <f t="shared" si="106"/>
        <v>0</v>
      </c>
      <c r="L21" s="18" t="b">
        <v>0</v>
      </c>
      <c r="M21" s="18" t="b">
        <v>0</v>
      </c>
      <c r="N21" s="18" t="b">
        <v>0</v>
      </c>
      <c r="O21" s="18" t="b">
        <v>0</v>
      </c>
      <c r="P21" s="16" t="str">
        <f t="shared" si="7"/>
        <v>Belfort van Brugge</v>
      </c>
      <c r="Q21" s="19">
        <v>15.0</v>
      </c>
      <c r="R21" s="18" t="b">
        <v>0</v>
      </c>
      <c r="S21" s="18" t="b">
        <v>0</v>
      </c>
      <c r="T21" s="33"/>
      <c r="U21" s="21">
        <f t="shared" si="8"/>
        <v>0</v>
      </c>
      <c r="V21" s="21">
        <f t="shared" ref="V21:AB21" si="107">if(OR(AW21 = $AO$4, AW21 = $AQ$4), 1, 0)</f>
        <v>1</v>
      </c>
      <c r="W21" s="21">
        <f t="shared" si="107"/>
        <v>0</v>
      </c>
      <c r="X21" s="21">
        <f t="shared" si="107"/>
        <v>0</v>
      </c>
      <c r="Y21" s="21">
        <f t="shared" si="107"/>
        <v>0</v>
      </c>
      <c r="Z21" s="21">
        <f t="shared" si="107"/>
        <v>0</v>
      </c>
      <c r="AA21" s="21">
        <f t="shared" si="107"/>
        <v>0</v>
      </c>
      <c r="AB21" s="21">
        <f t="shared" si="107"/>
        <v>0</v>
      </c>
      <c r="AC21" s="21">
        <f t="shared" si="10"/>
        <v>1</v>
      </c>
      <c r="AD21" s="21">
        <f t="shared" si="11"/>
        <v>0</v>
      </c>
      <c r="AE21" s="21">
        <f t="shared" ref="AE21:AH21" si="108">if(OR(BD21 = $AO$6, BD21 = $AS$6, BD21 = $AT$6, BD21 = $AU$6), 1, 0)</f>
        <v>0</v>
      </c>
      <c r="AF21" s="21">
        <f t="shared" si="108"/>
        <v>0</v>
      </c>
      <c r="AG21" s="21">
        <f t="shared" si="108"/>
        <v>0</v>
      </c>
      <c r="AH21" s="21">
        <f t="shared" si="108"/>
        <v>0</v>
      </c>
      <c r="AI21" s="21">
        <f t="shared" si="13"/>
        <v>0</v>
      </c>
      <c r="AJ21" s="21">
        <f t="shared" si="14"/>
        <v>1</v>
      </c>
      <c r="AK21" s="59">
        <f t="shared" si="15"/>
        <v>0.625</v>
      </c>
      <c r="AL21" s="60" t="str">
        <f t="shared" si="16"/>
        <v>no match</v>
      </c>
      <c r="AW21" s="22" t="str">
        <f t="shared" ref="AW21:BC21" si="109">IF(IFERROR(SEARCH(E$1, $D21),0) &gt;= 1, E$1,0)</f>
        <v>Geschiedenis en archeologie</v>
      </c>
      <c r="AX21" s="22" t="str">
        <f t="shared" si="109"/>
        <v>Wetenschap en technologie</v>
      </c>
      <c r="AY21" s="22">
        <f t="shared" si="109"/>
        <v>0</v>
      </c>
      <c r="AZ21" s="22">
        <f t="shared" si="109"/>
        <v>0</v>
      </c>
      <c r="BA21" s="22" t="str">
        <f t="shared" si="109"/>
        <v>Architectuur</v>
      </c>
      <c r="BB21" s="22">
        <f t="shared" si="109"/>
        <v>0</v>
      </c>
      <c r="BC21" s="22">
        <f t="shared" si="109"/>
        <v>0</v>
      </c>
      <c r="BD21" s="22">
        <f t="shared" ref="BD21:BG21" si="110">IF(L21 = true, BD$1, 0)</f>
        <v>0</v>
      </c>
      <c r="BE21" s="22">
        <f t="shared" si="110"/>
        <v>0</v>
      </c>
      <c r="BF21" s="22">
        <f t="shared" si="110"/>
        <v>0</v>
      </c>
      <c r="BG21" s="22">
        <f t="shared" si="110"/>
        <v>0</v>
      </c>
      <c r="BH21" s="22" t="str">
        <f>IFERROR(__xludf.DUMMYFUNCTION("""COMPUTED_VALUE"""),"Paleis voor Schone Kunsten")</f>
        <v>Paleis voor Schone Kunsten</v>
      </c>
      <c r="BI21" s="24">
        <f>IFERROR(__xludf.DUMMYFUNCTION("""COMPUTED_VALUE"""),8.0)</f>
        <v>8</v>
      </c>
      <c r="BJ21" s="22" t="b">
        <f>IFERROR(__xludf.DUMMYFUNCTION("""COMPUTED_VALUE"""),FALSE)</f>
        <v>0</v>
      </c>
      <c r="BK21" s="22" t="b">
        <f>IFERROR(__xludf.DUMMYFUNCTION("""COMPUTED_VALUE"""),TRUE)</f>
        <v>1</v>
      </c>
      <c r="BL21" s="24">
        <f>IFERROR(__xludf.DUMMYFUNCTION("""COMPUTED_VALUE"""),6.0)</f>
        <v>6</v>
      </c>
      <c r="BM21" s="22">
        <f>IFERROR(__xludf.DUMMYFUNCTION("""COMPUTED_VALUE"""),0.0)</f>
        <v>0</v>
      </c>
      <c r="BN21" s="22">
        <f>IFERROR(__xludf.DUMMYFUNCTION("""COMPUTED_VALUE"""),1.0)</f>
        <v>1</v>
      </c>
      <c r="BO21" s="22">
        <f>IFERROR(__xludf.DUMMYFUNCTION("""COMPUTED_VALUE"""),0.0)</f>
        <v>0</v>
      </c>
      <c r="BP21" s="22">
        <f>IFERROR(__xludf.DUMMYFUNCTION("""COMPUTED_VALUE"""),0.0)</f>
        <v>0</v>
      </c>
      <c r="BQ21" s="22">
        <f>IFERROR(__xludf.DUMMYFUNCTION("""COMPUTED_VALUE"""),0.0)</f>
        <v>0</v>
      </c>
      <c r="BR21" s="22">
        <f>IFERROR(__xludf.DUMMYFUNCTION("""COMPUTED_VALUE"""),0.0)</f>
        <v>0</v>
      </c>
      <c r="BS21" s="22">
        <f>IFERROR(__xludf.DUMMYFUNCTION("""COMPUTED_VALUE"""),1.0)</f>
        <v>1</v>
      </c>
      <c r="BT21" s="22">
        <f>IFERROR(__xludf.DUMMYFUNCTION("""COMPUTED_VALUE"""),0.0)</f>
        <v>0</v>
      </c>
      <c r="BU21" s="22">
        <f>IFERROR(__xludf.DUMMYFUNCTION("""COMPUTED_VALUE"""),2.0)</f>
        <v>2</v>
      </c>
      <c r="BV21" s="22">
        <f>IFERROR(__xludf.DUMMYFUNCTION("""COMPUTED_VALUE"""),1.0)</f>
        <v>1</v>
      </c>
      <c r="BW21" s="22">
        <f>IFERROR(__xludf.DUMMYFUNCTION("""COMPUTED_VALUE"""),1.0)</f>
        <v>1</v>
      </c>
      <c r="BX21" s="22">
        <f>IFERROR(__xludf.DUMMYFUNCTION("""COMPUTED_VALUE"""),1.0)</f>
        <v>1</v>
      </c>
      <c r="BY21" s="22">
        <f>IFERROR(__xludf.DUMMYFUNCTION("""COMPUTED_VALUE"""),0.0)</f>
        <v>0</v>
      </c>
      <c r="BZ21" s="22">
        <f>IFERROR(__xludf.DUMMYFUNCTION("""COMPUTED_VALUE"""),1.0)</f>
        <v>1</v>
      </c>
      <c r="CA21" s="22">
        <f>IFERROR(__xludf.DUMMYFUNCTION("""COMPUTED_VALUE"""),3.0)</f>
        <v>3</v>
      </c>
      <c r="CB21" s="22">
        <f>IFERROR(__xludf.DUMMYFUNCTION("""COMPUTED_VALUE"""),6.0)</f>
        <v>6</v>
      </c>
      <c r="CC21" s="61">
        <f>IFERROR(__xludf.DUMMYFUNCTION("""COMPUTED_VALUE"""),3.75)</f>
        <v>3.75</v>
      </c>
      <c r="CD21" s="62" t="str">
        <f>IFERROR(__xludf.DUMMYFUNCTION("""COMPUTED_VALUE"""),"good")</f>
        <v>good</v>
      </c>
      <c r="CE21" s="22" t="s">
        <v>415</v>
      </c>
      <c r="CF21" s="24">
        <v>8.0</v>
      </c>
      <c r="CG21" s="22" t="b">
        <v>0</v>
      </c>
      <c r="CH21" s="22" t="b">
        <v>1</v>
      </c>
      <c r="CI21" s="24">
        <v>6.0</v>
      </c>
      <c r="CJ21" s="22">
        <v>0.0</v>
      </c>
      <c r="CK21" s="22">
        <v>1.0</v>
      </c>
      <c r="CL21" s="22">
        <v>0.0</v>
      </c>
      <c r="CM21" s="22">
        <v>0.0</v>
      </c>
      <c r="CN21" s="22">
        <v>0.0</v>
      </c>
      <c r="CO21" s="22">
        <v>0.0</v>
      </c>
      <c r="CP21" s="22">
        <v>1.0</v>
      </c>
      <c r="CQ21" s="22">
        <v>0.0</v>
      </c>
      <c r="CR21" s="22">
        <v>2.0</v>
      </c>
      <c r="CS21" s="22">
        <v>1.0</v>
      </c>
      <c r="CT21" s="22">
        <v>1.0</v>
      </c>
      <c r="CU21" s="22">
        <v>1.0</v>
      </c>
      <c r="CV21" s="22">
        <v>0.0</v>
      </c>
      <c r="CW21" s="22">
        <v>1.0</v>
      </c>
      <c r="CX21" s="22">
        <v>3.0</v>
      </c>
      <c r="CY21" s="22">
        <v>6.0</v>
      </c>
      <c r="CZ21" s="61">
        <v>3.75</v>
      </c>
      <c r="DA21" s="62" t="s">
        <v>561</v>
      </c>
    </row>
    <row r="22">
      <c r="A22" s="16" t="s">
        <v>75</v>
      </c>
      <c r="B22" s="16" t="s">
        <v>76</v>
      </c>
      <c r="C22" s="16" t="s">
        <v>28</v>
      </c>
      <c r="D22" s="16" t="s">
        <v>4</v>
      </c>
      <c r="E22" s="17" t="b">
        <f t="shared" ref="E22:K22" si="111">If(IFERROR(SEARCH(E$1, $D22),0) &gt;= 1, true,false)</f>
        <v>1</v>
      </c>
      <c r="F22" s="17" t="b">
        <f t="shared" si="111"/>
        <v>0</v>
      </c>
      <c r="G22" s="17" t="b">
        <f t="shared" si="111"/>
        <v>0</v>
      </c>
      <c r="H22" s="17" t="b">
        <f t="shared" si="111"/>
        <v>0</v>
      </c>
      <c r="I22" s="17" t="b">
        <f t="shared" si="111"/>
        <v>0</v>
      </c>
      <c r="J22" s="17" t="b">
        <f t="shared" si="111"/>
        <v>0</v>
      </c>
      <c r="K22" s="17" t="b">
        <f t="shared" si="111"/>
        <v>0</v>
      </c>
      <c r="L22" s="18" t="b">
        <v>1</v>
      </c>
      <c r="M22" s="18" t="b">
        <v>0</v>
      </c>
      <c r="N22" s="18" t="b">
        <v>0</v>
      </c>
      <c r="O22" s="18" t="b">
        <v>0</v>
      </c>
      <c r="P22" s="16" t="str">
        <f t="shared" si="7"/>
        <v>Belle Epoque Centrum</v>
      </c>
      <c r="Q22" s="19">
        <v>5.0</v>
      </c>
      <c r="R22" s="18" t="b">
        <v>0</v>
      </c>
      <c r="S22" s="18" t="b">
        <v>0</v>
      </c>
      <c r="T22" s="32"/>
      <c r="U22" s="21">
        <f t="shared" si="8"/>
        <v>0</v>
      </c>
      <c r="V22" s="21">
        <f t="shared" ref="V22:AB22" si="112">if(OR(AW22 = $AO$4, AW22 = $AQ$4), 1, 0)</f>
        <v>1</v>
      </c>
      <c r="W22" s="21">
        <f t="shared" si="112"/>
        <v>0</v>
      </c>
      <c r="X22" s="21">
        <f t="shared" si="112"/>
        <v>0</v>
      </c>
      <c r="Y22" s="21">
        <f t="shared" si="112"/>
        <v>0</v>
      </c>
      <c r="Z22" s="21">
        <f t="shared" si="112"/>
        <v>0</v>
      </c>
      <c r="AA22" s="21">
        <f t="shared" si="112"/>
        <v>0</v>
      </c>
      <c r="AB22" s="21">
        <f t="shared" si="112"/>
        <v>0</v>
      </c>
      <c r="AC22" s="21">
        <f t="shared" si="10"/>
        <v>1</v>
      </c>
      <c r="AD22" s="21">
        <f t="shared" si="11"/>
        <v>1</v>
      </c>
      <c r="AE22" s="21">
        <f t="shared" ref="AE22:AH22" si="113">if(OR(BD22 = $AO$6, BD22 = $AS$6, BD22 = $AT$6, BD22 = $AU$6), 1, 0)</f>
        <v>1</v>
      </c>
      <c r="AF22" s="21">
        <f t="shared" si="113"/>
        <v>0</v>
      </c>
      <c r="AG22" s="21">
        <f t="shared" si="113"/>
        <v>0</v>
      </c>
      <c r="AH22" s="21">
        <f t="shared" si="113"/>
        <v>0</v>
      </c>
      <c r="AI22" s="21">
        <f t="shared" si="13"/>
        <v>1</v>
      </c>
      <c r="AJ22" s="21">
        <f t="shared" si="14"/>
        <v>3</v>
      </c>
      <c r="AK22" s="59">
        <f t="shared" si="15"/>
        <v>1.875</v>
      </c>
      <c r="AL22" s="60" t="str">
        <f t="shared" si="16"/>
        <v>subpar</v>
      </c>
      <c r="AM22" s="63" t="s">
        <v>567</v>
      </c>
      <c r="AN22" s="20">
        <v>2.0</v>
      </c>
      <c r="AW22" s="22" t="str">
        <f t="shared" ref="AW22:BC22" si="114">IF(IFERROR(SEARCH(E$1, $D22),0) &gt;= 1, E$1,0)</f>
        <v>Geschiedenis en archeologie</v>
      </c>
      <c r="AX22" s="22">
        <f t="shared" si="114"/>
        <v>0</v>
      </c>
      <c r="AY22" s="22">
        <f t="shared" si="114"/>
        <v>0</v>
      </c>
      <c r="AZ22" s="22">
        <f t="shared" si="114"/>
        <v>0</v>
      </c>
      <c r="BA22" s="22">
        <f t="shared" si="114"/>
        <v>0</v>
      </c>
      <c r="BB22" s="22">
        <f t="shared" si="114"/>
        <v>0</v>
      </c>
      <c r="BC22" s="22">
        <f t="shared" si="114"/>
        <v>0</v>
      </c>
      <c r="BD22" s="22" t="str">
        <f t="shared" ref="BD22:BG22" si="115">IF(L22 = true, BD$1, 0)</f>
        <v>Shop</v>
      </c>
      <c r="BE22" s="22">
        <f t="shared" si="115"/>
        <v>0</v>
      </c>
      <c r="BF22" s="22">
        <f t="shared" si="115"/>
        <v>0</v>
      </c>
      <c r="BG22" s="22">
        <f t="shared" si="115"/>
        <v>0</v>
      </c>
      <c r="BH22" s="22" t="str">
        <f>IFERROR(__xludf.DUMMYFUNCTION("""COMPUTED_VALUE"""),"Museum Kunst &amp; Geschiedenis")</f>
        <v>Museum Kunst &amp; Geschiedenis</v>
      </c>
      <c r="BI22" s="24">
        <f>IFERROR(__xludf.DUMMYFUNCTION("""COMPUTED_VALUE"""),10.0)</f>
        <v>10</v>
      </c>
      <c r="BJ22" s="22" t="b">
        <f>IFERROR(__xludf.DUMMYFUNCTION("""COMPUTED_VALUE"""),FALSE)</f>
        <v>0</v>
      </c>
      <c r="BK22" s="22" t="b">
        <f>IFERROR(__xludf.DUMMYFUNCTION("""COMPUTED_VALUE"""),FALSE)</f>
        <v>0</v>
      </c>
      <c r="BL22" s="22"/>
      <c r="BM22" s="22">
        <f>IFERROR(__xludf.DUMMYFUNCTION("""COMPUTED_VALUE"""),0.0)</f>
        <v>0</v>
      </c>
      <c r="BN22" s="22">
        <f>IFERROR(__xludf.DUMMYFUNCTION("""COMPUTED_VALUE"""),1.0)</f>
        <v>1</v>
      </c>
      <c r="BO22" s="22">
        <f>IFERROR(__xludf.DUMMYFUNCTION("""COMPUTED_VALUE"""),0.0)</f>
        <v>0</v>
      </c>
      <c r="BP22" s="22">
        <f>IFERROR(__xludf.DUMMYFUNCTION("""COMPUTED_VALUE"""),0.0)</f>
        <v>0</v>
      </c>
      <c r="BQ22" s="22">
        <f>IFERROR(__xludf.DUMMYFUNCTION("""COMPUTED_VALUE"""),0.0)</f>
        <v>0</v>
      </c>
      <c r="BR22" s="22">
        <f>IFERROR(__xludf.DUMMYFUNCTION("""COMPUTED_VALUE"""),0.0)</f>
        <v>0</v>
      </c>
      <c r="BS22" s="22">
        <f>IFERROR(__xludf.DUMMYFUNCTION("""COMPUTED_VALUE"""),0.0)</f>
        <v>0</v>
      </c>
      <c r="BT22" s="22">
        <f>IFERROR(__xludf.DUMMYFUNCTION("""COMPUTED_VALUE"""),0.0)</f>
        <v>0</v>
      </c>
      <c r="BU22" s="22">
        <f>IFERROR(__xludf.DUMMYFUNCTION("""COMPUTED_VALUE"""),1.0)</f>
        <v>1</v>
      </c>
      <c r="BV22" s="22">
        <f>IFERROR(__xludf.DUMMYFUNCTION("""COMPUTED_VALUE"""),1.0)</f>
        <v>1</v>
      </c>
      <c r="BW22" s="22">
        <f>IFERROR(__xludf.DUMMYFUNCTION("""COMPUTED_VALUE"""),1.0)</f>
        <v>1</v>
      </c>
      <c r="BX22" s="22">
        <f>IFERROR(__xludf.DUMMYFUNCTION("""COMPUTED_VALUE"""),1.0)</f>
        <v>1</v>
      </c>
      <c r="BY22" s="22">
        <f>IFERROR(__xludf.DUMMYFUNCTION("""COMPUTED_VALUE"""),1.0)</f>
        <v>1</v>
      </c>
      <c r="BZ22" s="22">
        <f>IFERROR(__xludf.DUMMYFUNCTION("""COMPUTED_VALUE"""),1.0)</f>
        <v>1</v>
      </c>
      <c r="CA22" s="22">
        <f>IFERROR(__xludf.DUMMYFUNCTION("""COMPUTED_VALUE"""),4.0)</f>
        <v>4</v>
      </c>
      <c r="CB22" s="22">
        <f>IFERROR(__xludf.DUMMYFUNCTION("""COMPUTED_VALUE"""),6.0)</f>
        <v>6</v>
      </c>
      <c r="CC22" s="61">
        <f>IFERROR(__xludf.DUMMYFUNCTION("""COMPUTED_VALUE"""),3.75)</f>
        <v>3.75</v>
      </c>
      <c r="CD22" s="62" t="str">
        <f>IFERROR(__xludf.DUMMYFUNCTION("""COMPUTED_VALUE"""),"good")</f>
        <v>good</v>
      </c>
      <c r="CE22" s="22" t="s">
        <v>454</v>
      </c>
      <c r="CF22" s="24">
        <v>10.0</v>
      </c>
      <c r="CG22" s="22" t="b">
        <v>0</v>
      </c>
      <c r="CH22" s="22" t="b">
        <v>0</v>
      </c>
      <c r="CI22" s="22"/>
      <c r="CJ22" s="22">
        <v>0.0</v>
      </c>
      <c r="CK22" s="22">
        <v>1.0</v>
      </c>
      <c r="CL22" s="22">
        <v>0.0</v>
      </c>
      <c r="CM22" s="22">
        <v>0.0</v>
      </c>
      <c r="CN22" s="22">
        <v>0.0</v>
      </c>
      <c r="CO22" s="22">
        <v>0.0</v>
      </c>
      <c r="CP22" s="22">
        <v>0.0</v>
      </c>
      <c r="CQ22" s="22">
        <v>0.0</v>
      </c>
      <c r="CR22" s="22">
        <v>1.0</v>
      </c>
      <c r="CS22" s="22">
        <v>1.0</v>
      </c>
      <c r="CT22" s="22">
        <v>1.0</v>
      </c>
      <c r="CU22" s="22">
        <v>1.0</v>
      </c>
      <c r="CV22" s="22">
        <v>1.0</v>
      </c>
      <c r="CW22" s="22">
        <v>1.0</v>
      </c>
      <c r="CX22" s="22">
        <v>4.0</v>
      </c>
      <c r="CY22" s="22">
        <v>6.0</v>
      </c>
      <c r="CZ22" s="61">
        <v>3.75</v>
      </c>
      <c r="DA22" s="62" t="s">
        <v>561</v>
      </c>
    </row>
    <row r="23">
      <c r="A23" s="16" t="s">
        <v>77</v>
      </c>
      <c r="B23" s="16" t="s">
        <v>78</v>
      </c>
      <c r="C23" s="16" t="s">
        <v>28</v>
      </c>
      <c r="D23" s="16" t="s">
        <v>79</v>
      </c>
      <c r="E23" s="17" t="b">
        <f t="shared" ref="E23:K23" si="116">If(IFERROR(SEARCH(E$1, $D23),0) &gt;= 1, true,false)</f>
        <v>1</v>
      </c>
      <c r="F23" s="17" t="b">
        <f t="shared" si="116"/>
        <v>0</v>
      </c>
      <c r="G23" s="17" t="b">
        <f t="shared" si="116"/>
        <v>0</v>
      </c>
      <c r="H23" s="17" t="b">
        <f t="shared" si="116"/>
        <v>0</v>
      </c>
      <c r="I23" s="17" t="b">
        <f t="shared" si="116"/>
        <v>0</v>
      </c>
      <c r="J23" s="17" t="b">
        <f t="shared" si="116"/>
        <v>1</v>
      </c>
      <c r="K23" s="17" t="b">
        <f t="shared" si="116"/>
        <v>1</v>
      </c>
      <c r="L23" s="18" t="b">
        <v>0</v>
      </c>
      <c r="M23" s="18" t="b">
        <v>0</v>
      </c>
      <c r="N23" s="18" t="b">
        <v>0</v>
      </c>
      <c r="O23" s="18" t="b">
        <v>0</v>
      </c>
      <c r="P23" s="16" t="str">
        <f t="shared" si="7"/>
        <v>Brugse Vrije</v>
      </c>
      <c r="Q23" s="19">
        <v>3.0</v>
      </c>
      <c r="R23" s="18" t="b">
        <v>0</v>
      </c>
      <c r="S23" s="18" t="b">
        <v>0</v>
      </c>
      <c r="U23" s="21">
        <f t="shared" si="8"/>
        <v>0</v>
      </c>
      <c r="V23" s="21">
        <f t="shared" ref="V23:AB23" si="117">if(OR(AW23 = $AO$4, AW23 = $AQ$4), 1, 0)</f>
        <v>1</v>
      </c>
      <c r="W23" s="21">
        <f t="shared" si="117"/>
        <v>0</v>
      </c>
      <c r="X23" s="21">
        <f t="shared" si="117"/>
        <v>0</v>
      </c>
      <c r="Y23" s="21">
        <f t="shared" si="117"/>
        <v>0</v>
      </c>
      <c r="Z23" s="21">
        <f t="shared" si="117"/>
        <v>0</v>
      </c>
      <c r="AA23" s="21">
        <f t="shared" si="117"/>
        <v>1</v>
      </c>
      <c r="AB23" s="21">
        <f t="shared" si="117"/>
        <v>0</v>
      </c>
      <c r="AC23" s="21">
        <f t="shared" si="10"/>
        <v>2</v>
      </c>
      <c r="AD23" s="21">
        <f t="shared" si="11"/>
        <v>1</v>
      </c>
      <c r="AE23" s="21">
        <f t="shared" ref="AE23:AH23" si="118">if(OR(BD23 = $AO$6, BD23 = $AS$6, BD23 = $AT$6, BD23 = $AU$6), 1, 0)</f>
        <v>0</v>
      </c>
      <c r="AF23" s="21">
        <f t="shared" si="118"/>
        <v>0</v>
      </c>
      <c r="AG23" s="21">
        <f t="shared" si="118"/>
        <v>0</v>
      </c>
      <c r="AH23" s="21">
        <f t="shared" si="118"/>
        <v>0</v>
      </c>
      <c r="AI23" s="21">
        <f t="shared" si="13"/>
        <v>0</v>
      </c>
      <c r="AJ23" s="21">
        <f t="shared" si="14"/>
        <v>3</v>
      </c>
      <c r="AK23" s="59">
        <f t="shared" si="15"/>
        <v>1.875</v>
      </c>
      <c r="AL23" s="60" t="str">
        <f t="shared" si="16"/>
        <v>subpar</v>
      </c>
      <c r="AW23" s="22" t="str">
        <f t="shared" ref="AW23:BC23" si="119">IF(IFERROR(SEARCH(E$1, $D23),0) &gt;= 1, E$1,0)</f>
        <v>Geschiedenis en archeologie</v>
      </c>
      <c r="AX23" s="22">
        <f t="shared" si="119"/>
        <v>0</v>
      </c>
      <c r="AY23" s="22">
        <f t="shared" si="119"/>
        <v>0</v>
      </c>
      <c r="AZ23" s="22">
        <f t="shared" si="119"/>
        <v>0</v>
      </c>
      <c r="BA23" s="22">
        <f t="shared" si="119"/>
        <v>0</v>
      </c>
      <c r="BB23" s="22" t="str">
        <f t="shared" si="119"/>
        <v>Beeldende kunst</v>
      </c>
      <c r="BC23" s="22" t="str">
        <f t="shared" si="119"/>
        <v>Toegepaste kunst en design</v>
      </c>
      <c r="BD23" s="22">
        <f t="shared" ref="BD23:BG23" si="120">IF(L23 = true, BD$1, 0)</f>
        <v>0</v>
      </c>
      <c r="BE23" s="22">
        <f t="shared" si="120"/>
        <v>0</v>
      </c>
      <c r="BF23" s="22">
        <f t="shared" si="120"/>
        <v>0</v>
      </c>
      <c r="BG23" s="22">
        <f t="shared" si="120"/>
        <v>0</v>
      </c>
      <c r="BH23" s="22" t="str">
        <f>IFERROR(__xludf.DUMMYFUNCTION("""COMPUTED_VALUE"""),"Koninklijk Museum van het Leger en de Krijgsgeschiedenis")</f>
        <v>Koninklijk Museum van het Leger en de Krijgsgeschiedenis</v>
      </c>
      <c r="BI23" s="24">
        <f>IFERROR(__xludf.DUMMYFUNCTION("""COMPUTED_VALUE"""),12.0)</f>
        <v>12</v>
      </c>
      <c r="BJ23" s="22" t="b">
        <f>IFERROR(__xludf.DUMMYFUNCTION("""COMPUTED_VALUE"""),FALSE)</f>
        <v>0</v>
      </c>
      <c r="BK23" s="22" t="b">
        <f>IFERROR(__xludf.DUMMYFUNCTION("""COMPUTED_VALUE"""),FALSE)</f>
        <v>0</v>
      </c>
      <c r="BL23" s="22"/>
      <c r="BM23" s="22">
        <f>IFERROR(__xludf.DUMMYFUNCTION("""COMPUTED_VALUE"""),0.0)</f>
        <v>0</v>
      </c>
      <c r="BN23" s="22">
        <f>IFERROR(__xludf.DUMMYFUNCTION("""COMPUTED_VALUE"""),1.0)</f>
        <v>1</v>
      </c>
      <c r="BO23" s="22">
        <f>IFERROR(__xludf.DUMMYFUNCTION("""COMPUTED_VALUE"""),0.0)</f>
        <v>0</v>
      </c>
      <c r="BP23" s="22">
        <f>IFERROR(__xludf.DUMMYFUNCTION("""COMPUTED_VALUE"""),0.0)</f>
        <v>0</v>
      </c>
      <c r="BQ23" s="22">
        <f>IFERROR(__xludf.DUMMYFUNCTION("""COMPUTED_VALUE"""),0.0)</f>
        <v>0</v>
      </c>
      <c r="BR23" s="22">
        <f>IFERROR(__xludf.DUMMYFUNCTION("""COMPUTED_VALUE"""),0.0)</f>
        <v>0</v>
      </c>
      <c r="BS23" s="22">
        <f>IFERROR(__xludf.DUMMYFUNCTION("""COMPUTED_VALUE"""),1.0)</f>
        <v>1</v>
      </c>
      <c r="BT23" s="22">
        <f>IFERROR(__xludf.DUMMYFUNCTION("""COMPUTED_VALUE"""),0.0)</f>
        <v>0</v>
      </c>
      <c r="BU23" s="22">
        <f>IFERROR(__xludf.DUMMYFUNCTION("""COMPUTED_VALUE"""),2.0)</f>
        <v>2</v>
      </c>
      <c r="BV23" s="22">
        <f>IFERROR(__xludf.DUMMYFUNCTION("""COMPUTED_VALUE"""),0.0)</f>
        <v>0</v>
      </c>
      <c r="BW23" s="22">
        <f>IFERROR(__xludf.DUMMYFUNCTION("""COMPUTED_VALUE"""),1.0)</f>
        <v>1</v>
      </c>
      <c r="BX23" s="22">
        <f>IFERROR(__xludf.DUMMYFUNCTION("""COMPUTED_VALUE"""),1.0)</f>
        <v>1</v>
      </c>
      <c r="BY23" s="22">
        <f>IFERROR(__xludf.DUMMYFUNCTION("""COMPUTED_VALUE"""),1.0)</f>
        <v>1</v>
      </c>
      <c r="BZ23" s="22">
        <f>IFERROR(__xludf.DUMMYFUNCTION("""COMPUTED_VALUE"""),1.0)</f>
        <v>1</v>
      </c>
      <c r="CA23" s="22">
        <f>IFERROR(__xludf.DUMMYFUNCTION("""COMPUTED_VALUE"""),4.0)</f>
        <v>4</v>
      </c>
      <c r="CB23" s="22">
        <f>IFERROR(__xludf.DUMMYFUNCTION("""COMPUTED_VALUE"""),6.0)</f>
        <v>6</v>
      </c>
      <c r="CC23" s="61">
        <f>IFERROR(__xludf.DUMMYFUNCTION("""COMPUTED_VALUE"""),3.75)</f>
        <v>3.75</v>
      </c>
      <c r="CD23" s="62" t="str">
        <f>IFERROR(__xludf.DUMMYFUNCTION("""COMPUTED_VALUE"""),"good")</f>
        <v>good</v>
      </c>
      <c r="CE23" s="22" t="s">
        <v>488</v>
      </c>
      <c r="CF23" s="24">
        <v>12.0</v>
      </c>
      <c r="CG23" s="22" t="b">
        <v>0</v>
      </c>
      <c r="CH23" s="22" t="b">
        <v>0</v>
      </c>
      <c r="CI23" s="22"/>
      <c r="CJ23" s="22">
        <v>0.0</v>
      </c>
      <c r="CK23" s="22">
        <v>1.0</v>
      </c>
      <c r="CL23" s="22">
        <v>0.0</v>
      </c>
      <c r="CM23" s="22">
        <v>0.0</v>
      </c>
      <c r="CN23" s="22">
        <v>0.0</v>
      </c>
      <c r="CO23" s="22">
        <v>0.0</v>
      </c>
      <c r="CP23" s="22">
        <v>1.0</v>
      </c>
      <c r="CQ23" s="22">
        <v>0.0</v>
      </c>
      <c r="CR23" s="22">
        <v>2.0</v>
      </c>
      <c r="CS23" s="22">
        <v>0.0</v>
      </c>
      <c r="CT23" s="22">
        <v>1.0</v>
      </c>
      <c r="CU23" s="22">
        <v>1.0</v>
      </c>
      <c r="CV23" s="22">
        <v>1.0</v>
      </c>
      <c r="CW23" s="22">
        <v>1.0</v>
      </c>
      <c r="CX23" s="22">
        <v>4.0</v>
      </c>
      <c r="CY23" s="22">
        <v>6.0</v>
      </c>
      <c r="CZ23" s="61">
        <v>3.75</v>
      </c>
      <c r="DA23" s="62" t="s">
        <v>561</v>
      </c>
    </row>
    <row r="24">
      <c r="A24" s="16" t="s">
        <v>80</v>
      </c>
      <c r="B24" s="16" t="s">
        <v>81</v>
      </c>
      <c r="C24" s="16" t="s">
        <v>28</v>
      </c>
      <c r="D24" s="16" t="s">
        <v>4</v>
      </c>
      <c r="E24" s="17" t="b">
        <f t="shared" ref="E24:K24" si="121">If(IFERROR(SEARCH(E$1, $D24),0) &gt;= 1, true,false)</f>
        <v>1</v>
      </c>
      <c r="F24" s="17" t="b">
        <f t="shared" si="121"/>
        <v>0</v>
      </c>
      <c r="G24" s="17" t="b">
        <f t="shared" si="121"/>
        <v>0</v>
      </c>
      <c r="H24" s="17" t="b">
        <f t="shared" si="121"/>
        <v>0</v>
      </c>
      <c r="I24" s="17" t="b">
        <f t="shared" si="121"/>
        <v>0</v>
      </c>
      <c r="J24" s="17" t="b">
        <f t="shared" si="121"/>
        <v>0</v>
      </c>
      <c r="K24" s="17" t="b">
        <f t="shared" si="121"/>
        <v>0</v>
      </c>
      <c r="L24" s="18" t="b">
        <v>0</v>
      </c>
      <c r="M24" s="18" t="b">
        <v>0</v>
      </c>
      <c r="N24" s="18" t="b">
        <v>1</v>
      </c>
      <c r="O24" s="18" t="b">
        <v>0</v>
      </c>
      <c r="P24" s="16" t="str">
        <f t="shared" si="7"/>
        <v>Dodengang</v>
      </c>
      <c r="Q24" s="19">
        <v>6.0</v>
      </c>
      <c r="R24" s="20" t="b">
        <v>0</v>
      </c>
      <c r="S24" s="18" t="b">
        <v>0</v>
      </c>
      <c r="T24" s="16"/>
      <c r="U24" s="21">
        <f t="shared" si="8"/>
        <v>0</v>
      </c>
      <c r="V24" s="21">
        <f t="shared" ref="V24:AB24" si="122">if(OR(AW24 = $AO$4, AW24 = $AQ$4), 1, 0)</f>
        <v>1</v>
      </c>
      <c r="W24" s="21">
        <f t="shared" si="122"/>
        <v>0</v>
      </c>
      <c r="X24" s="21">
        <f t="shared" si="122"/>
        <v>0</v>
      </c>
      <c r="Y24" s="21">
        <f t="shared" si="122"/>
        <v>0</v>
      </c>
      <c r="Z24" s="21">
        <f t="shared" si="122"/>
        <v>0</v>
      </c>
      <c r="AA24" s="21">
        <f t="shared" si="122"/>
        <v>0</v>
      </c>
      <c r="AB24" s="21">
        <f t="shared" si="122"/>
        <v>0</v>
      </c>
      <c r="AC24" s="21">
        <f t="shared" si="10"/>
        <v>1</v>
      </c>
      <c r="AD24" s="21">
        <f t="shared" si="11"/>
        <v>1</v>
      </c>
      <c r="AE24" s="21">
        <f t="shared" ref="AE24:AH24" si="123">if(OR(BD24 = $AO$6, BD24 = $AS$6, BD24 = $AT$6, BD24 = $AU$6), 1, 0)</f>
        <v>0</v>
      </c>
      <c r="AF24" s="21">
        <f t="shared" si="123"/>
        <v>0</v>
      </c>
      <c r="AG24" s="21">
        <f t="shared" si="123"/>
        <v>1</v>
      </c>
      <c r="AH24" s="21">
        <f t="shared" si="123"/>
        <v>0</v>
      </c>
      <c r="AI24" s="21">
        <f t="shared" si="13"/>
        <v>1</v>
      </c>
      <c r="AJ24" s="21">
        <f t="shared" si="14"/>
        <v>3</v>
      </c>
      <c r="AK24" s="59">
        <f t="shared" si="15"/>
        <v>1.875</v>
      </c>
      <c r="AL24" s="60" t="str">
        <f t="shared" si="16"/>
        <v>subpar</v>
      </c>
      <c r="AW24" s="22" t="str">
        <f t="shared" ref="AW24:BC24" si="124">IF(IFERROR(SEARCH(E$1, $D24),0) &gt;= 1, E$1,0)</f>
        <v>Geschiedenis en archeologie</v>
      </c>
      <c r="AX24" s="22">
        <f t="shared" si="124"/>
        <v>0</v>
      </c>
      <c r="AY24" s="22">
        <f t="shared" si="124"/>
        <v>0</v>
      </c>
      <c r="AZ24" s="22">
        <f t="shared" si="124"/>
        <v>0</v>
      </c>
      <c r="BA24" s="22">
        <f t="shared" si="124"/>
        <v>0</v>
      </c>
      <c r="BB24" s="22">
        <f t="shared" si="124"/>
        <v>0</v>
      </c>
      <c r="BC24" s="22">
        <f t="shared" si="124"/>
        <v>0</v>
      </c>
      <c r="BD24" s="22">
        <f t="shared" ref="BD24:BG24" si="125">IF(L24 = true, BD$1, 0)</f>
        <v>0</v>
      </c>
      <c r="BE24" s="22">
        <f t="shared" si="125"/>
        <v>0</v>
      </c>
      <c r="BF24" s="22" t="str">
        <f t="shared" si="125"/>
        <v>Parking</v>
      </c>
      <c r="BG24" s="22">
        <f t="shared" si="125"/>
        <v>0</v>
      </c>
      <c r="BH24" s="22" t="str">
        <f>IFERROR(__xludf.DUMMYFUNCTION("""COMPUTED_VALUE"""),"Curiosum | Een huis vol herinnering")</f>
        <v>Curiosum | Een huis vol herinnering</v>
      </c>
      <c r="BI24" s="24">
        <f>IFERROR(__xludf.DUMMYFUNCTION("""COMPUTED_VALUE"""),8.0)</f>
        <v>8</v>
      </c>
      <c r="BJ24" s="22" t="b">
        <f>IFERROR(__xludf.DUMMYFUNCTION("""COMPUTED_VALUE"""),FALSE)</f>
        <v>0</v>
      </c>
      <c r="BK24" s="22" t="b">
        <f>IFERROR(__xludf.DUMMYFUNCTION("""COMPUTED_VALUE"""),FALSE)</f>
        <v>0</v>
      </c>
      <c r="BL24" s="22"/>
      <c r="BM24" s="22">
        <f>IFERROR(__xludf.DUMMYFUNCTION("""COMPUTED_VALUE"""),1.0)</f>
        <v>1</v>
      </c>
      <c r="BN24" s="22">
        <f>IFERROR(__xludf.DUMMYFUNCTION("""COMPUTED_VALUE"""),1.0)</f>
        <v>1</v>
      </c>
      <c r="BO24" s="22">
        <f>IFERROR(__xludf.DUMMYFUNCTION("""COMPUTED_VALUE"""),0.0)</f>
        <v>0</v>
      </c>
      <c r="BP24" s="22">
        <f>IFERROR(__xludf.DUMMYFUNCTION("""COMPUTED_VALUE"""),0.0)</f>
        <v>0</v>
      </c>
      <c r="BQ24" s="22">
        <f>IFERROR(__xludf.DUMMYFUNCTION("""COMPUTED_VALUE"""),0.0)</f>
        <v>0</v>
      </c>
      <c r="BR24" s="22">
        <f>IFERROR(__xludf.DUMMYFUNCTION("""COMPUTED_VALUE"""),0.0)</f>
        <v>0</v>
      </c>
      <c r="BS24" s="22">
        <f>IFERROR(__xludf.DUMMYFUNCTION("""COMPUTED_VALUE"""),1.0)</f>
        <v>1</v>
      </c>
      <c r="BT24" s="22">
        <f>IFERROR(__xludf.DUMMYFUNCTION("""COMPUTED_VALUE"""),0.0)</f>
        <v>0</v>
      </c>
      <c r="BU24" s="22">
        <f>IFERROR(__xludf.DUMMYFUNCTION("""COMPUTED_VALUE"""),2.0)</f>
        <v>2</v>
      </c>
      <c r="BV24" s="22">
        <f>IFERROR(__xludf.DUMMYFUNCTION("""COMPUTED_VALUE"""),1.0)</f>
        <v>1</v>
      </c>
      <c r="BW24" s="22">
        <f>IFERROR(__xludf.DUMMYFUNCTION("""COMPUTED_VALUE"""),1.0)</f>
        <v>1</v>
      </c>
      <c r="BX24" s="22">
        <f>IFERROR(__xludf.DUMMYFUNCTION("""COMPUTED_VALUE"""),0.0)</f>
        <v>0</v>
      </c>
      <c r="BY24" s="22">
        <f>IFERROR(__xludf.DUMMYFUNCTION("""COMPUTED_VALUE"""),1.0)</f>
        <v>1</v>
      </c>
      <c r="BZ24" s="22">
        <f>IFERROR(__xludf.DUMMYFUNCTION("""COMPUTED_VALUE"""),0.0)</f>
        <v>0</v>
      </c>
      <c r="CA24" s="22">
        <f>IFERROR(__xludf.DUMMYFUNCTION("""COMPUTED_VALUE"""),2.0)</f>
        <v>2</v>
      </c>
      <c r="CB24" s="22">
        <f>IFERROR(__xludf.DUMMYFUNCTION("""COMPUTED_VALUE"""),6.0)</f>
        <v>6</v>
      </c>
      <c r="CC24" s="61">
        <f>IFERROR(__xludf.DUMMYFUNCTION("""COMPUTED_VALUE"""),3.75)</f>
        <v>3.75</v>
      </c>
      <c r="CD24" s="62" t="str">
        <f>IFERROR(__xludf.DUMMYFUNCTION("""COMPUTED_VALUE"""),"good")</f>
        <v>good</v>
      </c>
      <c r="CE24" s="22" t="s">
        <v>502</v>
      </c>
      <c r="CF24" s="24">
        <v>8.0</v>
      </c>
      <c r="CG24" s="22" t="b">
        <v>0</v>
      </c>
      <c r="CH24" s="22" t="b">
        <v>0</v>
      </c>
      <c r="CI24" s="22"/>
      <c r="CJ24" s="22">
        <v>1.0</v>
      </c>
      <c r="CK24" s="22">
        <v>1.0</v>
      </c>
      <c r="CL24" s="22">
        <v>0.0</v>
      </c>
      <c r="CM24" s="22">
        <v>0.0</v>
      </c>
      <c r="CN24" s="22">
        <v>0.0</v>
      </c>
      <c r="CO24" s="22">
        <v>0.0</v>
      </c>
      <c r="CP24" s="22">
        <v>1.0</v>
      </c>
      <c r="CQ24" s="22">
        <v>0.0</v>
      </c>
      <c r="CR24" s="22">
        <v>2.0</v>
      </c>
      <c r="CS24" s="22">
        <v>1.0</v>
      </c>
      <c r="CT24" s="22">
        <v>1.0</v>
      </c>
      <c r="CU24" s="22">
        <v>0.0</v>
      </c>
      <c r="CV24" s="22">
        <v>1.0</v>
      </c>
      <c r="CW24" s="22">
        <v>0.0</v>
      </c>
      <c r="CX24" s="22">
        <v>2.0</v>
      </c>
      <c r="CY24" s="22">
        <v>6.0</v>
      </c>
      <c r="CZ24" s="61">
        <v>3.75</v>
      </c>
      <c r="DA24" s="62" t="s">
        <v>561</v>
      </c>
    </row>
    <row r="25">
      <c r="A25" s="16"/>
      <c r="B25" s="16" t="s">
        <v>82</v>
      </c>
      <c r="C25" s="16" t="s">
        <v>28</v>
      </c>
      <c r="D25" s="16" t="s">
        <v>83</v>
      </c>
      <c r="E25" s="17" t="b">
        <f t="shared" ref="E25:K25" si="126">If(IFERROR(SEARCH(E$1, $D25),0) &gt;= 1, true,false)</f>
        <v>1</v>
      </c>
      <c r="F25" s="17" t="b">
        <f t="shared" si="126"/>
        <v>1</v>
      </c>
      <c r="G25" s="17" t="b">
        <f t="shared" si="126"/>
        <v>1</v>
      </c>
      <c r="H25" s="17" t="b">
        <f t="shared" si="126"/>
        <v>0</v>
      </c>
      <c r="I25" s="17" t="b">
        <f t="shared" si="126"/>
        <v>1</v>
      </c>
      <c r="J25" s="17" t="b">
        <f t="shared" si="126"/>
        <v>0</v>
      </c>
      <c r="K25" s="17" t="b">
        <f t="shared" si="126"/>
        <v>0</v>
      </c>
      <c r="L25" s="18" t="b">
        <v>1</v>
      </c>
      <c r="M25" s="18" t="b">
        <v>0</v>
      </c>
      <c r="N25" s="18" t="b">
        <v>1</v>
      </c>
      <c r="O25" s="18" t="b">
        <v>0</v>
      </c>
      <c r="P25" s="16" t="str">
        <f t="shared" si="7"/>
        <v>Eperon d’Or</v>
      </c>
      <c r="Q25" s="19">
        <v>8.0</v>
      </c>
      <c r="R25" s="20" t="b">
        <v>0</v>
      </c>
      <c r="S25" s="18" t="b">
        <v>1</v>
      </c>
      <c r="T25" s="29">
        <v>8.0</v>
      </c>
      <c r="U25" s="21">
        <f t="shared" si="8"/>
        <v>0</v>
      </c>
      <c r="V25" s="21">
        <f t="shared" ref="V25:AB25" si="127">if(OR(AW25 = $AO$4, AW25 = $AQ$4), 1, 0)</f>
        <v>1</v>
      </c>
      <c r="W25" s="21">
        <f t="shared" si="127"/>
        <v>0</v>
      </c>
      <c r="X25" s="21">
        <f t="shared" si="127"/>
        <v>0</v>
      </c>
      <c r="Y25" s="21">
        <f t="shared" si="127"/>
        <v>0</v>
      </c>
      <c r="Z25" s="21">
        <f t="shared" si="127"/>
        <v>0</v>
      </c>
      <c r="AA25" s="21">
        <f t="shared" si="127"/>
        <v>0</v>
      </c>
      <c r="AB25" s="21">
        <f t="shared" si="127"/>
        <v>0</v>
      </c>
      <c r="AC25" s="21">
        <f t="shared" si="10"/>
        <v>1</v>
      </c>
      <c r="AD25" s="21">
        <f t="shared" si="11"/>
        <v>1</v>
      </c>
      <c r="AE25" s="21">
        <f t="shared" ref="AE25:AH25" si="128">if(OR(BD25 = $AO$6, BD25 = $AS$6, BD25 = $AT$6, BD25 = $AU$6), 1, 0)</f>
        <v>1</v>
      </c>
      <c r="AF25" s="21">
        <f t="shared" si="128"/>
        <v>0</v>
      </c>
      <c r="AG25" s="21">
        <f t="shared" si="128"/>
        <v>1</v>
      </c>
      <c r="AH25" s="21">
        <f t="shared" si="128"/>
        <v>0</v>
      </c>
      <c r="AI25" s="21">
        <f t="shared" si="13"/>
        <v>2</v>
      </c>
      <c r="AJ25" s="21">
        <f t="shared" si="14"/>
        <v>4</v>
      </c>
      <c r="AK25" s="59">
        <f t="shared" si="15"/>
        <v>2.5</v>
      </c>
      <c r="AL25" s="60" t="str">
        <f t="shared" si="16"/>
        <v>subpar</v>
      </c>
      <c r="AW25" s="22" t="str">
        <f t="shared" ref="AW25:BC25" si="129">IF(IFERROR(SEARCH(E$1, $D25),0) &gt;= 1, E$1,0)</f>
        <v>Geschiedenis en archeologie</v>
      </c>
      <c r="AX25" s="22" t="str">
        <f t="shared" si="129"/>
        <v>Wetenschap en technologie</v>
      </c>
      <c r="AY25" s="22" t="str">
        <f t="shared" si="129"/>
        <v>Mode</v>
      </c>
      <c r="AZ25" s="22">
        <f t="shared" si="129"/>
        <v>0</v>
      </c>
      <c r="BA25" s="22" t="str">
        <f t="shared" si="129"/>
        <v>Architectuur</v>
      </c>
      <c r="BB25" s="22">
        <f t="shared" si="129"/>
        <v>0</v>
      </c>
      <c r="BC25" s="22">
        <f t="shared" si="129"/>
        <v>0</v>
      </c>
      <c r="BD25" s="22" t="str">
        <f t="shared" ref="BD25:BG25" si="130">IF(L25 = true, BD$1, 0)</f>
        <v>Shop</v>
      </c>
      <c r="BE25" s="22">
        <f t="shared" si="130"/>
        <v>0</v>
      </c>
      <c r="BF25" s="22" t="str">
        <f t="shared" si="130"/>
        <v>Parking</v>
      </c>
      <c r="BG25" s="22">
        <f t="shared" si="130"/>
        <v>0</v>
      </c>
      <c r="BH25" s="22" t="str">
        <f>IFERROR(__xludf.DUMMYFUNCTION("""COMPUTED_VALUE"""),"mudel | Museum van Deinze en de Leiestreek")</f>
        <v>mudel | Museum van Deinze en de Leiestreek</v>
      </c>
      <c r="BI25" s="24">
        <f>IFERROR(__xludf.DUMMYFUNCTION("""COMPUTED_VALUE"""),10.0)</f>
        <v>10</v>
      </c>
      <c r="BJ25" s="22" t="b">
        <f>IFERROR(__xludf.DUMMYFUNCTION("""COMPUTED_VALUE"""),TRUE)</f>
        <v>1</v>
      </c>
      <c r="BK25" s="22" t="b">
        <f>IFERROR(__xludf.DUMMYFUNCTION("""COMPUTED_VALUE"""),FALSE)</f>
        <v>0</v>
      </c>
      <c r="BL25" s="22"/>
      <c r="BM25" s="22">
        <f>IFERROR(__xludf.DUMMYFUNCTION("""COMPUTED_VALUE"""),1.0)</f>
        <v>1</v>
      </c>
      <c r="BN25" s="22">
        <f>IFERROR(__xludf.DUMMYFUNCTION("""COMPUTED_VALUE"""),1.0)</f>
        <v>1</v>
      </c>
      <c r="BO25" s="22">
        <f>IFERROR(__xludf.DUMMYFUNCTION("""COMPUTED_VALUE"""),0.0)</f>
        <v>0</v>
      </c>
      <c r="BP25" s="22">
        <f>IFERROR(__xludf.DUMMYFUNCTION("""COMPUTED_VALUE"""),0.0)</f>
        <v>0</v>
      </c>
      <c r="BQ25" s="22">
        <f>IFERROR(__xludf.DUMMYFUNCTION("""COMPUTED_VALUE"""),0.0)</f>
        <v>0</v>
      </c>
      <c r="BR25" s="22">
        <f>IFERROR(__xludf.DUMMYFUNCTION("""COMPUTED_VALUE"""),0.0)</f>
        <v>0</v>
      </c>
      <c r="BS25" s="22">
        <f>IFERROR(__xludf.DUMMYFUNCTION("""COMPUTED_VALUE"""),1.0)</f>
        <v>1</v>
      </c>
      <c r="BT25" s="22">
        <f>IFERROR(__xludf.DUMMYFUNCTION("""COMPUTED_VALUE"""),0.0)</f>
        <v>0</v>
      </c>
      <c r="BU25" s="22">
        <f>IFERROR(__xludf.DUMMYFUNCTION("""COMPUTED_VALUE"""),2.0)</f>
        <v>2</v>
      </c>
      <c r="BV25" s="22">
        <f>IFERROR(__xludf.DUMMYFUNCTION("""COMPUTED_VALUE"""),1.0)</f>
        <v>1</v>
      </c>
      <c r="BW25" s="22">
        <f>IFERROR(__xludf.DUMMYFUNCTION("""COMPUTED_VALUE"""),1.0)</f>
        <v>1</v>
      </c>
      <c r="BX25" s="22">
        <f>IFERROR(__xludf.DUMMYFUNCTION("""COMPUTED_VALUE"""),0.0)</f>
        <v>0</v>
      </c>
      <c r="BY25" s="22">
        <f>IFERROR(__xludf.DUMMYFUNCTION("""COMPUTED_VALUE"""),1.0)</f>
        <v>1</v>
      </c>
      <c r="BZ25" s="22">
        <f>IFERROR(__xludf.DUMMYFUNCTION("""COMPUTED_VALUE"""),0.0)</f>
        <v>0</v>
      </c>
      <c r="CA25" s="22">
        <f>IFERROR(__xludf.DUMMYFUNCTION("""COMPUTED_VALUE"""),2.0)</f>
        <v>2</v>
      </c>
      <c r="CB25" s="22">
        <f>IFERROR(__xludf.DUMMYFUNCTION("""COMPUTED_VALUE"""),6.0)</f>
        <v>6</v>
      </c>
      <c r="CC25" s="61">
        <f>IFERROR(__xludf.DUMMYFUNCTION("""COMPUTED_VALUE"""),3.75)</f>
        <v>3.75</v>
      </c>
      <c r="CD25" s="62" t="str">
        <f>IFERROR(__xludf.DUMMYFUNCTION("""COMPUTED_VALUE"""),"good")</f>
        <v>good</v>
      </c>
      <c r="CE25" s="22" t="s">
        <v>519</v>
      </c>
      <c r="CF25" s="24">
        <v>10.0</v>
      </c>
      <c r="CG25" s="22" t="b">
        <v>1</v>
      </c>
      <c r="CH25" s="22" t="b">
        <v>0</v>
      </c>
      <c r="CI25" s="22"/>
      <c r="CJ25" s="22">
        <v>1.0</v>
      </c>
      <c r="CK25" s="22">
        <v>1.0</v>
      </c>
      <c r="CL25" s="22">
        <v>0.0</v>
      </c>
      <c r="CM25" s="22">
        <v>0.0</v>
      </c>
      <c r="CN25" s="22">
        <v>0.0</v>
      </c>
      <c r="CO25" s="22">
        <v>0.0</v>
      </c>
      <c r="CP25" s="22">
        <v>1.0</v>
      </c>
      <c r="CQ25" s="22">
        <v>0.0</v>
      </c>
      <c r="CR25" s="22">
        <v>2.0</v>
      </c>
      <c r="CS25" s="22">
        <v>1.0</v>
      </c>
      <c r="CT25" s="22">
        <v>1.0</v>
      </c>
      <c r="CU25" s="22">
        <v>0.0</v>
      </c>
      <c r="CV25" s="22">
        <v>1.0</v>
      </c>
      <c r="CW25" s="22">
        <v>0.0</v>
      </c>
      <c r="CX25" s="22">
        <v>2.0</v>
      </c>
      <c r="CY25" s="22">
        <v>6.0</v>
      </c>
      <c r="CZ25" s="61">
        <v>3.75</v>
      </c>
      <c r="DA25" s="62" t="s">
        <v>561</v>
      </c>
    </row>
    <row r="26">
      <c r="A26" s="16" t="s">
        <v>84</v>
      </c>
      <c r="B26" s="16" t="s">
        <v>85</v>
      </c>
      <c r="C26" s="16" t="s">
        <v>28</v>
      </c>
      <c r="D26" s="16" t="s">
        <v>7</v>
      </c>
      <c r="E26" s="17" t="b">
        <f t="shared" ref="E26:K26" si="131">If(IFERROR(SEARCH(E$1, $D26),0) &gt;= 1, true,false)</f>
        <v>0</v>
      </c>
      <c r="F26" s="17" t="b">
        <f t="shared" si="131"/>
        <v>0</v>
      </c>
      <c r="G26" s="17" t="b">
        <f t="shared" si="131"/>
        <v>0</v>
      </c>
      <c r="H26" s="17" t="b">
        <f t="shared" si="131"/>
        <v>1</v>
      </c>
      <c r="I26" s="17" t="b">
        <f t="shared" si="131"/>
        <v>0</v>
      </c>
      <c r="J26" s="17" t="b">
        <f t="shared" si="131"/>
        <v>0</v>
      </c>
      <c r="K26" s="17" t="b">
        <f t="shared" si="131"/>
        <v>0</v>
      </c>
      <c r="L26" s="18" t="b">
        <v>0</v>
      </c>
      <c r="M26" s="18" t="b">
        <v>0</v>
      </c>
      <c r="N26" s="18" t="b">
        <v>0</v>
      </c>
      <c r="O26" s="18" t="b">
        <v>0</v>
      </c>
      <c r="P26" s="16" t="str">
        <f t="shared" si="7"/>
        <v>Gezellehuis</v>
      </c>
      <c r="Q26" s="19">
        <v>0.0</v>
      </c>
      <c r="R26" s="20" t="b">
        <v>0</v>
      </c>
      <c r="S26" s="18" t="b">
        <v>0</v>
      </c>
      <c r="T26" s="16"/>
      <c r="U26" s="21">
        <f t="shared" si="8"/>
        <v>0</v>
      </c>
      <c r="V26" s="21">
        <f t="shared" ref="V26:AB26" si="132">if(OR(AW26 = $AO$4, AW26 = $AQ$4), 1, 0)</f>
        <v>0</v>
      </c>
      <c r="W26" s="21">
        <f t="shared" si="132"/>
        <v>0</v>
      </c>
      <c r="X26" s="21">
        <f t="shared" si="132"/>
        <v>0</v>
      </c>
      <c r="Y26" s="21">
        <f t="shared" si="132"/>
        <v>0</v>
      </c>
      <c r="Z26" s="21">
        <f t="shared" si="132"/>
        <v>0</v>
      </c>
      <c r="AA26" s="21">
        <f t="shared" si="132"/>
        <v>0</v>
      </c>
      <c r="AB26" s="21">
        <f t="shared" si="132"/>
        <v>0</v>
      </c>
      <c r="AC26" s="21">
        <f t="shared" si="10"/>
        <v>0</v>
      </c>
      <c r="AD26" s="21">
        <f t="shared" si="11"/>
        <v>1</v>
      </c>
      <c r="AE26" s="21">
        <f t="shared" ref="AE26:AH26" si="133">if(OR(BD26 = $AO$6, BD26 = $AS$6, BD26 = $AT$6, BD26 = $AU$6), 1, 0)</f>
        <v>0</v>
      </c>
      <c r="AF26" s="21">
        <f t="shared" si="133"/>
        <v>0</v>
      </c>
      <c r="AG26" s="21">
        <f t="shared" si="133"/>
        <v>0</v>
      </c>
      <c r="AH26" s="21">
        <f t="shared" si="133"/>
        <v>0</v>
      </c>
      <c r="AI26" s="21">
        <f t="shared" si="13"/>
        <v>0</v>
      </c>
      <c r="AJ26" s="21">
        <f t="shared" si="14"/>
        <v>1</v>
      </c>
      <c r="AK26" s="59">
        <f t="shared" si="15"/>
        <v>0.625</v>
      </c>
      <c r="AL26" s="60" t="str">
        <f t="shared" si="16"/>
        <v>no match</v>
      </c>
      <c r="AW26" s="22">
        <f t="shared" ref="AW26:BC26" si="134">IF(IFERROR(SEARCH(E$1, $D26),0) &gt;= 1, E$1,0)</f>
        <v>0</v>
      </c>
      <c r="AX26" s="22">
        <f t="shared" si="134"/>
        <v>0</v>
      </c>
      <c r="AY26" s="22">
        <f t="shared" si="134"/>
        <v>0</v>
      </c>
      <c r="AZ26" s="22" t="str">
        <f t="shared" si="134"/>
        <v>Literatuur</v>
      </c>
      <c r="BA26" s="22">
        <f t="shared" si="134"/>
        <v>0</v>
      </c>
      <c r="BB26" s="22">
        <f t="shared" si="134"/>
        <v>0</v>
      </c>
      <c r="BC26" s="22">
        <f t="shared" si="134"/>
        <v>0</v>
      </c>
      <c r="BD26" s="22">
        <f t="shared" ref="BD26:BG26" si="135">IF(L26 = true, BD$1, 0)</f>
        <v>0</v>
      </c>
      <c r="BE26" s="22">
        <f t="shared" si="135"/>
        <v>0</v>
      </c>
      <c r="BF26" s="22">
        <f t="shared" si="135"/>
        <v>0</v>
      </c>
      <c r="BG26" s="22">
        <f t="shared" si="135"/>
        <v>0</v>
      </c>
      <c r="BH26" s="22" t="str">
        <f>IFERROR(__xludf.DUMMYFUNCTION("""COMPUTED_VALUE"""),"Provinciale Erfgoedsite Ename")</f>
        <v>Provinciale Erfgoedsite Ename</v>
      </c>
      <c r="BI26" s="24">
        <f>IFERROR(__xludf.DUMMYFUNCTION("""COMPUTED_VALUE"""),8.0)</f>
        <v>8</v>
      </c>
      <c r="BJ26" s="22" t="b">
        <f>IFERROR(__xludf.DUMMYFUNCTION("""COMPUTED_VALUE"""),FALSE)</f>
        <v>0</v>
      </c>
      <c r="BK26" s="22" t="b">
        <f>IFERROR(__xludf.DUMMYFUNCTION("""COMPUTED_VALUE"""),FALSE)</f>
        <v>0</v>
      </c>
      <c r="BL26" s="22"/>
      <c r="BM26" s="22">
        <f>IFERROR(__xludf.DUMMYFUNCTION("""COMPUTED_VALUE"""),1.0)</f>
        <v>1</v>
      </c>
      <c r="BN26" s="22">
        <f>IFERROR(__xludf.DUMMYFUNCTION("""COMPUTED_VALUE"""),1.0)</f>
        <v>1</v>
      </c>
      <c r="BO26" s="22">
        <f>IFERROR(__xludf.DUMMYFUNCTION("""COMPUTED_VALUE"""),0.0)</f>
        <v>0</v>
      </c>
      <c r="BP26" s="22">
        <f>IFERROR(__xludf.DUMMYFUNCTION("""COMPUTED_VALUE"""),0.0)</f>
        <v>0</v>
      </c>
      <c r="BQ26" s="22">
        <f>IFERROR(__xludf.DUMMYFUNCTION("""COMPUTED_VALUE"""),0.0)</f>
        <v>0</v>
      </c>
      <c r="BR26" s="22">
        <f>IFERROR(__xludf.DUMMYFUNCTION("""COMPUTED_VALUE"""),0.0)</f>
        <v>0</v>
      </c>
      <c r="BS26" s="22">
        <f>IFERROR(__xludf.DUMMYFUNCTION("""COMPUTED_VALUE"""),0.0)</f>
        <v>0</v>
      </c>
      <c r="BT26" s="22">
        <f>IFERROR(__xludf.DUMMYFUNCTION("""COMPUTED_VALUE"""),0.0)</f>
        <v>0</v>
      </c>
      <c r="BU26" s="22">
        <f>IFERROR(__xludf.DUMMYFUNCTION("""COMPUTED_VALUE"""),1.0)</f>
        <v>1</v>
      </c>
      <c r="BV26" s="22">
        <f>IFERROR(__xludf.DUMMYFUNCTION("""COMPUTED_VALUE"""),1.0)</f>
        <v>1</v>
      </c>
      <c r="BW26" s="22">
        <f>IFERROR(__xludf.DUMMYFUNCTION("""COMPUTED_VALUE"""),1.0)</f>
        <v>1</v>
      </c>
      <c r="BX26" s="22">
        <f>IFERROR(__xludf.DUMMYFUNCTION("""COMPUTED_VALUE"""),1.0)</f>
        <v>1</v>
      </c>
      <c r="BY26" s="22">
        <f>IFERROR(__xludf.DUMMYFUNCTION("""COMPUTED_VALUE"""),1.0)</f>
        <v>1</v>
      </c>
      <c r="BZ26" s="22">
        <f>IFERROR(__xludf.DUMMYFUNCTION("""COMPUTED_VALUE"""),0.0)</f>
        <v>0</v>
      </c>
      <c r="CA26" s="22">
        <f>IFERROR(__xludf.DUMMYFUNCTION("""COMPUTED_VALUE"""),3.0)</f>
        <v>3</v>
      </c>
      <c r="CB26" s="22">
        <f>IFERROR(__xludf.DUMMYFUNCTION("""COMPUTED_VALUE"""),6.0)</f>
        <v>6</v>
      </c>
      <c r="CC26" s="61">
        <f>IFERROR(__xludf.DUMMYFUNCTION("""COMPUTED_VALUE"""),3.75)</f>
        <v>3.75</v>
      </c>
      <c r="CD26" s="62" t="str">
        <f>IFERROR(__xludf.DUMMYFUNCTION("""COMPUTED_VALUE"""),"good")</f>
        <v>good</v>
      </c>
      <c r="CE26" s="22" t="s">
        <v>529</v>
      </c>
      <c r="CF26" s="24">
        <v>8.0</v>
      </c>
      <c r="CG26" s="22" t="b">
        <v>0</v>
      </c>
      <c r="CH26" s="22" t="b">
        <v>0</v>
      </c>
      <c r="CI26" s="22"/>
      <c r="CJ26" s="22">
        <v>1.0</v>
      </c>
      <c r="CK26" s="22">
        <v>1.0</v>
      </c>
      <c r="CL26" s="22">
        <v>0.0</v>
      </c>
      <c r="CM26" s="22">
        <v>0.0</v>
      </c>
      <c r="CN26" s="22">
        <v>0.0</v>
      </c>
      <c r="CO26" s="22">
        <v>0.0</v>
      </c>
      <c r="CP26" s="22">
        <v>0.0</v>
      </c>
      <c r="CQ26" s="22">
        <v>0.0</v>
      </c>
      <c r="CR26" s="22">
        <v>1.0</v>
      </c>
      <c r="CS26" s="22">
        <v>1.0</v>
      </c>
      <c r="CT26" s="22">
        <v>1.0</v>
      </c>
      <c r="CU26" s="22">
        <v>1.0</v>
      </c>
      <c r="CV26" s="22">
        <v>1.0</v>
      </c>
      <c r="CW26" s="22">
        <v>0.0</v>
      </c>
      <c r="CX26" s="22">
        <v>3.0</v>
      </c>
      <c r="CY26" s="22">
        <v>6.0</v>
      </c>
      <c r="CZ26" s="61">
        <v>3.75</v>
      </c>
      <c r="DA26" s="62" t="s">
        <v>561</v>
      </c>
    </row>
    <row r="27">
      <c r="A27" s="16" t="s">
        <v>86</v>
      </c>
      <c r="B27" s="16" t="s">
        <v>87</v>
      </c>
      <c r="C27" s="16" t="s">
        <v>28</v>
      </c>
      <c r="D27" s="16" t="s">
        <v>9</v>
      </c>
      <c r="E27" s="17" t="b">
        <f t="shared" ref="E27:K27" si="136">If(IFERROR(SEARCH(E$1, $D27),0) &gt;= 1, true,false)</f>
        <v>0</v>
      </c>
      <c r="F27" s="17" t="b">
        <f t="shared" si="136"/>
        <v>0</v>
      </c>
      <c r="G27" s="17" t="b">
        <f t="shared" si="136"/>
        <v>0</v>
      </c>
      <c r="H27" s="17" t="b">
        <f t="shared" si="136"/>
        <v>0</v>
      </c>
      <c r="I27" s="17" t="b">
        <f t="shared" si="136"/>
        <v>0</v>
      </c>
      <c r="J27" s="17" t="b">
        <f t="shared" si="136"/>
        <v>1</v>
      </c>
      <c r="K27" s="17" t="b">
        <f t="shared" si="136"/>
        <v>0</v>
      </c>
      <c r="L27" s="18" t="b">
        <v>1</v>
      </c>
      <c r="M27" s="18" t="b">
        <v>0</v>
      </c>
      <c r="N27" s="18" t="b">
        <v>0</v>
      </c>
      <c r="O27" s="18" t="b">
        <v>0</v>
      </c>
      <c r="P27" s="16" t="str">
        <f t="shared" si="7"/>
        <v>Groeningemuseum</v>
      </c>
      <c r="Q27" s="19">
        <v>15.0</v>
      </c>
      <c r="R27" s="20" t="b">
        <v>0</v>
      </c>
      <c r="S27" s="18" t="b">
        <v>0</v>
      </c>
      <c r="T27" s="21"/>
      <c r="U27" s="21">
        <f t="shared" si="8"/>
        <v>0</v>
      </c>
      <c r="V27" s="21">
        <f t="shared" ref="V27:AB27" si="137">if(OR(AW27 = $AO$4, AW27 = $AQ$4), 1, 0)</f>
        <v>0</v>
      </c>
      <c r="W27" s="21">
        <f t="shared" si="137"/>
        <v>0</v>
      </c>
      <c r="X27" s="21">
        <f t="shared" si="137"/>
        <v>0</v>
      </c>
      <c r="Y27" s="21">
        <f t="shared" si="137"/>
        <v>0</v>
      </c>
      <c r="Z27" s="21">
        <f t="shared" si="137"/>
        <v>0</v>
      </c>
      <c r="AA27" s="21">
        <f t="shared" si="137"/>
        <v>1</v>
      </c>
      <c r="AB27" s="21">
        <f t="shared" si="137"/>
        <v>0</v>
      </c>
      <c r="AC27" s="21">
        <f t="shared" si="10"/>
        <v>1</v>
      </c>
      <c r="AD27" s="21">
        <f t="shared" si="11"/>
        <v>0</v>
      </c>
      <c r="AE27" s="21">
        <f t="shared" ref="AE27:AH27" si="138">if(OR(BD27 = $AO$6, BD27 = $AS$6, BD27 = $AT$6, BD27 = $AU$6), 1, 0)</f>
        <v>1</v>
      </c>
      <c r="AF27" s="21">
        <f t="shared" si="138"/>
        <v>0</v>
      </c>
      <c r="AG27" s="21">
        <f t="shared" si="138"/>
        <v>0</v>
      </c>
      <c r="AH27" s="21">
        <f t="shared" si="138"/>
        <v>0</v>
      </c>
      <c r="AI27" s="21">
        <f t="shared" si="13"/>
        <v>1</v>
      </c>
      <c r="AJ27" s="21">
        <f t="shared" si="14"/>
        <v>2</v>
      </c>
      <c r="AK27" s="59">
        <f t="shared" si="15"/>
        <v>1.25</v>
      </c>
      <c r="AL27" s="60" t="str">
        <f t="shared" si="16"/>
        <v>subpar</v>
      </c>
      <c r="AW27" s="22">
        <f t="shared" ref="AW27:BC27" si="139">IF(IFERROR(SEARCH(E$1, $D27),0) &gt;= 1, E$1,0)</f>
        <v>0</v>
      </c>
      <c r="AX27" s="22">
        <f t="shared" si="139"/>
        <v>0</v>
      </c>
      <c r="AY27" s="22">
        <f t="shared" si="139"/>
        <v>0</v>
      </c>
      <c r="AZ27" s="22">
        <f t="shared" si="139"/>
        <v>0</v>
      </c>
      <c r="BA27" s="22">
        <f t="shared" si="139"/>
        <v>0</v>
      </c>
      <c r="BB27" s="22" t="str">
        <f t="shared" si="139"/>
        <v>Beeldende kunst</v>
      </c>
      <c r="BC27" s="22">
        <f t="shared" si="139"/>
        <v>0</v>
      </c>
      <c r="BD27" s="22" t="str">
        <f t="shared" ref="BD27:BG27" si="140">IF(L27 = true, BD$1, 0)</f>
        <v>Shop</v>
      </c>
      <c r="BE27" s="22">
        <f t="shared" si="140"/>
        <v>0</v>
      </c>
      <c r="BF27" s="22">
        <f t="shared" si="140"/>
        <v>0</v>
      </c>
      <c r="BG27" s="22">
        <f t="shared" si="140"/>
        <v>0</v>
      </c>
      <c r="BH27" s="22" t="str">
        <f>IFERROR(__xludf.DUMMYFUNCTION("""COMPUTED_VALUE"""),"Sint-Pietersabdij Gent")</f>
        <v>Sint-Pietersabdij Gent</v>
      </c>
      <c r="BI27" s="24">
        <f>IFERROR(__xludf.DUMMYFUNCTION("""COMPUTED_VALUE"""),0.0)</f>
        <v>0</v>
      </c>
      <c r="BJ27" s="22" t="b">
        <f>IFERROR(__xludf.DUMMYFUNCTION("""COMPUTED_VALUE"""),FALSE)</f>
        <v>0</v>
      </c>
      <c r="BK27" s="22" t="b">
        <f>IFERROR(__xludf.DUMMYFUNCTION("""COMPUTED_VALUE"""),TRUE)</f>
        <v>1</v>
      </c>
      <c r="BL27" s="24">
        <f>IFERROR(__xludf.DUMMYFUNCTION("""COMPUTED_VALUE"""),13.0)</f>
        <v>13</v>
      </c>
      <c r="BM27" s="22">
        <f>IFERROR(__xludf.DUMMYFUNCTION("""COMPUTED_VALUE"""),1.0)</f>
        <v>1</v>
      </c>
      <c r="BN27" s="22">
        <f>IFERROR(__xludf.DUMMYFUNCTION("""COMPUTED_VALUE"""),1.0)</f>
        <v>1</v>
      </c>
      <c r="BO27" s="22">
        <f>IFERROR(__xludf.DUMMYFUNCTION("""COMPUTED_VALUE"""),0.0)</f>
        <v>0</v>
      </c>
      <c r="BP27" s="22">
        <f>IFERROR(__xludf.DUMMYFUNCTION("""COMPUTED_VALUE"""),0.0)</f>
        <v>0</v>
      </c>
      <c r="BQ27" s="22">
        <f>IFERROR(__xludf.DUMMYFUNCTION("""COMPUTED_VALUE"""),0.0)</f>
        <v>0</v>
      </c>
      <c r="BR27" s="22">
        <f>IFERROR(__xludf.DUMMYFUNCTION("""COMPUTED_VALUE"""),0.0)</f>
        <v>0</v>
      </c>
      <c r="BS27" s="22">
        <f>IFERROR(__xludf.DUMMYFUNCTION("""COMPUTED_VALUE"""),0.0)</f>
        <v>0</v>
      </c>
      <c r="BT27" s="22">
        <f>IFERROR(__xludf.DUMMYFUNCTION("""COMPUTED_VALUE"""),0.0)</f>
        <v>0</v>
      </c>
      <c r="BU27" s="22">
        <f>IFERROR(__xludf.DUMMYFUNCTION("""COMPUTED_VALUE"""),1.0)</f>
        <v>1</v>
      </c>
      <c r="BV27" s="22">
        <f>IFERROR(__xludf.DUMMYFUNCTION("""COMPUTED_VALUE"""),1.0)</f>
        <v>1</v>
      </c>
      <c r="BW27" s="22">
        <f>IFERROR(__xludf.DUMMYFUNCTION("""COMPUTED_VALUE"""),1.0)</f>
        <v>1</v>
      </c>
      <c r="BX27" s="22">
        <f>IFERROR(__xludf.DUMMYFUNCTION("""COMPUTED_VALUE"""),1.0)</f>
        <v>1</v>
      </c>
      <c r="BY27" s="22">
        <f>IFERROR(__xludf.DUMMYFUNCTION("""COMPUTED_VALUE"""),1.0)</f>
        <v>1</v>
      </c>
      <c r="BZ27" s="22">
        <f>IFERROR(__xludf.DUMMYFUNCTION("""COMPUTED_VALUE"""),0.0)</f>
        <v>0</v>
      </c>
      <c r="CA27" s="22">
        <f>IFERROR(__xludf.DUMMYFUNCTION("""COMPUTED_VALUE"""),3.0)</f>
        <v>3</v>
      </c>
      <c r="CB27" s="22">
        <f>IFERROR(__xludf.DUMMYFUNCTION("""COMPUTED_VALUE"""),6.0)</f>
        <v>6</v>
      </c>
      <c r="CC27" s="61">
        <f>IFERROR(__xludf.DUMMYFUNCTION("""COMPUTED_VALUE"""),3.75)</f>
        <v>3.75</v>
      </c>
      <c r="CD27" s="62" t="str">
        <f>IFERROR(__xludf.DUMMYFUNCTION("""COMPUTED_VALUE"""),"good")</f>
        <v>good</v>
      </c>
      <c r="CE27" s="22" t="s">
        <v>537</v>
      </c>
      <c r="CF27" s="24">
        <v>0.0</v>
      </c>
      <c r="CG27" s="22" t="b">
        <v>0</v>
      </c>
      <c r="CH27" s="22" t="b">
        <v>1</v>
      </c>
      <c r="CI27" s="24">
        <v>13.0</v>
      </c>
      <c r="CJ27" s="22">
        <v>1.0</v>
      </c>
      <c r="CK27" s="22">
        <v>1.0</v>
      </c>
      <c r="CL27" s="22">
        <v>0.0</v>
      </c>
      <c r="CM27" s="22">
        <v>0.0</v>
      </c>
      <c r="CN27" s="22">
        <v>0.0</v>
      </c>
      <c r="CO27" s="22">
        <v>0.0</v>
      </c>
      <c r="CP27" s="22">
        <v>0.0</v>
      </c>
      <c r="CQ27" s="22">
        <v>0.0</v>
      </c>
      <c r="CR27" s="22">
        <v>1.0</v>
      </c>
      <c r="CS27" s="22">
        <v>1.0</v>
      </c>
      <c r="CT27" s="22">
        <v>1.0</v>
      </c>
      <c r="CU27" s="22">
        <v>1.0</v>
      </c>
      <c r="CV27" s="22">
        <v>1.0</v>
      </c>
      <c r="CW27" s="22">
        <v>0.0</v>
      </c>
      <c r="CX27" s="22">
        <v>3.0</v>
      </c>
      <c r="CY27" s="22">
        <v>6.0</v>
      </c>
      <c r="CZ27" s="61">
        <v>3.75</v>
      </c>
      <c r="DA27" s="62" t="s">
        <v>561</v>
      </c>
    </row>
    <row r="28">
      <c r="A28" s="16" t="s">
        <v>88</v>
      </c>
      <c r="B28" s="16" t="s">
        <v>89</v>
      </c>
      <c r="C28" s="16" t="s">
        <v>28</v>
      </c>
      <c r="D28" s="16" t="s">
        <v>68</v>
      </c>
      <c r="E28" s="17" t="b">
        <f t="shared" ref="E28:K28" si="141">If(IFERROR(SEARCH(E$1, $D28),0) &gt;= 1, true,false)</f>
        <v>1</v>
      </c>
      <c r="F28" s="17" t="b">
        <f t="shared" si="141"/>
        <v>0</v>
      </c>
      <c r="G28" s="17" t="b">
        <f t="shared" si="141"/>
        <v>0</v>
      </c>
      <c r="H28" s="17" t="b">
        <f t="shared" si="141"/>
        <v>0</v>
      </c>
      <c r="I28" s="17" t="b">
        <f t="shared" si="141"/>
        <v>1</v>
      </c>
      <c r="J28" s="17" t="b">
        <f t="shared" si="141"/>
        <v>1</v>
      </c>
      <c r="K28" s="17" t="b">
        <f t="shared" si="141"/>
        <v>1</v>
      </c>
      <c r="L28" s="18" t="b">
        <v>0</v>
      </c>
      <c r="M28" s="18" t="b">
        <v>0</v>
      </c>
      <c r="N28" s="18" t="b">
        <v>0</v>
      </c>
      <c r="O28" s="18" t="b">
        <v>0</v>
      </c>
      <c r="P28" s="16" t="str">
        <f t="shared" si="7"/>
        <v>Gruuthusemuseum</v>
      </c>
      <c r="Q28" s="19">
        <v>15.0</v>
      </c>
      <c r="R28" s="18" t="b">
        <v>0</v>
      </c>
      <c r="S28" s="18" t="b">
        <v>0</v>
      </c>
      <c r="U28" s="21">
        <f t="shared" si="8"/>
        <v>0</v>
      </c>
      <c r="V28" s="21">
        <f t="shared" ref="V28:AB28" si="142">if(OR(AW28 = $AO$4, AW28 = $AQ$4), 1, 0)</f>
        <v>1</v>
      </c>
      <c r="W28" s="21">
        <f t="shared" si="142"/>
        <v>0</v>
      </c>
      <c r="X28" s="21">
        <f t="shared" si="142"/>
        <v>0</v>
      </c>
      <c r="Y28" s="21">
        <f t="shared" si="142"/>
        <v>0</v>
      </c>
      <c r="Z28" s="21">
        <f t="shared" si="142"/>
        <v>0</v>
      </c>
      <c r="AA28" s="21">
        <f t="shared" si="142"/>
        <v>1</v>
      </c>
      <c r="AB28" s="21">
        <f t="shared" si="142"/>
        <v>0</v>
      </c>
      <c r="AC28" s="21">
        <f t="shared" si="10"/>
        <v>2</v>
      </c>
      <c r="AD28" s="21">
        <f t="shared" si="11"/>
        <v>0</v>
      </c>
      <c r="AE28" s="21">
        <f t="shared" ref="AE28:AH28" si="143">if(OR(BD28 = $AO$6, BD28 = $AS$6, BD28 = $AT$6, BD28 = $AU$6), 1, 0)</f>
        <v>0</v>
      </c>
      <c r="AF28" s="21">
        <f t="shared" si="143"/>
        <v>0</v>
      </c>
      <c r="AG28" s="21">
        <f t="shared" si="143"/>
        <v>0</v>
      </c>
      <c r="AH28" s="21">
        <f t="shared" si="143"/>
        <v>0</v>
      </c>
      <c r="AI28" s="21">
        <f t="shared" si="13"/>
        <v>0</v>
      </c>
      <c r="AJ28" s="21">
        <f t="shared" si="14"/>
        <v>2</v>
      </c>
      <c r="AK28" s="59">
        <f t="shared" si="15"/>
        <v>1.25</v>
      </c>
      <c r="AL28" s="60" t="str">
        <f t="shared" si="16"/>
        <v>subpar</v>
      </c>
      <c r="AW28" s="22" t="str">
        <f t="shared" ref="AW28:BC28" si="144">IF(IFERROR(SEARCH(E$1, $D28),0) &gt;= 1, E$1,0)</f>
        <v>Geschiedenis en archeologie</v>
      </c>
      <c r="AX28" s="22">
        <f t="shared" si="144"/>
        <v>0</v>
      </c>
      <c r="AY28" s="22">
        <f t="shared" si="144"/>
        <v>0</v>
      </c>
      <c r="AZ28" s="22">
        <f t="shared" si="144"/>
        <v>0</v>
      </c>
      <c r="BA28" s="22" t="str">
        <f t="shared" si="144"/>
        <v>Architectuur</v>
      </c>
      <c r="BB28" s="22" t="str">
        <f t="shared" si="144"/>
        <v>Beeldende kunst</v>
      </c>
      <c r="BC28" s="22" t="str">
        <f t="shared" si="144"/>
        <v>Toegepaste kunst en design</v>
      </c>
      <c r="BD28" s="22">
        <f t="shared" ref="BD28:BG28" si="145">IF(L28 = true, BD$1, 0)</f>
        <v>0</v>
      </c>
      <c r="BE28" s="22">
        <f t="shared" si="145"/>
        <v>0</v>
      </c>
      <c r="BF28" s="22">
        <f t="shared" si="145"/>
        <v>0</v>
      </c>
      <c r="BG28" s="22">
        <f t="shared" si="145"/>
        <v>0</v>
      </c>
      <c r="BH28" s="22" t="str">
        <f>IFERROR(__xludf.DUMMYFUNCTION("""COMPUTED_VALUE"""),"S.M.A.K.")</f>
        <v>S.M.A.K.</v>
      </c>
      <c r="BI28" s="24">
        <f>IFERROR(__xludf.DUMMYFUNCTION("""COMPUTED_VALUE"""),15.0)</f>
        <v>15</v>
      </c>
      <c r="BJ28" s="22" t="b">
        <f>IFERROR(__xludf.DUMMYFUNCTION("""COMPUTED_VALUE"""),FALSE)</f>
        <v>0</v>
      </c>
      <c r="BK28" s="22" t="b">
        <f>IFERROR(__xludf.DUMMYFUNCTION("""COMPUTED_VALUE"""),TRUE)</f>
        <v>1</v>
      </c>
      <c r="BL28" s="24">
        <f>IFERROR(__xludf.DUMMYFUNCTION("""COMPUTED_VALUE"""),18.0)</f>
        <v>18</v>
      </c>
      <c r="BM28" s="22">
        <f>IFERROR(__xludf.DUMMYFUNCTION("""COMPUTED_VALUE"""),1.0)</f>
        <v>1</v>
      </c>
      <c r="BN28" s="22">
        <f>IFERROR(__xludf.DUMMYFUNCTION("""COMPUTED_VALUE"""),0.0)</f>
        <v>0</v>
      </c>
      <c r="BO28" s="22">
        <f>IFERROR(__xludf.DUMMYFUNCTION("""COMPUTED_VALUE"""),0.0)</f>
        <v>0</v>
      </c>
      <c r="BP28" s="22">
        <f>IFERROR(__xludf.DUMMYFUNCTION("""COMPUTED_VALUE"""),0.0)</f>
        <v>0</v>
      </c>
      <c r="BQ28" s="22">
        <f>IFERROR(__xludf.DUMMYFUNCTION("""COMPUTED_VALUE"""),0.0)</f>
        <v>0</v>
      </c>
      <c r="BR28" s="22">
        <f>IFERROR(__xludf.DUMMYFUNCTION("""COMPUTED_VALUE"""),0.0)</f>
        <v>0</v>
      </c>
      <c r="BS28" s="22">
        <f>IFERROR(__xludf.DUMMYFUNCTION("""COMPUTED_VALUE"""),1.0)</f>
        <v>1</v>
      </c>
      <c r="BT28" s="22">
        <f>IFERROR(__xludf.DUMMYFUNCTION("""COMPUTED_VALUE"""),0.0)</f>
        <v>0</v>
      </c>
      <c r="BU28" s="22">
        <f>IFERROR(__xludf.DUMMYFUNCTION("""COMPUTED_VALUE"""),1.0)</f>
        <v>1</v>
      </c>
      <c r="BV28" s="22">
        <f>IFERROR(__xludf.DUMMYFUNCTION("""COMPUTED_VALUE"""),0.0)</f>
        <v>0</v>
      </c>
      <c r="BW28" s="22">
        <f>IFERROR(__xludf.DUMMYFUNCTION("""COMPUTED_VALUE"""),1.0)</f>
        <v>1</v>
      </c>
      <c r="BX28" s="22">
        <f>IFERROR(__xludf.DUMMYFUNCTION("""COMPUTED_VALUE"""),1.0)</f>
        <v>1</v>
      </c>
      <c r="BY28" s="22">
        <f>IFERROR(__xludf.DUMMYFUNCTION("""COMPUTED_VALUE"""),1.0)</f>
        <v>1</v>
      </c>
      <c r="BZ28" s="22">
        <f>IFERROR(__xludf.DUMMYFUNCTION("""COMPUTED_VALUE"""),1.0)</f>
        <v>1</v>
      </c>
      <c r="CA28" s="22">
        <f>IFERROR(__xludf.DUMMYFUNCTION("""COMPUTED_VALUE"""),4.0)</f>
        <v>4</v>
      </c>
      <c r="CB28" s="22">
        <f>IFERROR(__xludf.DUMMYFUNCTION("""COMPUTED_VALUE"""),6.0)</f>
        <v>6</v>
      </c>
      <c r="CC28" s="61">
        <f>IFERROR(__xludf.DUMMYFUNCTION("""COMPUTED_VALUE"""),3.75)</f>
        <v>3.75</v>
      </c>
      <c r="CD28" s="62" t="str">
        <f>IFERROR(__xludf.DUMMYFUNCTION("""COMPUTED_VALUE"""),"good")</f>
        <v>good</v>
      </c>
      <c r="CE28" s="22" t="s">
        <v>539</v>
      </c>
      <c r="CF28" s="24">
        <v>15.0</v>
      </c>
      <c r="CG28" s="22" t="b">
        <v>0</v>
      </c>
      <c r="CH28" s="22" t="b">
        <v>1</v>
      </c>
      <c r="CI28" s="24">
        <v>18.0</v>
      </c>
      <c r="CJ28" s="22">
        <v>1.0</v>
      </c>
      <c r="CK28" s="22">
        <v>0.0</v>
      </c>
      <c r="CL28" s="22">
        <v>0.0</v>
      </c>
      <c r="CM28" s="22">
        <v>0.0</v>
      </c>
      <c r="CN28" s="22">
        <v>0.0</v>
      </c>
      <c r="CO28" s="22">
        <v>0.0</v>
      </c>
      <c r="CP28" s="22">
        <v>1.0</v>
      </c>
      <c r="CQ28" s="22">
        <v>0.0</v>
      </c>
      <c r="CR28" s="22">
        <v>1.0</v>
      </c>
      <c r="CS28" s="22">
        <v>0.0</v>
      </c>
      <c r="CT28" s="22">
        <v>1.0</v>
      </c>
      <c r="CU28" s="22">
        <v>1.0</v>
      </c>
      <c r="CV28" s="22">
        <v>1.0</v>
      </c>
      <c r="CW28" s="22">
        <v>1.0</v>
      </c>
      <c r="CX28" s="22">
        <v>4.0</v>
      </c>
      <c r="CY28" s="22">
        <v>6.0</v>
      </c>
      <c r="CZ28" s="61">
        <v>3.75</v>
      </c>
      <c r="DA28" s="62" t="s">
        <v>561</v>
      </c>
    </row>
    <row r="29">
      <c r="A29" s="16" t="s">
        <v>90</v>
      </c>
      <c r="B29" s="16" t="s">
        <v>91</v>
      </c>
      <c r="C29" s="16" t="s">
        <v>28</v>
      </c>
      <c r="D29" s="16" t="s">
        <v>9</v>
      </c>
      <c r="E29" s="17" t="b">
        <f t="shared" ref="E29:K29" si="146">If(IFERROR(SEARCH(E$1, $D29),0) &gt;= 1, true,false)</f>
        <v>0</v>
      </c>
      <c r="F29" s="17" t="b">
        <f t="shared" si="146"/>
        <v>0</v>
      </c>
      <c r="G29" s="17" t="b">
        <f t="shared" si="146"/>
        <v>0</v>
      </c>
      <c r="H29" s="17" t="b">
        <f t="shared" si="146"/>
        <v>0</v>
      </c>
      <c r="I29" s="17" t="b">
        <f t="shared" si="146"/>
        <v>0</v>
      </c>
      <c r="J29" s="17" t="b">
        <f t="shared" si="146"/>
        <v>1</v>
      </c>
      <c r="K29" s="17" t="b">
        <f t="shared" si="146"/>
        <v>0</v>
      </c>
      <c r="L29" s="18" t="b">
        <v>1</v>
      </c>
      <c r="M29" s="18" t="b">
        <v>0</v>
      </c>
      <c r="N29" s="18" t="b">
        <v>0</v>
      </c>
      <c r="O29" s="18" t="b">
        <v>0</v>
      </c>
      <c r="P29" s="16" t="str">
        <f t="shared" si="7"/>
        <v>Het James Ensorhuis</v>
      </c>
      <c r="Q29" s="19">
        <v>13.0</v>
      </c>
      <c r="R29" s="18" t="b">
        <v>0</v>
      </c>
      <c r="S29" s="18" t="b">
        <v>1</v>
      </c>
      <c r="T29" s="29">
        <v>13.0</v>
      </c>
      <c r="U29" s="21">
        <f t="shared" si="8"/>
        <v>0</v>
      </c>
      <c r="V29" s="21">
        <f t="shared" ref="V29:AB29" si="147">if(OR(AW29 = $AO$4, AW29 = $AQ$4), 1, 0)</f>
        <v>0</v>
      </c>
      <c r="W29" s="21">
        <f t="shared" si="147"/>
        <v>0</v>
      </c>
      <c r="X29" s="21">
        <f t="shared" si="147"/>
        <v>0</v>
      </c>
      <c r="Y29" s="21">
        <f t="shared" si="147"/>
        <v>0</v>
      </c>
      <c r="Z29" s="21">
        <f t="shared" si="147"/>
        <v>0</v>
      </c>
      <c r="AA29" s="21">
        <f t="shared" si="147"/>
        <v>1</v>
      </c>
      <c r="AB29" s="21">
        <f t="shared" si="147"/>
        <v>0</v>
      </c>
      <c r="AC29" s="21">
        <f t="shared" si="10"/>
        <v>1</v>
      </c>
      <c r="AD29" s="21">
        <f t="shared" si="11"/>
        <v>0</v>
      </c>
      <c r="AE29" s="21">
        <f t="shared" ref="AE29:AH29" si="148">if(OR(BD29 = $AO$6, BD29 = $AS$6, BD29 = $AT$6, BD29 = $AU$6), 1, 0)</f>
        <v>1</v>
      </c>
      <c r="AF29" s="21">
        <f t="shared" si="148"/>
        <v>0</v>
      </c>
      <c r="AG29" s="21">
        <f t="shared" si="148"/>
        <v>0</v>
      </c>
      <c r="AH29" s="21">
        <f t="shared" si="148"/>
        <v>0</v>
      </c>
      <c r="AI29" s="21">
        <f t="shared" si="13"/>
        <v>1</v>
      </c>
      <c r="AJ29" s="21">
        <f t="shared" si="14"/>
        <v>2</v>
      </c>
      <c r="AK29" s="59">
        <f t="shared" si="15"/>
        <v>1.25</v>
      </c>
      <c r="AL29" s="60" t="str">
        <f t="shared" si="16"/>
        <v>subpar</v>
      </c>
      <c r="AW29" s="22">
        <f t="shared" ref="AW29:BC29" si="149">IF(IFERROR(SEARCH(E$1, $D29),0) &gt;= 1, E$1,0)</f>
        <v>0</v>
      </c>
      <c r="AX29" s="22">
        <f t="shared" si="149"/>
        <v>0</v>
      </c>
      <c r="AY29" s="22">
        <f t="shared" si="149"/>
        <v>0</v>
      </c>
      <c r="AZ29" s="22">
        <f t="shared" si="149"/>
        <v>0</v>
      </c>
      <c r="BA29" s="22">
        <f t="shared" si="149"/>
        <v>0</v>
      </c>
      <c r="BB29" s="22" t="str">
        <f t="shared" si="149"/>
        <v>Beeldende kunst</v>
      </c>
      <c r="BC29" s="22">
        <f t="shared" si="149"/>
        <v>0</v>
      </c>
      <c r="BD29" s="22" t="str">
        <f t="shared" ref="BD29:BG29" si="150">IF(L29 = true, BD$1, 0)</f>
        <v>Shop</v>
      </c>
      <c r="BE29" s="22">
        <f t="shared" si="150"/>
        <v>0</v>
      </c>
      <c r="BF29" s="22">
        <f t="shared" si="150"/>
        <v>0</v>
      </c>
      <c r="BG29" s="22">
        <f t="shared" si="150"/>
        <v>0</v>
      </c>
      <c r="BH29" s="22" t="str">
        <f>IFERROR(__xludf.DUMMYFUNCTION("""COMPUTED_VALUE"""),"Archeopark van Rochefort")</f>
        <v>Archeopark van Rochefort</v>
      </c>
      <c r="BI29" s="24">
        <f>IFERROR(__xludf.DUMMYFUNCTION("""COMPUTED_VALUE"""),8.0)</f>
        <v>8</v>
      </c>
      <c r="BJ29" s="22" t="b">
        <f>IFERROR(__xludf.DUMMYFUNCTION("""COMPUTED_VALUE"""),FALSE)</f>
        <v>0</v>
      </c>
      <c r="BK29" s="22" t="b">
        <f>IFERROR(__xludf.DUMMYFUNCTION("""COMPUTED_VALUE"""),FALSE)</f>
        <v>0</v>
      </c>
      <c r="BL29" s="22"/>
      <c r="BM29" s="22">
        <f>IFERROR(__xludf.DUMMYFUNCTION("""COMPUTED_VALUE"""),0.0)</f>
        <v>0</v>
      </c>
      <c r="BN29" s="22">
        <f>IFERROR(__xludf.DUMMYFUNCTION("""COMPUTED_VALUE"""),1.0)</f>
        <v>1</v>
      </c>
      <c r="BO29" s="22">
        <f>IFERROR(__xludf.DUMMYFUNCTION("""COMPUTED_VALUE"""),0.0)</f>
        <v>0</v>
      </c>
      <c r="BP29" s="22">
        <f>IFERROR(__xludf.DUMMYFUNCTION("""COMPUTED_VALUE"""),0.0)</f>
        <v>0</v>
      </c>
      <c r="BQ29" s="22">
        <f>IFERROR(__xludf.DUMMYFUNCTION("""COMPUTED_VALUE"""),0.0)</f>
        <v>0</v>
      </c>
      <c r="BR29" s="22">
        <f>IFERROR(__xludf.DUMMYFUNCTION("""COMPUTED_VALUE"""),0.0)</f>
        <v>0</v>
      </c>
      <c r="BS29" s="22">
        <f>IFERROR(__xludf.DUMMYFUNCTION("""COMPUTED_VALUE"""),0.0)</f>
        <v>0</v>
      </c>
      <c r="BT29" s="22">
        <f>IFERROR(__xludf.DUMMYFUNCTION("""COMPUTED_VALUE"""),0.0)</f>
        <v>0</v>
      </c>
      <c r="BU29" s="22">
        <f>IFERROR(__xludf.DUMMYFUNCTION("""COMPUTED_VALUE"""),1.0)</f>
        <v>1</v>
      </c>
      <c r="BV29" s="22">
        <f>IFERROR(__xludf.DUMMYFUNCTION("""COMPUTED_VALUE"""),1.0)</f>
        <v>1</v>
      </c>
      <c r="BW29" s="22">
        <f>IFERROR(__xludf.DUMMYFUNCTION("""COMPUTED_VALUE"""),1.0)</f>
        <v>1</v>
      </c>
      <c r="BX29" s="22">
        <f>IFERROR(__xludf.DUMMYFUNCTION("""COMPUTED_VALUE"""),1.0)</f>
        <v>1</v>
      </c>
      <c r="BY29" s="22">
        <f>IFERROR(__xludf.DUMMYFUNCTION("""COMPUTED_VALUE"""),1.0)</f>
        <v>1</v>
      </c>
      <c r="BZ29" s="22">
        <f>IFERROR(__xludf.DUMMYFUNCTION("""COMPUTED_VALUE"""),0.0)</f>
        <v>0</v>
      </c>
      <c r="CA29" s="22">
        <f>IFERROR(__xludf.DUMMYFUNCTION("""COMPUTED_VALUE"""),3.0)</f>
        <v>3</v>
      </c>
      <c r="CB29" s="22">
        <f>IFERROR(__xludf.DUMMYFUNCTION("""COMPUTED_VALUE"""),5.0)</f>
        <v>5</v>
      </c>
      <c r="CC29" s="61">
        <f>IFERROR(__xludf.DUMMYFUNCTION("""COMPUTED_VALUE"""),3.125)</f>
        <v>3.125</v>
      </c>
      <c r="CD29" s="62" t="str">
        <f>IFERROR(__xludf.DUMMYFUNCTION("""COMPUTED_VALUE"""),"good")</f>
        <v>good</v>
      </c>
      <c r="CE29" s="22" t="s">
        <v>46</v>
      </c>
      <c r="CF29" s="24">
        <v>8.0</v>
      </c>
      <c r="CG29" s="22" t="b">
        <v>0</v>
      </c>
      <c r="CH29" s="22" t="b">
        <v>0</v>
      </c>
      <c r="CI29" s="22"/>
      <c r="CJ29" s="22">
        <v>0.0</v>
      </c>
      <c r="CK29" s="22">
        <v>1.0</v>
      </c>
      <c r="CL29" s="22">
        <v>0.0</v>
      </c>
      <c r="CM29" s="22">
        <v>0.0</v>
      </c>
      <c r="CN29" s="22">
        <v>0.0</v>
      </c>
      <c r="CO29" s="22">
        <v>0.0</v>
      </c>
      <c r="CP29" s="22">
        <v>0.0</v>
      </c>
      <c r="CQ29" s="22">
        <v>0.0</v>
      </c>
      <c r="CR29" s="22">
        <v>1.0</v>
      </c>
      <c r="CS29" s="22">
        <v>1.0</v>
      </c>
      <c r="CT29" s="22">
        <v>1.0</v>
      </c>
      <c r="CU29" s="22">
        <v>1.0</v>
      </c>
      <c r="CV29" s="22">
        <v>1.0</v>
      </c>
      <c r="CW29" s="22">
        <v>0.0</v>
      </c>
      <c r="CX29" s="22">
        <v>3.0</v>
      </c>
      <c r="CY29" s="22">
        <v>5.0</v>
      </c>
      <c r="CZ29" s="61">
        <v>3.125</v>
      </c>
      <c r="DA29" s="62" t="s">
        <v>561</v>
      </c>
    </row>
    <row r="30">
      <c r="A30" s="16" t="s">
        <v>92</v>
      </c>
      <c r="B30" s="16"/>
      <c r="C30" s="16" t="s">
        <v>28</v>
      </c>
      <c r="D30" s="16" t="s">
        <v>93</v>
      </c>
      <c r="E30" s="17" t="b">
        <f t="shared" ref="E30:K30" si="151">If(IFERROR(SEARCH(E$1, $D30),0) &gt;= 1, true,false)</f>
        <v>0</v>
      </c>
      <c r="F30" s="17" t="b">
        <f t="shared" si="151"/>
        <v>0</v>
      </c>
      <c r="G30" s="17" t="b">
        <f t="shared" si="151"/>
        <v>0</v>
      </c>
      <c r="H30" s="17" t="b">
        <f t="shared" si="151"/>
        <v>1</v>
      </c>
      <c r="I30" s="17" t="b">
        <f t="shared" si="151"/>
        <v>1</v>
      </c>
      <c r="J30" s="17" t="b">
        <f t="shared" si="151"/>
        <v>1</v>
      </c>
      <c r="K30" s="17" t="b">
        <f t="shared" si="151"/>
        <v>0</v>
      </c>
      <c r="L30" s="18" t="b">
        <v>1</v>
      </c>
      <c r="M30" s="18" t="b">
        <v>0</v>
      </c>
      <c r="N30" s="18" t="b">
        <v>1</v>
      </c>
      <c r="O30" s="18" t="b">
        <v>0</v>
      </c>
      <c r="P30" s="16" t="str">
        <f t="shared" si="7"/>
        <v>Het Lijsternest | Streuvelshuis &amp; Schrijversresidentie</v>
      </c>
      <c r="Q30" s="19">
        <v>3.0</v>
      </c>
      <c r="R30" s="18" t="b">
        <v>1</v>
      </c>
      <c r="S30" s="18" t="b">
        <v>0</v>
      </c>
      <c r="T30" s="16"/>
      <c r="U30" s="21">
        <f t="shared" si="8"/>
        <v>0</v>
      </c>
      <c r="V30" s="21">
        <f t="shared" ref="V30:AB30" si="152">if(OR(AW30 = $AO$4, AW30 = $AQ$4), 1, 0)</f>
        <v>0</v>
      </c>
      <c r="W30" s="21">
        <f t="shared" si="152"/>
        <v>0</v>
      </c>
      <c r="X30" s="21">
        <f t="shared" si="152"/>
        <v>0</v>
      </c>
      <c r="Y30" s="21">
        <f t="shared" si="152"/>
        <v>0</v>
      </c>
      <c r="Z30" s="21">
        <f t="shared" si="152"/>
        <v>0</v>
      </c>
      <c r="AA30" s="21">
        <f t="shared" si="152"/>
        <v>1</v>
      </c>
      <c r="AB30" s="21">
        <f t="shared" si="152"/>
        <v>0</v>
      </c>
      <c r="AC30" s="21">
        <f t="shared" si="10"/>
        <v>1</v>
      </c>
      <c r="AD30" s="21">
        <f t="shared" si="11"/>
        <v>1</v>
      </c>
      <c r="AE30" s="21">
        <f t="shared" ref="AE30:AH30" si="153">if(OR(BD30 = $AO$6, BD30 = $AS$6, BD30 = $AT$6, BD30 = $AU$6), 1, 0)</f>
        <v>1</v>
      </c>
      <c r="AF30" s="21">
        <f t="shared" si="153"/>
        <v>0</v>
      </c>
      <c r="AG30" s="21">
        <f t="shared" si="153"/>
        <v>1</v>
      </c>
      <c r="AH30" s="21">
        <f t="shared" si="153"/>
        <v>0</v>
      </c>
      <c r="AI30" s="21">
        <f t="shared" si="13"/>
        <v>2</v>
      </c>
      <c r="AJ30" s="21">
        <f t="shared" si="14"/>
        <v>4</v>
      </c>
      <c r="AK30" s="59">
        <f t="shared" si="15"/>
        <v>2.5</v>
      </c>
      <c r="AL30" s="60" t="str">
        <f t="shared" si="16"/>
        <v>subpar</v>
      </c>
      <c r="AW30" s="22">
        <f t="shared" ref="AW30:BC30" si="154">IF(IFERROR(SEARCH(E$1, $D30),0) &gt;= 1, E$1,0)</f>
        <v>0</v>
      </c>
      <c r="AX30" s="22">
        <f t="shared" si="154"/>
        <v>0</v>
      </c>
      <c r="AY30" s="22">
        <f t="shared" si="154"/>
        <v>0</v>
      </c>
      <c r="AZ30" s="22" t="str">
        <f t="shared" si="154"/>
        <v>Literatuur</v>
      </c>
      <c r="BA30" s="22" t="str">
        <f t="shared" si="154"/>
        <v>Architectuur</v>
      </c>
      <c r="BB30" s="22" t="str">
        <f t="shared" si="154"/>
        <v>Beeldende kunst</v>
      </c>
      <c r="BC30" s="22">
        <f t="shared" si="154"/>
        <v>0</v>
      </c>
      <c r="BD30" s="22" t="str">
        <f t="shared" ref="BD30:BG30" si="155">IF(L30 = true, BD$1, 0)</f>
        <v>Shop</v>
      </c>
      <c r="BE30" s="22">
        <f t="shared" si="155"/>
        <v>0</v>
      </c>
      <c r="BF30" s="22" t="str">
        <f t="shared" si="155"/>
        <v>Parking</v>
      </c>
      <c r="BG30" s="22">
        <f t="shared" si="155"/>
        <v>0</v>
      </c>
      <c r="BH30" s="22" t="str">
        <f>IFERROR(__xludf.DUMMYFUNCTION("""COMPUTED_VALUE"""),"Adornesdomein")</f>
        <v>Adornesdomein</v>
      </c>
      <c r="BI30" s="24">
        <f>IFERROR(__xludf.DUMMYFUNCTION("""COMPUTED_VALUE"""),10.0)</f>
        <v>10</v>
      </c>
      <c r="BJ30" s="22" t="b">
        <f>IFERROR(__xludf.DUMMYFUNCTION("""COMPUTED_VALUE"""),FALSE)</f>
        <v>0</v>
      </c>
      <c r="BK30" s="22" t="b">
        <f>IFERROR(__xludf.DUMMYFUNCTION("""COMPUTED_VALUE"""),FALSE)</f>
        <v>0</v>
      </c>
      <c r="BL30" s="22"/>
      <c r="BM30" s="22">
        <f>IFERROR(__xludf.DUMMYFUNCTION("""COMPUTED_VALUE"""),0.0)</f>
        <v>0</v>
      </c>
      <c r="BN30" s="22">
        <f>IFERROR(__xludf.DUMMYFUNCTION("""COMPUTED_VALUE"""),1.0)</f>
        <v>1</v>
      </c>
      <c r="BO30" s="22">
        <f>IFERROR(__xludf.DUMMYFUNCTION("""COMPUTED_VALUE"""),0.0)</f>
        <v>0</v>
      </c>
      <c r="BP30" s="22">
        <f>IFERROR(__xludf.DUMMYFUNCTION("""COMPUTED_VALUE"""),0.0)</f>
        <v>0</v>
      </c>
      <c r="BQ30" s="22">
        <f>IFERROR(__xludf.DUMMYFUNCTION("""COMPUTED_VALUE"""),0.0)</f>
        <v>0</v>
      </c>
      <c r="BR30" s="22">
        <f>IFERROR(__xludf.DUMMYFUNCTION("""COMPUTED_VALUE"""),0.0)</f>
        <v>0</v>
      </c>
      <c r="BS30" s="22">
        <f>IFERROR(__xludf.DUMMYFUNCTION("""COMPUTED_VALUE"""),1.0)</f>
        <v>1</v>
      </c>
      <c r="BT30" s="22">
        <f>IFERROR(__xludf.DUMMYFUNCTION("""COMPUTED_VALUE"""),0.0)</f>
        <v>0</v>
      </c>
      <c r="BU30" s="22">
        <f>IFERROR(__xludf.DUMMYFUNCTION("""COMPUTED_VALUE"""),2.0)</f>
        <v>2</v>
      </c>
      <c r="BV30" s="22">
        <f>IFERROR(__xludf.DUMMYFUNCTION("""COMPUTED_VALUE"""),1.0)</f>
        <v>1</v>
      </c>
      <c r="BW30" s="22">
        <f>IFERROR(__xludf.DUMMYFUNCTION("""COMPUTED_VALUE"""),1.0)</f>
        <v>1</v>
      </c>
      <c r="BX30" s="22">
        <f>IFERROR(__xludf.DUMMYFUNCTION("""COMPUTED_VALUE"""),1.0)</f>
        <v>1</v>
      </c>
      <c r="BY30" s="22">
        <f>IFERROR(__xludf.DUMMYFUNCTION("""COMPUTED_VALUE"""),0.0)</f>
        <v>0</v>
      </c>
      <c r="BZ30" s="22">
        <f>IFERROR(__xludf.DUMMYFUNCTION("""COMPUTED_VALUE"""),0.0)</f>
        <v>0</v>
      </c>
      <c r="CA30" s="22">
        <f>IFERROR(__xludf.DUMMYFUNCTION("""COMPUTED_VALUE"""),2.0)</f>
        <v>2</v>
      </c>
      <c r="CB30" s="22">
        <f>IFERROR(__xludf.DUMMYFUNCTION("""COMPUTED_VALUE"""),5.0)</f>
        <v>5</v>
      </c>
      <c r="CC30" s="61">
        <f>IFERROR(__xludf.DUMMYFUNCTION("""COMPUTED_VALUE"""),3.125)</f>
        <v>3.125</v>
      </c>
      <c r="CD30" s="62" t="str">
        <f>IFERROR(__xludf.DUMMYFUNCTION("""COMPUTED_VALUE"""),"good")</f>
        <v>good</v>
      </c>
      <c r="CE30" s="22" t="s">
        <v>66</v>
      </c>
      <c r="CF30" s="24">
        <v>10.0</v>
      </c>
      <c r="CG30" s="22" t="b">
        <v>0</v>
      </c>
      <c r="CH30" s="22" t="b">
        <v>0</v>
      </c>
      <c r="CI30" s="22"/>
      <c r="CJ30" s="22">
        <v>0.0</v>
      </c>
      <c r="CK30" s="22">
        <v>1.0</v>
      </c>
      <c r="CL30" s="22">
        <v>0.0</v>
      </c>
      <c r="CM30" s="22">
        <v>0.0</v>
      </c>
      <c r="CN30" s="22">
        <v>0.0</v>
      </c>
      <c r="CO30" s="22">
        <v>0.0</v>
      </c>
      <c r="CP30" s="22">
        <v>1.0</v>
      </c>
      <c r="CQ30" s="22">
        <v>0.0</v>
      </c>
      <c r="CR30" s="22">
        <v>2.0</v>
      </c>
      <c r="CS30" s="22">
        <v>1.0</v>
      </c>
      <c r="CT30" s="22">
        <v>1.0</v>
      </c>
      <c r="CU30" s="22">
        <v>1.0</v>
      </c>
      <c r="CV30" s="22">
        <v>0.0</v>
      </c>
      <c r="CW30" s="22">
        <v>0.0</v>
      </c>
      <c r="CX30" s="22">
        <v>2.0</v>
      </c>
      <c r="CY30" s="22">
        <v>5.0</v>
      </c>
      <c r="CZ30" s="61">
        <v>3.125</v>
      </c>
      <c r="DA30" s="62" t="s">
        <v>561</v>
      </c>
    </row>
    <row r="31">
      <c r="A31" s="16" t="s">
        <v>94</v>
      </c>
      <c r="B31" s="16"/>
      <c r="C31" s="16" t="s">
        <v>28</v>
      </c>
      <c r="D31" s="16" t="s">
        <v>95</v>
      </c>
      <c r="E31" s="17" t="b">
        <f t="shared" ref="E31:K31" si="156">If(IFERROR(SEARCH(E$1, $D31),0) &gt;= 1, true,false)</f>
        <v>1</v>
      </c>
      <c r="F31" s="17" t="b">
        <f t="shared" si="156"/>
        <v>0</v>
      </c>
      <c r="G31" s="17" t="b">
        <f t="shared" si="156"/>
        <v>0</v>
      </c>
      <c r="H31" s="17" t="b">
        <f t="shared" si="156"/>
        <v>0</v>
      </c>
      <c r="I31" s="17" t="b">
        <f t="shared" si="156"/>
        <v>0</v>
      </c>
      <c r="J31" s="17" t="b">
        <f t="shared" si="156"/>
        <v>1</v>
      </c>
      <c r="K31" s="17" t="b">
        <f t="shared" si="156"/>
        <v>0</v>
      </c>
      <c r="L31" s="18" t="b">
        <v>1</v>
      </c>
      <c r="M31" s="18" t="b">
        <v>0</v>
      </c>
      <c r="N31" s="18" t="b">
        <v>0</v>
      </c>
      <c r="O31" s="18" t="b">
        <v>0</v>
      </c>
      <c r="P31" s="16" t="str">
        <f t="shared" si="7"/>
        <v>HEY Museum</v>
      </c>
      <c r="Q31" s="19">
        <v>10.0</v>
      </c>
      <c r="R31" s="18" t="b">
        <v>0</v>
      </c>
      <c r="S31" s="18" t="b">
        <v>0</v>
      </c>
      <c r="T31" s="16"/>
      <c r="U31" s="21">
        <f t="shared" si="8"/>
        <v>0</v>
      </c>
      <c r="V31" s="21">
        <f t="shared" ref="V31:AB31" si="157">if(OR(AW31 = $AO$4, AW31 = $AQ$4), 1, 0)</f>
        <v>1</v>
      </c>
      <c r="W31" s="21">
        <f t="shared" si="157"/>
        <v>0</v>
      </c>
      <c r="X31" s="21">
        <f t="shared" si="157"/>
        <v>0</v>
      </c>
      <c r="Y31" s="21">
        <f t="shared" si="157"/>
        <v>0</v>
      </c>
      <c r="Z31" s="21">
        <f t="shared" si="157"/>
        <v>0</v>
      </c>
      <c r="AA31" s="21">
        <f t="shared" si="157"/>
        <v>1</v>
      </c>
      <c r="AB31" s="21">
        <f t="shared" si="157"/>
        <v>0</v>
      </c>
      <c r="AC31" s="21">
        <f t="shared" si="10"/>
        <v>2</v>
      </c>
      <c r="AD31" s="21">
        <f t="shared" si="11"/>
        <v>1</v>
      </c>
      <c r="AE31" s="21">
        <f t="shared" ref="AE31:AH31" si="158">if(OR(BD31 = $AO$6, BD31 = $AS$6, BD31 = $AT$6, BD31 = $AU$6), 1, 0)</f>
        <v>1</v>
      </c>
      <c r="AF31" s="21">
        <f t="shared" si="158"/>
        <v>0</v>
      </c>
      <c r="AG31" s="21">
        <f t="shared" si="158"/>
        <v>0</v>
      </c>
      <c r="AH31" s="21">
        <f t="shared" si="158"/>
        <v>0</v>
      </c>
      <c r="AI31" s="21">
        <f t="shared" si="13"/>
        <v>1</v>
      </c>
      <c r="AJ31" s="21">
        <f t="shared" si="14"/>
        <v>4</v>
      </c>
      <c r="AK31" s="59">
        <f t="shared" si="15"/>
        <v>2.5</v>
      </c>
      <c r="AL31" s="60" t="str">
        <f t="shared" si="16"/>
        <v>subpar</v>
      </c>
      <c r="AW31" s="22" t="str">
        <f t="shared" ref="AW31:BC31" si="159">IF(IFERROR(SEARCH(E$1, $D31),0) &gt;= 1, E$1,0)</f>
        <v>Geschiedenis en archeologie</v>
      </c>
      <c r="AX31" s="22">
        <f t="shared" si="159"/>
        <v>0</v>
      </c>
      <c r="AY31" s="22">
        <f t="shared" si="159"/>
        <v>0</v>
      </c>
      <c r="AZ31" s="22">
        <f t="shared" si="159"/>
        <v>0</v>
      </c>
      <c r="BA31" s="22">
        <f t="shared" si="159"/>
        <v>0</v>
      </c>
      <c r="BB31" s="22" t="str">
        <f t="shared" si="159"/>
        <v>Beeldende kunst</v>
      </c>
      <c r="BC31" s="22">
        <f t="shared" si="159"/>
        <v>0</v>
      </c>
      <c r="BD31" s="22" t="str">
        <f t="shared" ref="BD31:BG31" si="160">IF(L31 = true, BD$1, 0)</f>
        <v>Shop</v>
      </c>
      <c r="BE31" s="22">
        <f t="shared" si="160"/>
        <v>0</v>
      </c>
      <c r="BF31" s="22">
        <f t="shared" si="160"/>
        <v>0</v>
      </c>
      <c r="BG31" s="22">
        <f t="shared" si="160"/>
        <v>0</v>
      </c>
      <c r="BH31" s="22" t="str">
        <f>IFERROR(__xludf.DUMMYFUNCTION("""COMPUTED_VALUE"""),"Kasteel van Loppem")</f>
        <v>Kasteel van Loppem</v>
      </c>
      <c r="BI31" s="24">
        <f>IFERROR(__xludf.DUMMYFUNCTION("""COMPUTED_VALUE"""),9.0)</f>
        <v>9</v>
      </c>
      <c r="BJ31" s="22" t="b">
        <f>IFERROR(__xludf.DUMMYFUNCTION("""COMPUTED_VALUE"""),FALSE)</f>
        <v>0</v>
      </c>
      <c r="BK31" s="22" t="b">
        <f>IFERROR(__xludf.DUMMYFUNCTION("""COMPUTED_VALUE"""),FALSE)</f>
        <v>0</v>
      </c>
      <c r="BL31" s="22"/>
      <c r="BM31" s="22">
        <f>IFERROR(__xludf.DUMMYFUNCTION("""COMPUTED_VALUE"""),0.0)</f>
        <v>0</v>
      </c>
      <c r="BN31" s="22">
        <f>IFERROR(__xludf.DUMMYFUNCTION("""COMPUTED_VALUE"""),1.0)</f>
        <v>1</v>
      </c>
      <c r="BO31" s="22">
        <f>IFERROR(__xludf.DUMMYFUNCTION("""COMPUTED_VALUE"""),0.0)</f>
        <v>0</v>
      </c>
      <c r="BP31" s="22">
        <f>IFERROR(__xludf.DUMMYFUNCTION("""COMPUTED_VALUE"""),0.0)</f>
        <v>0</v>
      </c>
      <c r="BQ31" s="22">
        <f>IFERROR(__xludf.DUMMYFUNCTION("""COMPUTED_VALUE"""),0.0)</f>
        <v>0</v>
      </c>
      <c r="BR31" s="22">
        <f>IFERROR(__xludf.DUMMYFUNCTION("""COMPUTED_VALUE"""),0.0)</f>
        <v>0</v>
      </c>
      <c r="BS31" s="22">
        <f>IFERROR(__xludf.DUMMYFUNCTION("""COMPUTED_VALUE"""),1.0)</f>
        <v>1</v>
      </c>
      <c r="BT31" s="22">
        <f>IFERROR(__xludf.DUMMYFUNCTION("""COMPUTED_VALUE"""),0.0)</f>
        <v>0</v>
      </c>
      <c r="BU31" s="22">
        <f>IFERROR(__xludf.DUMMYFUNCTION("""COMPUTED_VALUE"""),2.0)</f>
        <v>2</v>
      </c>
      <c r="BV31" s="22">
        <f>IFERROR(__xludf.DUMMYFUNCTION("""COMPUTED_VALUE"""),1.0)</f>
        <v>1</v>
      </c>
      <c r="BW31" s="22">
        <f>IFERROR(__xludf.DUMMYFUNCTION("""COMPUTED_VALUE"""),1.0)</f>
        <v>1</v>
      </c>
      <c r="BX31" s="22">
        <f>IFERROR(__xludf.DUMMYFUNCTION("""COMPUTED_VALUE"""),0.0)</f>
        <v>0</v>
      </c>
      <c r="BY31" s="22">
        <f>IFERROR(__xludf.DUMMYFUNCTION("""COMPUTED_VALUE"""),1.0)</f>
        <v>1</v>
      </c>
      <c r="BZ31" s="22">
        <f>IFERROR(__xludf.DUMMYFUNCTION("""COMPUTED_VALUE"""),0.0)</f>
        <v>0</v>
      </c>
      <c r="CA31" s="22">
        <f>IFERROR(__xludf.DUMMYFUNCTION("""COMPUTED_VALUE"""),2.0)</f>
        <v>2</v>
      </c>
      <c r="CB31" s="22">
        <f>IFERROR(__xludf.DUMMYFUNCTION("""COMPUTED_VALUE"""),5.0)</f>
        <v>5</v>
      </c>
      <c r="CC31" s="61">
        <f>IFERROR(__xludf.DUMMYFUNCTION("""COMPUTED_VALUE"""),3.125)</f>
        <v>3.125</v>
      </c>
      <c r="CD31" s="62" t="str">
        <f>IFERROR(__xludf.DUMMYFUNCTION("""COMPUTED_VALUE"""),"good")</f>
        <v>good</v>
      </c>
      <c r="CE31" s="22" t="s">
        <v>103</v>
      </c>
      <c r="CF31" s="24">
        <v>9.0</v>
      </c>
      <c r="CG31" s="22" t="b">
        <v>0</v>
      </c>
      <c r="CH31" s="22" t="b">
        <v>0</v>
      </c>
      <c r="CI31" s="22"/>
      <c r="CJ31" s="22">
        <v>0.0</v>
      </c>
      <c r="CK31" s="22">
        <v>1.0</v>
      </c>
      <c r="CL31" s="22">
        <v>0.0</v>
      </c>
      <c r="CM31" s="22">
        <v>0.0</v>
      </c>
      <c r="CN31" s="22">
        <v>0.0</v>
      </c>
      <c r="CO31" s="22">
        <v>0.0</v>
      </c>
      <c r="CP31" s="22">
        <v>1.0</v>
      </c>
      <c r="CQ31" s="22">
        <v>0.0</v>
      </c>
      <c r="CR31" s="22">
        <v>2.0</v>
      </c>
      <c r="CS31" s="22">
        <v>1.0</v>
      </c>
      <c r="CT31" s="22">
        <v>1.0</v>
      </c>
      <c r="CU31" s="22">
        <v>0.0</v>
      </c>
      <c r="CV31" s="22">
        <v>1.0</v>
      </c>
      <c r="CW31" s="22">
        <v>0.0</v>
      </c>
      <c r="CX31" s="22">
        <v>2.0</v>
      </c>
      <c r="CY31" s="22">
        <v>5.0</v>
      </c>
      <c r="CZ31" s="61">
        <v>3.125</v>
      </c>
      <c r="DA31" s="62" t="s">
        <v>561</v>
      </c>
    </row>
    <row r="32">
      <c r="A32" s="16" t="s">
        <v>96</v>
      </c>
      <c r="B32" s="16" t="s">
        <v>97</v>
      </c>
      <c r="C32" s="16" t="s">
        <v>28</v>
      </c>
      <c r="D32" s="16" t="s">
        <v>4</v>
      </c>
      <c r="E32" s="17" t="b">
        <f t="shared" ref="E32:K32" si="161">If(IFERROR(SEARCH(E$1, $D32),0) &gt;= 1, true,false)</f>
        <v>1</v>
      </c>
      <c r="F32" s="17" t="b">
        <f t="shared" si="161"/>
        <v>0</v>
      </c>
      <c r="G32" s="17" t="b">
        <f t="shared" si="161"/>
        <v>0</v>
      </c>
      <c r="H32" s="17" t="b">
        <f t="shared" si="161"/>
        <v>0</v>
      </c>
      <c r="I32" s="17" t="b">
        <f t="shared" si="161"/>
        <v>0</v>
      </c>
      <c r="J32" s="17" t="b">
        <f t="shared" si="161"/>
        <v>0</v>
      </c>
      <c r="K32" s="17" t="b">
        <f t="shared" si="161"/>
        <v>0</v>
      </c>
      <c r="L32" s="18" t="b">
        <v>1</v>
      </c>
      <c r="M32" s="18" t="b">
        <v>1</v>
      </c>
      <c r="N32" s="18" t="b">
        <v>0</v>
      </c>
      <c r="O32" s="18" t="b">
        <v>0</v>
      </c>
      <c r="P32" s="16" t="str">
        <f t="shared" si="7"/>
        <v>Hopmuseum Poperinge</v>
      </c>
      <c r="Q32" s="19">
        <v>7.0</v>
      </c>
      <c r="R32" s="18" t="b">
        <v>0</v>
      </c>
      <c r="S32" s="18" t="b">
        <v>0</v>
      </c>
      <c r="T32" s="16"/>
      <c r="U32" s="21">
        <f t="shared" si="8"/>
        <v>0</v>
      </c>
      <c r="V32" s="21">
        <f t="shared" ref="V32:AB32" si="162">if(OR(AW32 = $AO$4, AW32 = $AQ$4), 1, 0)</f>
        <v>1</v>
      </c>
      <c r="W32" s="21">
        <f t="shared" si="162"/>
        <v>0</v>
      </c>
      <c r="X32" s="21">
        <f t="shared" si="162"/>
        <v>0</v>
      </c>
      <c r="Y32" s="21">
        <f t="shared" si="162"/>
        <v>0</v>
      </c>
      <c r="Z32" s="21">
        <f t="shared" si="162"/>
        <v>0</v>
      </c>
      <c r="AA32" s="21">
        <f t="shared" si="162"/>
        <v>0</v>
      </c>
      <c r="AB32" s="21">
        <f t="shared" si="162"/>
        <v>0</v>
      </c>
      <c r="AC32" s="21">
        <f t="shared" si="10"/>
        <v>1</v>
      </c>
      <c r="AD32" s="21">
        <f t="shared" si="11"/>
        <v>1</v>
      </c>
      <c r="AE32" s="21">
        <f t="shared" ref="AE32:AH32" si="163">if(OR(BD32 = $AO$6, BD32 = $AS$6, BD32 = $AT$6, BD32 = $AU$6), 1, 0)</f>
        <v>1</v>
      </c>
      <c r="AF32" s="21">
        <f t="shared" si="163"/>
        <v>1</v>
      </c>
      <c r="AG32" s="21">
        <f t="shared" si="163"/>
        <v>0</v>
      </c>
      <c r="AH32" s="21">
        <f t="shared" si="163"/>
        <v>0</v>
      </c>
      <c r="AI32" s="21">
        <f t="shared" si="13"/>
        <v>2</v>
      </c>
      <c r="AJ32" s="21">
        <f t="shared" si="14"/>
        <v>4</v>
      </c>
      <c r="AK32" s="59">
        <f t="shared" si="15"/>
        <v>2.5</v>
      </c>
      <c r="AL32" s="60" t="str">
        <f t="shared" si="16"/>
        <v>subpar</v>
      </c>
      <c r="AW32" s="22" t="str">
        <f t="shared" ref="AW32:BC32" si="164">IF(IFERROR(SEARCH(E$1, $D32),0) &gt;= 1, E$1,0)</f>
        <v>Geschiedenis en archeologie</v>
      </c>
      <c r="AX32" s="22">
        <f t="shared" si="164"/>
        <v>0</v>
      </c>
      <c r="AY32" s="22">
        <f t="shared" si="164"/>
        <v>0</v>
      </c>
      <c r="AZ32" s="22">
        <f t="shared" si="164"/>
        <v>0</v>
      </c>
      <c r="BA32" s="22">
        <f t="shared" si="164"/>
        <v>0</v>
      </c>
      <c r="BB32" s="22">
        <f t="shared" si="164"/>
        <v>0</v>
      </c>
      <c r="BC32" s="22">
        <f t="shared" si="164"/>
        <v>0</v>
      </c>
      <c r="BD32" s="22" t="str">
        <f t="shared" ref="BD32:BG32" si="165">IF(L32 = true, BD$1, 0)</f>
        <v>Shop</v>
      </c>
      <c r="BE32" s="22" t="str">
        <f t="shared" si="165"/>
        <v>Café</v>
      </c>
      <c r="BF32" s="22">
        <f t="shared" si="165"/>
        <v>0</v>
      </c>
      <c r="BG32" s="22">
        <f t="shared" si="165"/>
        <v>0</v>
      </c>
      <c r="BH32" s="22" t="str">
        <f>IFERROR(__xludf.DUMMYFUNCTION("""COMPUTED_VALUE"""),"KOERS | Museum van de Wielersport")</f>
        <v>KOERS | Museum van de Wielersport</v>
      </c>
      <c r="BI32" s="24">
        <f>IFERROR(__xludf.DUMMYFUNCTION("""COMPUTED_VALUE"""),9.0)</f>
        <v>9</v>
      </c>
      <c r="BJ32" s="22" t="b">
        <f>IFERROR(__xludf.DUMMYFUNCTION("""COMPUTED_VALUE"""),FALSE)</f>
        <v>0</v>
      </c>
      <c r="BK32" s="22" t="b">
        <f>IFERROR(__xludf.DUMMYFUNCTION("""COMPUTED_VALUE"""),FALSE)</f>
        <v>0</v>
      </c>
      <c r="BL32" s="22"/>
      <c r="BM32" s="22">
        <f>IFERROR(__xludf.DUMMYFUNCTION("""COMPUTED_VALUE"""),0.0)</f>
        <v>0</v>
      </c>
      <c r="BN32" s="22">
        <f>IFERROR(__xludf.DUMMYFUNCTION("""COMPUTED_VALUE"""),1.0)</f>
        <v>1</v>
      </c>
      <c r="BO32" s="22">
        <f>IFERROR(__xludf.DUMMYFUNCTION("""COMPUTED_VALUE"""),0.0)</f>
        <v>0</v>
      </c>
      <c r="BP32" s="22">
        <f>IFERROR(__xludf.DUMMYFUNCTION("""COMPUTED_VALUE"""),0.0)</f>
        <v>0</v>
      </c>
      <c r="BQ32" s="22">
        <f>IFERROR(__xludf.DUMMYFUNCTION("""COMPUTED_VALUE"""),0.0)</f>
        <v>0</v>
      </c>
      <c r="BR32" s="22">
        <f>IFERROR(__xludf.DUMMYFUNCTION("""COMPUTED_VALUE"""),0.0)</f>
        <v>0</v>
      </c>
      <c r="BS32" s="22">
        <f>IFERROR(__xludf.DUMMYFUNCTION("""COMPUTED_VALUE"""),0.0)</f>
        <v>0</v>
      </c>
      <c r="BT32" s="22">
        <f>IFERROR(__xludf.DUMMYFUNCTION("""COMPUTED_VALUE"""),0.0)</f>
        <v>0</v>
      </c>
      <c r="BU32" s="22">
        <f>IFERROR(__xludf.DUMMYFUNCTION("""COMPUTED_VALUE"""),1.0)</f>
        <v>1</v>
      </c>
      <c r="BV32" s="22">
        <f>IFERROR(__xludf.DUMMYFUNCTION("""COMPUTED_VALUE"""),1.0)</f>
        <v>1</v>
      </c>
      <c r="BW32" s="22">
        <f>IFERROR(__xludf.DUMMYFUNCTION("""COMPUTED_VALUE"""),1.0)</f>
        <v>1</v>
      </c>
      <c r="BX32" s="22">
        <f>IFERROR(__xludf.DUMMYFUNCTION("""COMPUTED_VALUE"""),1.0)</f>
        <v>1</v>
      </c>
      <c r="BY32" s="22">
        <f>IFERROR(__xludf.DUMMYFUNCTION("""COMPUTED_VALUE"""),0.0)</f>
        <v>0</v>
      </c>
      <c r="BZ32" s="22">
        <f>IFERROR(__xludf.DUMMYFUNCTION("""COMPUTED_VALUE"""),1.0)</f>
        <v>1</v>
      </c>
      <c r="CA32" s="22">
        <f>IFERROR(__xludf.DUMMYFUNCTION("""COMPUTED_VALUE"""),3.0)</f>
        <v>3</v>
      </c>
      <c r="CB32" s="22">
        <f>IFERROR(__xludf.DUMMYFUNCTION("""COMPUTED_VALUE"""),5.0)</f>
        <v>5</v>
      </c>
      <c r="CC32" s="61">
        <f>IFERROR(__xludf.DUMMYFUNCTION("""COMPUTED_VALUE"""),3.125)</f>
        <v>3.125</v>
      </c>
      <c r="CD32" s="62" t="str">
        <f>IFERROR(__xludf.DUMMYFUNCTION("""COMPUTED_VALUE"""),"good")</f>
        <v>good</v>
      </c>
      <c r="CE32" s="22" t="s">
        <v>105</v>
      </c>
      <c r="CF32" s="24">
        <v>9.0</v>
      </c>
      <c r="CG32" s="22" t="b">
        <v>0</v>
      </c>
      <c r="CH32" s="22" t="b">
        <v>0</v>
      </c>
      <c r="CI32" s="22"/>
      <c r="CJ32" s="22">
        <v>0.0</v>
      </c>
      <c r="CK32" s="22">
        <v>1.0</v>
      </c>
      <c r="CL32" s="22">
        <v>0.0</v>
      </c>
      <c r="CM32" s="22">
        <v>0.0</v>
      </c>
      <c r="CN32" s="22">
        <v>0.0</v>
      </c>
      <c r="CO32" s="22">
        <v>0.0</v>
      </c>
      <c r="CP32" s="22">
        <v>0.0</v>
      </c>
      <c r="CQ32" s="22">
        <v>0.0</v>
      </c>
      <c r="CR32" s="22">
        <v>1.0</v>
      </c>
      <c r="CS32" s="22">
        <v>1.0</v>
      </c>
      <c r="CT32" s="22">
        <v>1.0</v>
      </c>
      <c r="CU32" s="22">
        <v>1.0</v>
      </c>
      <c r="CV32" s="22">
        <v>0.0</v>
      </c>
      <c r="CW32" s="22">
        <v>1.0</v>
      </c>
      <c r="CX32" s="22">
        <v>3.0</v>
      </c>
      <c r="CY32" s="22">
        <v>5.0</v>
      </c>
      <c r="CZ32" s="61">
        <v>3.125</v>
      </c>
      <c r="DA32" s="62" t="s">
        <v>561</v>
      </c>
    </row>
    <row r="33">
      <c r="A33" s="16" t="s">
        <v>98</v>
      </c>
      <c r="B33" s="16" t="s">
        <v>99</v>
      </c>
      <c r="C33" s="16" t="s">
        <v>28</v>
      </c>
      <c r="D33" s="16" t="s">
        <v>4</v>
      </c>
      <c r="E33" s="17" t="b">
        <f t="shared" ref="E33:K33" si="166">If(IFERROR(SEARCH(E$1, $D33),0) &gt;= 1, true,false)</f>
        <v>1</v>
      </c>
      <c r="F33" s="17" t="b">
        <f t="shared" si="166"/>
        <v>0</v>
      </c>
      <c r="G33" s="17" t="b">
        <f t="shared" si="166"/>
        <v>0</v>
      </c>
      <c r="H33" s="17" t="b">
        <f t="shared" si="166"/>
        <v>0</v>
      </c>
      <c r="I33" s="17" t="b">
        <f t="shared" si="166"/>
        <v>0</v>
      </c>
      <c r="J33" s="17" t="b">
        <f t="shared" si="166"/>
        <v>0</v>
      </c>
      <c r="K33" s="17" t="b">
        <f t="shared" si="166"/>
        <v>0</v>
      </c>
      <c r="L33" s="18" t="b">
        <v>1</v>
      </c>
      <c r="M33" s="18" t="b">
        <v>1</v>
      </c>
      <c r="N33" s="18" t="b">
        <v>0</v>
      </c>
      <c r="O33" s="18" t="b">
        <v>0</v>
      </c>
      <c r="P33" s="16" t="str">
        <f t="shared" si="7"/>
        <v>In Flanders Fields Museum</v>
      </c>
      <c r="Q33" s="19">
        <v>12.0</v>
      </c>
      <c r="R33" s="18" t="b">
        <v>0</v>
      </c>
      <c r="S33" s="18" t="b">
        <v>1</v>
      </c>
      <c r="T33" s="30">
        <v>12.0</v>
      </c>
      <c r="U33" s="21">
        <f t="shared" si="8"/>
        <v>0</v>
      </c>
      <c r="V33" s="21">
        <f t="shared" ref="V33:AB33" si="167">if(OR(AW33 = $AO$4, AW33 = $AQ$4), 1, 0)</f>
        <v>1</v>
      </c>
      <c r="W33" s="21">
        <f t="shared" si="167"/>
        <v>0</v>
      </c>
      <c r="X33" s="21">
        <f t="shared" si="167"/>
        <v>0</v>
      </c>
      <c r="Y33" s="21">
        <f t="shared" si="167"/>
        <v>0</v>
      </c>
      <c r="Z33" s="21">
        <f t="shared" si="167"/>
        <v>0</v>
      </c>
      <c r="AA33" s="21">
        <f t="shared" si="167"/>
        <v>0</v>
      </c>
      <c r="AB33" s="21">
        <f t="shared" si="167"/>
        <v>0</v>
      </c>
      <c r="AC33" s="21">
        <f t="shared" si="10"/>
        <v>1</v>
      </c>
      <c r="AD33" s="21">
        <f t="shared" si="11"/>
        <v>0</v>
      </c>
      <c r="AE33" s="21">
        <f t="shared" ref="AE33:AH33" si="168">if(OR(BD33 = $AO$6, BD33 = $AS$6, BD33 = $AT$6, BD33 = $AU$6), 1, 0)</f>
        <v>1</v>
      </c>
      <c r="AF33" s="21">
        <f t="shared" si="168"/>
        <v>1</v>
      </c>
      <c r="AG33" s="21">
        <f t="shared" si="168"/>
        <v>0</v>
      </c>
      <c r="AH33" s="21">
        <f t="shared" si="168"/>
        <v>0</v>
      </c>
      <c r="AI33" s="21">
        <f t="shared" si="13"/>
        <v>2</v>
      </c>
      <c r="AJ33" s="21">
        <f t="shared" si="14"/>
        <v>3</v>
      </c>
      <c r="AK33" s="59">
        <f t="shared" si="15"/>
        <v>1.875</v>
      </c>
      <c r="AL33" s="60" t="str">
        <f t="shared" si="16"/>
        <v>subpar</v>
      </c>
      <c r="AW33" s="22" t="str">
        <f t="shared" ref="AW33:BC33" si="169">IF(IFERROR(SEARCH(E$1, $D33),0) &gt;= 1, E$1,0)</f>
        <v>Geschiedenis en archeologie</v>
      </c>
      <c r="AX33" s="22">
        <f t="shared" si="169"/>
        <v>0</v>
      </c>
      <c r="AY33" s="22">
        <f t="shared" si="169"/>
        <v>0</v>
      </c>
      <c r="AZ33" s="22">
        <f t="shared" si="169"/>
        <v>0</v>
      </c>
      <c r="BA33" s="22">
        <f t="shared" si="169"/>
        <v>0</v>
      </c>
      <c r="BB33" s="22">
        <f t="shared" si="169"/>
        <v>0</v>
      </c>
      <c r="BC33" s="22">
        <f t="shared" si="169"/>
        <v>0</v>
      </c>
      <c r="BD33" s="22" t="str">
        <f t="shared" ref="BD33:BG33" si="170">IF(L33 = true, BD$1, 0)</f>
        <v>Shop</v>
      </c>
      <c r="BE33" s="22" t="str">
        <f t="shared" si="170"/>
        <v>Café</v>
      </c>
      <c r="BF33" s="22">
        <f t="shared" si="170"/>
        <v>0</v>
      </c>
      <c r="BG33" s="22">
        <f t="shared" si="170"/>
        <v>0</v>
      </c>
      <c r="BH33" s="22" t="str">
        <f>IFERROR(__xludf.DUMMYFUNCTION("""COMPUTED_VALUE"""),"Museum aan de IJzer")</f>
        <v>Museum aan de IJzer</v>
      </c>
      <c r="BI33" s="24">
        <f>IFERROR(__xludf.DUMMYFUNCTION("""COMPUTED_VALUE"""),9.5)</f>
        <v>9.5</v>
      </c>
      <c r="BJ33" s="22" t="b">
        <f>IFERROR(__xludf.DUMMYFUNCTION("""COMPUTED_VALUE"""),FALSE)</f>
        <v>0</v>
      </c>
      <c r="BK33" s="22" t="b">
        <f>IFERROR(__xludf.DUMMYFUNCTION("""COMPUTED_VALUE"""),TRUE)</f>
        <v>1</v>
      </c>
      <c r="BL33" s="24">
        <f>IFERROR(__xludf.DUMMYFUNCTION("""COMPUTED_VALUE"""),9.5)</f>
        <v>9.5</v>
      </c>
      <c r="BM33" s="22">
        <f>IFERROR(__xludf.DUMMYFUNCTION("""COMPUTED_VALUE"""),0.0)</f>
        <v>0</v>
      </c>
      <c r="BN33" s="22">
        <f>IFERROR(__xludf.DUMMYFUNCTION("""COMPUTED_VALUE"""),1.0)</f>
        <v>1</v>
      </c>
      <c r="BO33" s="22">
        <f>IFERROR(__xludf.DUMMYFUNCTION("""COMPUTED_VALUE"""),0.0)</f>
        <v>0</v>
      </c>
      <c r="BP33" s="22">
        <f>IFERROR(__xludf.DUMMYFUNCTION("""COMPUTED_VALUE"""),0.0)</f>
        <v>0</v>
      </c>
      <c r="BQ33" s="22">
        <f>IFERROR(__xludf.DUMMYFUNCTION("""COMPUTED_VALUE"""),0.0)</f>
        <v>0</v>
      </c>
      <c r="BR33" s="22">
        <f>IFERROR(__xludf.DUMMYFUNCTION("""COMPUTED_VALUE"""),0.0)</f>
        <v>0</v>
      </c>
      <c r="BS33" s="22">
        <f>IFERROR(__xludf.DUMMYFUNCTION("""COMPUTED_VALUE"""),0.0)</f>
        <v>0</v>
      </c>
      <c r="BT33" s="22">
        <f>IFERROR(__xludf.DUMMYFUNCTION("""COMPUTED_VALUE"""),0.0)</f>
        <v>0</v>
      </c>
      <c r="BU33" s="22">
        <f>IFERROR(__xludf.DUMMYFUNCTION("""COMPUTED_VALUE"""),1.0)</f>
        <v>1</v>
      </c>
      <c r="BV33" s="22">
        <f>IFERROR(__xludf.DUMMYFUNCTION("""COMPUTED_VALUE"""),1.0)</f>
        <v>1</v>
      </c>
      <c r="BW33" s="22">
        <f>IFERROR(__xludf.DUMMYFUNCTION("""COMPUTED_VALUE"""),1.0)</f>
        <v>1</v>
      </c>
      <c r="BX33" s="22">
        <f>IFERROR(__xludf.DUMMYFUNCTION("""COMPUTED_VALUE"""),1.0)</f>
        <v>1</v>
      </c>
      <c r="BY33" s="22">
        <f>IFERROR(__xludf.DUMMYFUNCTION("""COMPUTED_VALUE"""),1.0)</f>
        <v>1</v>
      </c>
      <c r="BZ33" s="22">
        <f>IFERROR(__xludf.DUMMYFUNCTION("""COMPUTED_VALUE"""),0.0)</f>
        <v>0</v>
      </c>
      <c r="CA33" s="22">
        <f>IFERROR(__xludf.DUMMYFUNCTION("""COMPUTED_VALUE"""),3.0)</f>
        <v>3</v>
      </c>
      <c r="CB33" s="22">
        <f>IFERROR(__xludf.DUMMYFUNCTION("""COMPUTED_VALUE"""),5.0)</f>
        <v>5</v>
      </c>
      <c r="CC33" s="61">
        <f>IFERROR(__xludf.DUMMYFUNCTION("""COMPUTED_VALUE"""),3.125)</f>
        <v>3.125</v>
      </c>
      <c r="CD33" s="62" t="str">
        <f>IFERROR(__xludf.DUMMYFUNCTION("""COMPUTED_VALUE"""),"good")</f>
        <v>good</v>
      </c>
      <c r="CE33" s="22" t="s">
        <v>108</v>
      </c>
      <c r="CF33" s="24">
        <v>9.5</v>
      </c>
      <c r="CG33" s="22" t="b">
        <v>0</v>
      </c>
      <c r="CH33" s="22" t="b">
        <v>1</v>
      </c>
      <c r="CI33" s="24">
        <v>9.5</v>
      </c>
      <c r="CJ33" s="22">
        <v>0.0</v>
      </c>
      <c r="CK33" s="22">
        <v>1.0</v>
      </c>
      <c r="CL33" s="22">
        <v>0.0</v>
      </c>
      <c r="CM33" s="22">
        <v>0.0</v>
      </c>
      <c r="CN33" s="22">
        <v>0.0</v>
      </c>
      <c r="CO33" s="22">
        <v>0.0</v>
      </c>
      <c r="CP33" s="22">
        <v>0.0</v>
      </c>
      <c r="CQ33" s="22">
        <v>0.0</v>
      </c>
      <c r="CR33" s="22">
        <v>1.0</v>
      </c>
      <c r="CS33" s="22">
        <v>1.0</v>
      </c>
      <c r="CT33" s="22">
        <v>1.0</v>
      </c>
      <c r="CU33" s="22">
        <v>1.0</v>
      </c>
      <c r="CV33" s="22">
        <v>1.0</v>
      </c>
      <c r="CW33" s="22">
        <v>0.0</v>
      </c>
      <c r="CX33" s="22">
        <v>3.0</v>
      </c>
      <c r="CY33" s="22">
        <v>5.0</v>
      </c>
      <c r="CZ33" s="61">
        <v>3.125</v>
      </c>
      <c r="DA33" s="62" t="s">
        <v>561</v>
      </c>
    </row>
    <row r="34">
      <c r="A34" s="16" t="s">
        <v>100</v>
      </c>
      <c r="B34" s="16" t="s">
        <v>101</v>
      </c>
      <c r="C34" s="16" t="s">
        <v>28</v>
      </c>
      <c r="D34" s="16" t="s">
        <v>102</v>
      </c>
      <c r="E34" s="17" t="b">
        <f t="shared" ref="E34:K34" si="171">If(IFERROR(SEARCH(E$1, $D34),0) &gt;= 1, true,false)</f>
        <v>1</v>
      </c>
      <c r="F34" s="17" t="b">
        <f t="shared" si="171"/>
        <v>0</v>
      </c>
      <c r="G34" s="17" t="b">
        <f t="shared" si="171"/>
        <v>1</v>
      </c>
      <c r="H34" s="17" t="b">
        <f t="shared" si="171"/>
        <v>0</v>
      </c>
      <c r="I34" s="17" t="b">
        <f t="shared" si="171"/>
        <v>0</v>
      </c>
      <c r="J34" s="17" t="b">
        <f t="shared" si="171"/>
        <v>0</v>
      </c>
      <c r="K34" s="17" t="b">
        <f t="shared" si="171"/>
        <v>1</v>
      </c>
      <c r="L34" s="18" t="b">
        <v>1</v>
      </c>
      <c r="M34" s="18" t="b">
        <v>0</v>
      </c>
      <c r="N34" s="18" t="b">
        <v>0</v>
      </c>
      <c r="O34" s="18" t="b">
        <v>0</v>
      </c>
      <c r="P34" s="16" t="str">
        <f t="shared" si="7"/>
        <v>Kantmuseum Brugge</v>
      </c>
      <c r="Q34" s="19">
        <v>8.0</v>
      </c>
      <c r="R34" s="18" t="b">
        <v>0</v>
      </c>
      <c r="S34" s="18" t="b">
        <v>0</v>
      </c>
      <c r="T34" s="21"/>
      <c r="U34" s="21">
        <f t="shared" si="8"/>
        <v>0</v>
      </c>
      <c r="V34" s="21">
        <f t="shared" ref="V34:AB34" si="172">if(OR(AW34 = $AO$4, AW34 = $AQ$4), 1, 0)</f>
        <v>1</v>
      </c>
      <c r="W34" s="21">
        <f t="shared" si="172"/>
        <v>0</v>
      </c>
      <c r="X34" s="21">
        <f t="shared" si="172"/>
        <v>0</v>
      </c>
      <c r="Y34" s="21">
        <f t="shared" si="172"/>
        <v>0</v>
      </c>
      <c r="Z34" s="21">
        <f t="shared" si="172"/>
        <v>0</v>
      </c>
      <c r="AA34" s="21">
        <f t="shared" si="172"/>
        <v>0</v>
      </c>
      <c r="AB34" s="21">
        <f t="shared" si="172"/>
        <v>0</v>
      </c>
      <c r="AC34" s="21">
        <f t="shared" si="10"/>
        <v>1</v>
      </c>
      <c r="AD34" s="21">
        <f t="shared" si="11"/>
        <v>1</v>
      </c>
      <c r="AE34" s="21">
        <f t="shared" ref="AE34:AH34" si="173">if(OR(BD34 = $AO$6, BD34 = $AS$6, BD34 = $AT$6, BD34 = $AU$6), 1, 0)</f>
        <v>1</v>
      </c>
      <c r="AF34" s="21">
        <f t="shared" si="173"/>
        <v>0</v>
      </c>
      <c r="AG34" s="21">
        <f t="shared" si="173"/>
        <v>0</v>
      </c>
      <c r="AH34" s="21">
        <f t="shared" si="173"/>
        <v>0</v>
      </c>
      <c r="AI34" s="21">
        <f t="shared" si="13"/>
        <v>1</v>
      </c>
      <c r="AJ34" s="21">
        <f t="shared" si="14"/>
        <v>3</v>
      </c>
      <c r="AK34" s="59">
        <f t="shared" si="15"/>
        <v>1.875</v>
      </c>
      <c r="AL34" s="60" t="str">
        <f t="shared" si="16"/>
        <v>subpar</v>
      </c>
      <c r="AW34" s="22" t="str">
        <f t="shared" ref="AW34:BC34" si="174">IF(IFERROR(SEARCH(E$1, $D34),0) &gt;= 1, E$1,0)</f>
        <v>Geschiedenis en archeologie</v>
      </c>
      <c r="AX34" s="22">
        <f t="shared" si="174"/>
        <v>0</v>
      </c>
      <c r="AY34" s="22" t="str">
        <f t="shared" si="174"/>
        <v>Mode</v>
      </c>
      <c r="AZ34" s="22">
        <f t="shared" si="174"/>
        <v>0</v>
      </c>
      <c r="BA34" s="22">
        <f t="shared" si="174"/>
        <v>0</v>
      </c>
      <c r="BB34" s="22">
        <f t="shared" si="174"/>
        <v>0</v>
      </c>
      <c r="BC34" s="22" t="str">
        <f t="shared" si="174"/>
        <v>Toegepaste kunst en design</v>
      </c>
      <c r="BD34" s="22" t="str">
        <f t="shared" ref="BD34:BG34" si="175">IF(L34 = true, BD$1, 0)</f>
        <v>Shop</v>
      </c>
      <c r="BE34" s="22">
        <f t="shared" si="175"/>
        <v>0</v>
      </c>
      <c r="BF34" s="22">
        <f t="shared" si="175"/>
        <v>0</v>
      </c>
      <c r="BG34" s="22">
        <f t="shared" si="175"/>
        <v>0</v>
      </c>
      <c r="BH34" s="22" t="str">
        <f>IFERROR(__xludf.DUMMYFUNCTION("""COMPUTED_VALUE"""),"Romeins Archeologisch Museum Oudenburg")</f>
        <v>Romeins Archeologisch Museum Oudenburg</v>
      </c>
      <c r="BI34" s="24">
        <f>IFERROR(__xludf.DUMMYFUNCTION("""COMPUTED_VALUE"""),8.0)</f>
        <v>8</v>
      </c>
      <c r="BJ34" s="22" t="b">
        <f>IFERROR(__xludf.DUMMYFUNCTION("""COMPUTED_VALUE"""),FALSE)</f>
        <v>0</v>
      </c>
      <c r="BK34" s="22" t="b">
        <f>IFERROR(__xludf.DUMMYFUNCTION("""COMPUTED_VALUE"""),FALSE)</f>
        <v>0</v>
      </c>
      <c r="BL34" s="22"/>
      <c r="BM34" s="22">
        <f>IFERROR(__xludf.DUMMYFUNCTION("""COMPUTED_VALUE"""),0.0)</f>
        <v>0</v>
      </c>
      <c r="BN34" s="22">
        <f>IFERROR(__xludf.DUMMYFUNCTION("""COMPUTED_VALUE"""),1.0)</f>
        <v>1</v>
      </c>
      <c r="BO34" s="22">
        <f>IFERROR(__xludf.DUMMYFUNCTION("""COMPUTED_VALUE"""),0.0)</f>
        <v>0</v>
      </c>
      <c r="BP34" s="22">
        <f>IFERROR(__xludf.DUMMYFUNCTION("""COMPUTED_VALUE"""),0.0)</f>
        <v>0</v>
      </c>
      <c r="BQ34" s="22">
        <f>IFERROR(__xludf.DUMMYFUNCTION("""COMPUTED_VALUE"""),0.0)</f>
        <v>0</v>
      </c>
      <c r="BR34" s="22">
        <f>IFERROR(__xludf.DUMMYFUNCTION("""COMPUTED_VALUE"""),0.0)</f>
        <v>0</v>
      </c>
      <c r="BS34" s="22">
        <f>IFERROR(__xludf.DUMMYFUNCTION("""COMPUTED_VALUE"""),0.0)</f>
        <v>0</v>
      </c>
      <c r="BT34" s="22">
        <f>IFERROR(__xludf.DUMMYFUNCTION("""COMPUTED_VALUE"""),0.0)</f>
        <v>0</v>
      </c>
      <c r="BU34" s="22">
        <f>IFERROR(__xludf.DUMMYFUNCTION("""COMPUTED_VALUE"""),1.0)</f>
        <v>1</v>
      </c>
      <c r="BV34" s="22">
        <f>IFERROR(__xludf.DUMMYFUNCTION("""COMPUTED_VALUE"""),1.0)</f>
        <v>1</v>
      </c>
      <c r="BW34" s="22">
        <f>IFERROR(__xludf.DUMMYFUNCTION("""COMPUTED_VALUE"""),1.0)</f>
        <v>1</v>
      </c>
      <c r="BX34" s="22">
        <f>IFERROR(__xludf.DUMMYFUNCTION("""COMPUTED_VALUE"""),1.0)</f>
        <v>1</v>
      </c>
      <c r="BY34" s="22">
        <f>IFERROR(__xludf.DUMMYFUNCTION("""COMPUTED_VALUE"""),1.0)</f>
        <v>1</v>
      </c>
      <c r="BZ34" s="22">
        <f>IFERROR(__xludf.DUMMYFUNCTION("""COMPUTED_VALUE"""),0.0)</f>
        <v>0</v>
      </c>
      <c r="CA34" s="22">
        <f>IFERROR(__xludf.DUMMYFUNCTION("""COMPUTED_VALUE"""),3.0)</f>
        <v>3</v>
      </c>
      <c r="CB34" s="22">
        <f>IFERROR(__xludf.DUMMYFUNCTION("""COMPUTED_VALUE"""),5.0)</f>
        <v>5</v>
      </c>
      <c r="CC34" s="61">
        <f>IFERROR(__xludf.DUMMYFUNCTION("""COMPUTED_VALUE"""),3.125)</f>
        <v>3.125</v>
      </c>
      <c r="CD34" s="62" t="str">
        <f>IFERROR(__xludf.DUMMYFUNCTION("""COMPUTED_VALUE"""),"good")</f>
        <v>good</v>
      </c>
      <c r="CE34" s="22" t="s">
        <v>129</v>
      </c>
      <c r="CF34" s="24">
        <v>8.0</v>
      </c>
      <c r="CG34" s="22" t="b">
        <v>0</v>
      </c>
      <c r="CH34" s="22" t="b">
        <v>0</v>
      </c>
      <c r="CI34" s="22"/>
      <c r="CJ34" s="22">
        <v>0.0</v>
      </c>
      <c r="CK34" s="22">
        <v>1.0</v>
      </c>
      <c r="CL34" s="22">
        <v>0.0</v>
      </c>
      <c r="CM34" s="22">
        <v>0.0</v>
      </c>
      <c r="CN34" s="22">
        <v>0.0</v>
      </c>
      <c r="CO34" s="22">
        <v>0.0</v>
      </c>
      <c r="CP34" s="22">
        <v>0.0</v>
      </c>
      <c r="CQ34" s="22">
        <v>0.0</v>
      </c>
      <c r="CR34" s="22">
        <v>1.0</v>
      </c>
      <c r="CS34" s="22">
        <v>1.0</v>
      </c>
      <c r="CT34" s="22">
        <v>1.0</v>
      </c>
      <c r="CU34" s="22">
        <v>1.0</v>
      </c>
      <c r="CV34" s="22">
        <v>1.0</v>
      </c>
      <c r="CW34" s="22">
        <v>0.0</v>
      </c>
      <c r="CX34" s="22">
        <v>3.0</v>
      </c>
      <c r="CY34" s="22">
        <v>5.0</v>
      </c>
      <c r="CZ34" s="61">
        <v>3.125</v>
      </c>
      <c r="DA34" s="62" t="s">
        <v>561</v>
      </c>
    </row>
    <row r="35">
      <c r="A35" s="16" t="s">
        <v>103</v>
      </c>
      <c r="B35" s="16" t="s">
        <v>104</v>
      </c>
      <c r="C35" s="16" t="s">
        <v>28</v>
      </c>
      <c r="D35" s="16" t="s">
        <v>95</v>
      </c>
      <c r="E35" s="17" t="b">
        <f t="shared" ref="E35:K35" si="176">If(IFERROR(SEARCH(E$1, $D35),0) &gt;= 1, true,false)</f>
        <v>1</v>
      </c>
      <c r="F35" s="17" t="b">
        <f t="shared" si="176"/>
        <v>0</v>
      </c>
      <c r="G35" s="17" t="b">
        <f t="shared" si="176"/>
        <v>0</v>
      </c>
      <c r="H35" s="17" t="b">
        <f t="shared" si="176"/>
        <v>0</v>
      </c>
      <c r="I35" s="17" t="b">
        <f t="shared" si="176"/>
        <v>0</v>
      </c>
      <c r="J35" s="17" t="b">
        <f t="shared" si="176"/>
        <v>1</v>
      </c>
      <c r="K35" s="17" t="b">
        <f t="shared" si="176"/>
        <v>0</v>
      </c>
      <c r="L35" s="18" t="b">
        <v>1</v>
      </c>
      <c r="M35" s="18" t="b">
        <v>0</v>
      </c>
      <c r="N35" s="18" t="b">
        <v>1</v>
      </c>
      <c r="O35" s="18" t="b">
        <v>0</v>
      </c>
      <c r="P35" s="16" t="str">
        <f t="shared" si="7"/>
        <v>Kasteel van Loppem</v>
      </c>
      <c r="Q35" s="19">
        <v>9.0</v>
      </c>
      <c r="R35" s="18" t="b">
        <v>0</v>
      </c>
      <c r="S35" s="18" t="b">
        <v>0</v>
      </c>
      <c r="T35" s="21"/>
      <c r="U35" s="21">
        <f t="shared" si="8"/>
        <v>0</v>
      </c>
      <c r="V35" s="21">
        <f t="shared" ref="V35:AB35" si="177">if(OR(AW35 = $AO$4, AW35 = $AQ$4), 1, 0)</f>
        <v>1</v>
      </c>
      <c r="W35" s="21">
        <f t="shared" si="177"/>
        <v>0</v>
      </c>
      <c r="X35" s="21">
        <f t="shared" si="177"/>
        <v>0</v>
      </c>
      <c r="Y35" s="21">
        <f t="shared" si="177"/>
        <v>0</v>
      </c>
      <c r="Z35" s="21">
        <f t="shared" si="177"/>
        <v>0</v>
      </c>
      <c r="AA35" s="21">
        <f t="shared" si="177"/>
        <v>1</v>
      </c>
      <c r="AB35" s="21">
        <f t="shared" si="177"/>
        <v>0</v>
      </c>
      <c r="AC35" s="21">
        <f t="shared" si="10"/>
        <v>2</v>
      </c>
      <c r="AD35" s="21">
        <f t="shared" si="11"/>
        <v>1</v>
      </c>
      <c r="AE35" s="21">
        <f t="shared" ref="AE35:AH35" si="178">if(OR(BD35 = $AO$6, BD35 = $AS$6, BD35 = $AT$6, BD35 = $AU$6), 1, 0)</f>
        <v>1</v>
      </c>
      <c r="AF35" s="21">
        <f t="shared" si="178"/>
        <v>0</v>
      </c>
      <c r="AG35" s="21">
        <f t="shared" si="178"/>
        <v>1</v>
      </c>
      <c r="AH35" s="21">
        <f t="shared" si="178"/>
        <v>0</v>
      </c>
      <c r="AI35" s="21">
        <f t="shared" si="13"/>
        <v>2</v>
      </c>
      <c r="AJ35" s="21">
        <f t="shared" si="14"/>
        <v>5</v>
      </c>
      <c r="AK35" s="59">
        <f t="shared" si="15"/>
        <v>3.125</v>
      </c>
      <c r="AL35" s="60" t="str">
        <f t="shared" si="16"/>
        <v>good</v>
      </c>
      <c r="AW35" s="22" t="str">
        <f t="shared" ref="AW35:BC35" si="179">IF(IFERROR(SEARCH(E$1, $D35),0) &gt;= 1, E$1,0)</f>
        <v>Geschiedenis en archeologie</v>
      </c>
      <c r="AX35" s="22">
        <f t="shared" si="179"/>
        <v>0</v>
      </c>
      <c r="AY35" s="22">
        <f t="shared" si="179"/>
        <v>0</v>
      </c>
      <c r="AZ35" s="22">
        <f t="shared" si="179"/>
        <v>0</v>
      </c>
      <c r="BA35" s="22">
        <f t="shared" si="179"/>
        <v>0</v>
      </c>
      <c r="BB35" s="22" t="str">
        <f t="shared" si="179"/>
        <v>Beeldende kunst</v>
      </c>
      <c r="BC35" s="22">
        <f t="shared" si="179"/>
        <v>0</v>
      </c>
      <c r="BD35" s="22" t="str">
        <f t="shared" ref="BD35:BG35" si="180">IF(L35 = true, BD$1, 0)</f>
        <v>Shop</v>
      </c>
      <c r="BE35" s="22">
        <f t="shared" si="180"/>
        <v>0</v>
      </c>
      <c r="BF35" s="22" t="str">
        <f t="shared" si="180"/>
        <v>Parking</v>
      </c>
      <c r="BG35" s="22">
        <f t="shared" si="180"/>
        <v>0</v>
      </c>
      <c r="BH35" s="22" t="str">
        <f>IFERROR(__xludf.DUMMYFUNCTION("""COMPUTED_VALUE"""),"Zwin Natuur Park")</f>
        <v>Zwin Natuur Park</v>
      </c>
      <c r="BI35" s="24">
        <f>IFERROR(__xludf.DUMMYFUNCTION("""COMPUTED_VALUE"""),12.0)</f>
        <v>12</v>
      </c>
      <c r="BJ35" s="22" t="b">
        <f>IFERROR(__xludf.DUMMYFUNCTION("""COMPUTED_VALUE"""),FALSE)</f>
        <v>0</v>
      </c>
      <c r="BK35" s="22" t="b">
        <f>IFERROR(__xludf.DUMMYFUNCTION("""COMPUTED_VALUE"""),TRUE)</f>
        <v>1</v>
      </c>
      <c r="BL35" s="24">
        <f>IFERROR(__xludf.DUMMYFUNCTION("""COMPUTED_VALUE"""),14.0)</f>
        <v>14</v>
      </c>
      <c r="BM35" s="22">
        <f>IFERROR(__xludf.DUMMYFUNCTION("""COMPUTED_VALUE"""),0.0)</f>
        <v>0</v>
      </c>
      <c r="BN35" s="22">
        <f>IFERROR(__xludf.DUMMYFUNCTION("""COMPUTED_VALUE"""),1.0)</f>
        <v>1</v>
      </c>
      <c r="BO35" s="22">
        <f>IFERROR(__xludf.DUMMYFUNCTION("""COMPUTED_VALUE"""),0.0)</f>
        <v>0</v>
      </c>
      <c r="BP35" s="22">
        <f>IFERROR(__xludf.DUMMYFUNCTION("""COMPUTED_VALUE"""),0.0)</f>
        <v>0</v>
      </c>
      <c r="BQ35" s="22">
        <f>IFERROR(__xludf.DUMMYFUNCTION("""COMPUTED_VALUE"""),0.0)</f>
        <v>0</v>
      </c>
      <c r="BR35" s="22">
        <f>IFERROR(__xludf.DUMMYFUNCTION("""COMPUTED_VALUE"""),0.0)</f>
        <v>0</v>
      </c>
      <c r="BS35" s="22">
        <f>IFERROR(__xludf.DUMMYFUNCTION("""COMPUTED_VALUE"""),0.0)</f>
        <v>0</v>
      </c>
      <c r="BT35" s="22">
        <f>IFERROR(__xludf.DUMMYFUNCTION("""COMPUTED_VALUE"""),0.0)</f>
        <v>0</v>
      </c>
      <c r="BU35" s="22">
        <f>IFERROR(__xludf.DUMMYFUNCTION("""COMPUTED_VALUE"""),1.0)</f>
        <v>1</v>
      </c>
      <c r="BV35" s="22">
        <f>IFERROR(__xludf.DUMMYFUNCTION("""COMPUTED_VALUE"""),0.0)</f>
        <v>0</v>
      </c>
      <c r="BW35" s="22">
        <f>IFERROR(__xludf.DUMMYFUNCTION("""COMPUTED_VALUE"""),1.0)</f>
        <v>1</v>
      </c>
      <c r="BX35" s="22">
        <f>IFERROR(__xludf.DUMMYFUNCTION("""COMPUTED_VALUE"""),1.0)</f>
        <v>1</v>
      </c>
      <c r="BY35" s="22">
        <f>IFERROR(__xludf.DUMMYFUNCTION("""COMPUTED_VALUE"""),1.0)</f>
        <v>1</v>
      </c>
      <c r="BZ35" s="22">
        <f>IFERROR(__xludf.DUMMYFUNCTION("""COMPUTED_VALUE"""),1.0)</f>
        <v>1</v>
      </c>
      <c r="CA35" s="22">
        <f>IFERROR(__xludf.DUMMYFUNCTION("""COMPUTED_VALUE"""),4.0)</f>
        <v>4</v>
      </c>
      <c r="CB35" s="22">
        <f>IFERROR(__xludf.DUMMYFUNCTION("""COMPUTED_VALUE"""),5.0)</f>
        <v>5</v>
      </c>
      <c r="CC35" s="61">
        <f>IFERROR(__xludf.DUMMYFUNCTION("""COMPUTED_VALUE"""),3.125)</f>
        <v>3.125</v>
      </c>
      <c r="CD35" s="62" t="str">
        <f>IFERROR(__xludf.DUMMYFUNCTION("""COMPUTED_VALUE"""),"good")</f>
        <v>good</v>
      </c>
      <c r="CE35" s="22" t="s">
        <v>146</v>
      </c>
      <c r="CF35" s="24">
        <v>12.0</v>
      </c>
      <c r="CG35" s="22" t="b">
        <v>0</v>
      </c>
      <c r="CH35" s="22" t="b">
        <v>1</v>
      </c>
      <c r="CI35" s="24">
        <v>14.0</v>
      </c>
      <c r="CJ35" s="22">
        <v>0.0</v>
      </c>
      <c r="CK35" s="22">
        <v>1.0</v>
      </c>
      <c r="CL35" s="22">
        <v>0.0</v>
      </c>
      <c r="CM35" s="22">
        <v>0.0</v>
      </c>
      <c r="CN35" s="22">
        <v>0.0</v>
      </c>
      <c r="CO35" s="22">
        <v>0.0</v>
      </c>
      <c r="CP35" s="22">
        <v>0.0</v>
      </c>
      <c r="CQ35" s="22">
        <v>0.0</v>
      </c>
      <c r="CR35" s="22">
        <v>1.0</v>
      </c>
      <c r="CS35" s="22">
        <v>0.0</v>
      </c>
      <c r="CT35" s="22">
        <v>1.0</v>
      </c>
      <c r="CU35" s="22">
        <v>1.0</v>
      </c>
      <c r="CV35" s="22">
        <v>1.0</v>
      </c>
      <c r="CW35" s="22">
        <v>1.0</v>
      </c>
      <c r="CX35" s="22">
        <v>4.0</v>
      </c>
      <c r="CY35" s="22">
        <v>5.0</v>
      </c>
      <c r="CZ35" s="61">
        <v>3.125</v>
      </c>
      <c r="DA35" s="62" t="s">
        <v>561</v>
      </c>
    </row>
    <row r="36">
      <c r="A36" s="16" t="s">
        <v>105</v>
      </c>
      <c r="B36" s="16" t="s">
        <v>106</v>
      </c>
      <c r="C36" s="16" t="s">
        <v>28</v>
      </c>
      <c r="D36" s="16" t="s">
        <v>107</v>
      </c>
      <c r="E36" s="17" t="b">
        <f t="shared" ref="E36:K36" si="181">If(IFERROR(SEARCH(E$1, $D36),0) &gt;= 1, true,false)</f>
        <v>1</v>
      </c>
      <c r="F36" s="17" t="b">
        <f t="shared" si="181"/>
        <v>1</v>
      </c>
      <c r="G36" s="17" t="b">
        <f t="shared" si="181"/>
        <v>0</v>
      </c>
      <c r="H36" s="17" t="b">
        <f t="shared" si="181"/>
        <v>0</v>
      </c>
      <c r="I36" s="17" t="b">
        <f t="shared" si="181"/>
        <v>0</v>
      </c>
      <c r="J36" s="17" t="b">
        <f t="shared" si="181"/>
        <v>0</v>
      </c>
      <c r="K36" s="17" t="b">
        <f t="shared" si="181"/>
        <v>0</v>
      </c>
      <c r="L36" s="18" t="b">
        <v>1</v>
      </c>
      <c r="M36" s="18" t="b">
        <v>1</v>
      </c>
      <c r="N36" s="18" t="b">
        <v>0</v>
      </c>
      <c r="O36" s="18" t="b">
        <v>1</v>
      </c>
      <c r="P36" s="16" t="str">
        <f t="shared" si="7"/>
        <v>KOERS | Museum van de Wielersport</v>
      </c>
      <c r="Q36" s="19">
        <v>9.0</v>
      </c>
      <c r="R36" s="18" t="b">
        <v>0</v>
      </c>
      <c r="S36" s="18" t="b">
        <v>0</v>
      </c>
      <c r="T36" s="21"/>
      <c r="U36" s="21">
        <f t="shared" si="8"/>
        <v>0</v>
      </c>
      <c r="V36" s="21">
        <f t="shared" ref="V36:AB36" si="182">if(OR(AW36 = $AO$4, AW36 = $AQ$4), 1, 0)</f>
        <v>1</v>
      </c>
      <c r="W36" s="21">
        <f t="shared" si="182"/>
        <v>0</v>
      </c>
      <c r="X36" s="21">
        <f t="shared" si="182"/>
        <v>0</v>
      </c>
      <c r="Y36" s="21">
        <f t="shared" si="182"/>
        <v>0</v>
      </c>
      <c r="Z36" s="21">
        <f t="shared" si="182"/>
        <v>0</v>
      </c>
      <c r="AA36" s="21">
        <f t="shared" si="182"/>
        <v>0</v>
      </c>
      <c r="AB36" s="21">
        <f t="shared" si="182"/>
        <v>0</v>
      </c>
      <c r="AC36" s="21">
        <f t="shared" si="10"/>
        <v>1</v>
      </c>
      <c r="AD36" s="21">
        <f t="shared" si="11"/>
        <v>1</v>
      </c>
      <c r="AE36" s="21">
        <f t="shared" ref="AE36:AH36" si="183">if(OR(BD36 = $AO$6, BD36 = $AS$6, BD36 = $AT$6, BD36 = $AU$6), 1, 0)</f>
        <v>1</v>
      </c>
      <c r="AF36" s="21">
        <f t="shared" si="183"/>
        <v>1</v>
      </c>
      <c r="AG36" s="21">
        <f t="shared" si="183"/>
        <v>0</v>
      </c>
      <c r="AH36" s="21">
        <f t="shared" si="183"/>
        <v>1</v>
      </c>
      <c r="AI36" s="21">
        <f t="shared" si="13"/>
        <v>3</v>
      </c>
      <c r="AJ36" s="21">
        <f t="shared" si="14"/>
        <v>5</v>
      </c>
      <c r="AK36" s="59">
        <f t="shared" si="15"/>
        <v>3.125</v>
      </c>
      <c r="AL36" s="60" t="str">
        <f t="shared" si="16"/>
        <v>good</v>
      </c>
      <c r="AW36" s="22" t="str">
        <f t="shared" ref="AW36:BC36" si="184">IF(IFERROR(SEARCH(E$1, $D36),0) &gt;= 1, E$1,0)</f>
        <v>Geschiedenis en archeologie</v>
      </c>
      <c r="AX36" s="22" t="str">
        <f t="shared" si="184"/>
        <v>Wetenschap en technologie</v>
      </c>
      <c r="AY36" s="22">
        <f t="shared" si="184"/>
        <v>0</v>
      </c>
      <c r="AZ36" s="22">
        <f t="shared" si="184"/>
        <v>0</v>
      </c>
      <c r="BA36" s="22">
        <f t="shared" si="184"/>
        <v>0</v>
      </c>
      <c r="BB36" s="22">
        <f t="shared" si="184"/>
        <v>0</v>
      </c>
      <c r="BC36" s="22">
        <f t="shared" si="184"/>
        <v>0</v>
      </c>
      <c r="BD36" s="22" t="str">
        <f t="shared" ref="BD36:BG36" si="185">IF(L36 = true, BD$1, 0)</f>
        <v>Shop</v>
      </c>
      <c r="BE36" s="22" t="str">
        <f t="shared" si="185"/>
        <v>Café</v>
      </c>
      <c r="BF36" s="22">
        <f t="shared" si="185"/>
        <v>0</v>
      </c>
      <c r="BG36" s="22" t="str">
        <f t="shared" si="185"/>
        <v>Restaurant</v>
      </c>
      <c r="BH36" s="22" t="str">
        <f>IFERROR(__xludf.DUMMYFUNCTION("""COMPUTED_VALUE"""),"Arboretum Kalmtout")</f>
        <v>Arboretum Kalmtout</v>
      </c>
      <c r="BI36" s="24">
        <f>IFERROR(__xludf.DUMMYFUNCTION("""COMPUTED_VALUE"""),8.0)</f>
        <v>8</v>
      </c>
      <c r="BJ36" s="22" t="b">
        <f>IFERROR(__xludf.DUMMYFUNCTION("""COMPUTED_VALUE"""),FALSE)</f>
        <v>0</v>
      </c>
      <c r="BK36" s="22" t="b">
        <f>IFERROR(__xludf.DUMMYFUNCTION("""COMPUTED_VALUE"""),TRUE)</f>
        <v>1</v>
      </c>
      <c r="BL36" s="24">
        <f>IFERROR(__xludf.DUMMYFUNCTION("""COMPUTED_VALUE"""),9.5)</f>
        <v>9.5</v>
      </c>
      <c r="BM36" s="22">
        <f>IFERROR(__xludf.DUMMYFUNCTION("""COMPUTED_VALUE"""),0.0)</f>
        <v>0</v>
      </c>
      <c r="BN36" s="22">
        <f>IFERROR(__xludf.DUMMYFUNCTION("""COMPUTED_VALUE"""),0.0)</f>
        <v>0</v>
      </c>
      <c r="BO36" s="22">
        <f>IFERROR(__xludf.DUMMYFUNCTION("""COMPUTED_VALUE"""),0.0)</f>
        <v>0</v>
      </c>
      <c r="BP36" s="22">
        <f>IFERROR(__xludf.DUMMYFUNCTION("""COMPUTED_VALUE"""),0.0)</f>
        <v>0</v>
      </c>
      <c r="BQ36" s="22">
        <f>IFERROR(__xludf.DUMMYFUNCTION("""COMPUTED_VALUE"""),0.0)</f>
        <v>0</v>
      </c>
      <c r="BR36" s="22">
        <f>IFERROR(__xludf.DUMMYFUNCTION("""COMPUTED_VALUE"""),0.0)</f>
        <v>0</v>
      </c>
      <c r="BS36" s="22">
        <f>IFERROR(__xludf.DUMMYFUNCTION("""COMPUTED_VALUE"""),0.0)</f>
        <v>0</v>
      </c>
      <c r="BT36" s="22">
        <f>IFERROR(__xludf.DUMMYFUNCTION("""COMPUTED_VALUE"""),0.0)</f>
        <v>0</v>
      </c>
      <c r="BU36" s="22">
        <f>IFERROR(__xludf.DUMMYFUNCTION("""COMPUTED_VALUE"""),0.0)</f>
        <v>0</v>
      </c>
      <c r="BV36" s="22">
        <f>IFERROR(__xludf.DUMMYFUNCTION("""COMPUTED_VALUE"""),1.0)</f>
        <v>1</v>
      </c>
      <c r="BW36" s="22">
        <f>IFERROR(__xludf.DUMMYFUNCTION("""COMPUTED_VALUE"""),1.0)</f>
        <v>1</v>
      </c>
      <c r="BX36" s="22">
        <f>IFERROR(__xludf.DUMMYFUNCTION("""COMPUTED_VALUE"""),1.0)</f>
        <v>1</v>
      </c>
      <c r="BY36" s="22">
        <f>IFERROR(__xludf.DUMMYFUNCTION("""COMPUTED_VALUE"""),1.0)</f>
        <v>1</v>
      </c>
      <c r="BZ36" s="22">
        <f>IFERROR(__xludf.DUMMYFUNCTION("""COMPUTED_VALUE"""),1.0)</f>
        <v>1</v>
      </c>
      <c r="CA36" s="22">
        <f>IFERROR(__xludf.DUMMYFUNCTION("""COMPUTED_VALUE"""),4.0)</f>
        <v>4</v>
      </c>
      <c r="CB36" s="22">
        <f>IFERROR(__xludf.DUMMYFUNCTION("""COMPUTED_VALUE"""),5.0)</f>
        <v>5</v>
      </c>
      <c r="CC36" s="61">
        <f>IFERROR(__xludf.DUMMYFUNCTION("""COMPUTED_VALUE"""),3.125)</f>
        <v>3.125</v>
      </c>
      <c r="CD36" s="62" t="str">
        <f>IFERROR(__xludf.DUMMYFUNCTION("""COMPUTED_VALUE"""),"good")</f>
        <v>good</v>
      </c>
      <c r="CE36" s="22" t="s">
        <v>148</v>
      </c>
      <c r="CF36" s="24">
        <v>8.0</v>
      </c>
      <c r="CG36" s="22" t="b">
        <v>0</v>
      </c>
      <c r="CH36" s="22" t="b">
        <v>1</v>
      </c>
      <c r="CI36" s="24">
        <v>9.5</v>
      </c>
      <c r="CJ36" s="22">
        <v>0.0</v>
      </c>
      <c r="CK36" s="22">
        <v>0.0</v>
      </c>
      <c r="CL36" s="22">
        <v>0.0</v>
      </c>
      <c r="CM36" s="22">
        <v>0.0</v>
      </c>
      <c r="CN36" s="22">
        <v>0.0</v>
      </c>
      <c r="CO36" s="22">
        <v>0.0</v>
      </c>
      <c r="CP36" s="22">
        <v>0.0</v>
      </c>
      <c r="CQ36" s="22">
        <v>0.0</v>
      </c>
      <c r="CR36" s="22">
        <v>0.0</v>
      </c>
      <c r="CS36" s="22">
        <v>1.0</v>
      </c>
      <c r="CT36" s="22">
        <v>1.0</v>
      </c>
      <c r="CU36" s="22">
        <v>1.0</v>
      </c>
      <c r="CV36" s="22">
        <v>1.0</v>
      </c>
      <c r="CW36" s="22">
        <v>1.0</v>
      </c>
      <c r="CX36" s="22">
        <v>4.0</v>
      </c>
      <c r="CY36" s="22">
        <v>5.0</v>
      </c>
      <c r="CZ36" s="61">
        <v>3.125</v>
      </c>
      <c r="DA36" s="62" t="s">
        <v>561</v>
      </c>
    </row>
    <row r="37">
      <c r="A37" s="16" t="s">
        <v>108</v>
      </c>
      <c r="B37" s="16" t="s">
        <v>109</v>
      </c>
      <c r="C37" s="17" t="s">
        <v>28</v>
      </c>
      <c r="D37" s="16" t="s">
        <v>4</v>
      </c>
      <c r="E37" s="17" t="b">
        <f t="shared" ref="E37:K37" si="186">If(IFERROR(SEARCH(E$1, $D37),0) &gt;= 1, true,false)</f>
        <v>1</v>
      </c>
      <c r="F37" s="17" t="b">
        <f t="shared" si="186"/>
        <v>0</v>
      </c>
      <c r="G37" s="17" t="b">
        <f t="shared" si="186"/>
        <v>0</v>
      </c>
      <c r="H37" s="17" t="b">
        <f t="shared" si="186"/>
        <v>0</v>
      </c>
      <c r="I37" s="17" t="b">
        <f t="shared" si="186"/>
        <v>0</v>
      </c>
      <c r="J37" s="17" t="b">
        <f t="shared" si="186"/>
        <v>0</v>
      </c>
      <c r="K37" s="17" t="b">
        <f t="shared" si="186"/>
        <v>0</v>
      </c>
      <c r="L37" s="18" t="b">
        <v>1</v>
      </c>
      <c r="M37" s="18" t="b">
        <v>1</v>
      </c>
      <c r="N37" s="18" t="b">
        <v>1</v>
      </c>
      <c r="O37" s="18" t="b">
        <v>0</v>
      </c>
      <c r="P37" s="16" t="str">
        <f t="shared" si="7"/>
        <v>Museum aan de IJzer</v>
      </c>
      <c r="Q37" s="19">
        <v>9.5</v>
      </c>
      <c r="R37" s="18" t="b">
        <v>0</v>
      </c>
      <c r="S37" s="18" t="b">
        <v>1</v>
      </c>
      <c r="T37" s="30">
        <v>9.5</v>
      </c>
      <c r="U37" s="21">
        <f t="shared" si="8"/>
        <v>0</v>
      </c>
      <c r="V37" s="21">
        <f t="shared" ref="V37:AB37" si="187">if(OR(AW37 = $AO$4, AW37 = $AQ$4), 1, 0)</f>
        <v>1</v>
      </c>
      <c r="W37" s="21">
        <f t="shared" si="187"/>
        <v>0</v>
      </c>
      <c r="X37" s="21">
        <f t="shared" si="187"/>
        <v>0</v>
      </c>
      <c r="Y37" s="21">
        <f t="shared" si="187"/>
        <v>0</v>
      </c>
      <c r="Z37" s="21">
        <f t="shared" si="187"/>
        <v>0</v>
      </c>
      <c r="AA37" s="21">
        <f t="shared" si="187"/>
        <v>0</v>
      </c>
      <c r="AB37" s="21">
        <f t="shared" si="187"/>
        <v>0</v>
      </c>
      <c r="AC37" s="21">
        <f t="shared" si="10"/>
        <v>1</v>
      </c>
      <c r="AD37" s="21">
        <f t="shared" si="11"/>
        <v>1</v>
      </c>
      <c r="AE37" s="21">
        <f t="shared" ref="AE37:AH37" si="188">if(OR(BD37 = $AO$6, BD37 = $AS$6, BD37 = $AT$6, BD37 = $AU$6), 1, 0)</f>
        <v>1</v>
      </c>
      <c r="AF37" s="21">
        <f t="shared" si="188"/>
        <v>1</v>
      </c>
      <c r="AG37" s="21">
        <f t="shared" si="188"/>
        <v>1</v>
      </c>
      <c r="AH37" s="21">
        <f t="shared" si="188"/>
        <v>0</v>
      </c>
      <c r="AI37" s="21">
        <f t="shared" si="13"/>
        <v>3</v>
      </c>
      <c r="AJ37" s="21">
        <f t="shared" si="14"/>
        <v>5</v>
      </c>
      <c r="AK37" s="59">
        <f t="shared" si="15"/>
        <v>3.125</v>
      </c>
      <c r="AL37" s="60" t="str">
        <f t="shared" si="16"/>
        <v>good</v>
      </c>
      <c r="AW37" s="22" t="str">
        <f t="shared" ref="AW37:BC37" si="189">IF(IFERROR(SEARCH(E$1, $D37),0) &gt;= 1, E$1,0)</f>
        <v>Geschiedenis en archeologie</v>
      </c>
      <c r="AX37" s="22">
        <f t="shared" si="189"/>
        <v>0</v>
      </c>
      <c r="AY37" s="22">
        <f t="shared" si="189"/>
        <v>0</v>
      </c>
      <c r="AZ37" s="22">
        <f t="shared" si="189"/>
        <v>0</v>
      </c>
      <c r="BA37" s="22">
        <f t="shared" si="189"/>
        <v>0</v>
      </c>
      <c r="BB37" s="22">
        <f t="shared" si="189"/>
        <v>0</v>
      </c>
      <c r="BC37" s="22">
        <f t="shared" si="189"/>
        <v>0</v>
      </c>
      <c r="BD37" s="22" t="str">
        <f t="shared" ref="BD37:BG37" si="190">IF(L37 = true, BD$1, 0)</f>
        <v>Shop</v>
      </c>
      <c r="BE37" s="22" t="str">
        <f t="shared" si="190"/>
        <v>Café</v>
      </c>
      <c r="BF37" s="22" t="str">
        <f t="shared" si="190"/>
        <v>Parking</v>
      </c>
      <c r="BG37" s="22">
        <f t="shared" si="190"/>
        <v>0</v>
      </c>
      <c r="BH37" s="22" t="str">
        <f>IFERROR(__xludf.DUMMYFUNCTION("""COMPUTED_VALUE"""),"Museum Fort Liezele")</f>
        <v>Museum Fort Liezele</v>
      </c>
      <c r="BI37" s="24">
        <f>IFERROR(__xludf.DUMMYFUNCTION("""COMPUTED_VALUE"""),12.0)</f>
        <v>12</v>
      </c>
      <c r="BJ37" s="22" t="b">
        <f>IFERROR(__xludf.DUMMYFUNCTION("""COMPUTED_VALUE"""),FALSE)</f>
        <v>0</v>
      </c>
      <c r="BK37" s="22" t="b">
        <f>IFERROR(__xludf.DUMMYFUNCTION("""COMPUTED_VALUE"""),FALSE)</f>
        <v>0</v>
      </c>
      <c r="BL37" s="22"/>
      <c r="BM37" s="22">
        <f>IFERROR(__xludf.DUMMYFUNCTION("""COMPUTED_VALUE"""),0.0)</f>
        <v>0</v>
      </c>
      <c r="BN37" s="22">
        <f>IFERROR(__xludf.DUMMYFUNCTION("""COMPUTED_VALUE"""),1.0)</f>
        <v>1</v>
      </c>
      <c r="BO37" s="22">
        <f>IFERROR(__xludf.DUMMYFUNCTION("""COMPUTED_VALUE"""),0.0)</f>
        <v>0</v>
      </c>
      <c r="BP37" s="22">
        <f>IFERROR(__xludf.DUMMYFUNCTION("""COMPUTED_VALUE"""),0.0)</f>
        <v>0</v>
      </c>
      <c r="BQ37" s="22">
        <f>IFERROR(__xludf.DUMMYFUNCTION("""COMPUTED_VALUE"""),0.0)</f>
        <v>0</v>
      </c>
      <c r="BR37" s="22">
        <f>IFERROR(__xludf.DUMMYFUNCTION("""COMPUTED_VALUE"""),0.0)</f>
        <v>0</v>
      </c>
      <c r="BS37" s="22">
        <f>IFERROR(__xludf.DUMMYFUNCTION("""COMPUTED_VALUE"""),0.0)</f>
        <v>0</v>
      </c>
      <c r="BT37" s="22">
        <f>IFERROR(__xludf.DUMMYFUNCTION("""COMPUTED_VALUE"""),0.0)</f>
        <v>0</v>
      </c>
      <c r="BU37" s="22">
        <f>IFERROR(__xludf.DUMMYFUNCTION("""COMPUTED_VALUE"""),1.0)</f>
        <v>1</v>
      </c>
      <c r="BV37" s="22">
        <f>IFERROR(__xludf.DUMMYFUNCTION("""COMPUTED_VALUE"""),0.0)</f>
        <v>0</v>
      </c>
      <c r="BW37" s="22">
        <f>IFERROR(__xludf.DUMMYFUNCTION("""COMPUTED_VALUE"""),1.0)</f>
        <v>1</v>
      </c>
      <c r="BX37" s="22">
        <f>IFERROR(__xludf.DUMMYFUNCTION("""COMPUTED_VALUE"""),1.0)</f>
        <v>1</v>
      </c>
      <c r="BY37" s="22">
        <f>IFERROR(__xludf.DUMMYFUNCTION("""COMPUTED_VALUE"""),1.0)</f>
        <v>1</v>
      </c>
      <c r="BZ37" s="22">
        <f>IFERROR(__xludf.DUMMYFUNCTION("""COMPUTED_VALUE"""),1.0)</f>
        <v>1</v>
      </c>
      <c r="CA37" s="22">
        <f>IFERROR(__xludf.DUMMYFUNCTION("""COMPUTED_VALUE"""),4.0)</f>
        <v>4</v>
      </c>
      <c r="CB37" s="22">
        <f>IFERROR(__xludf.DUMMYFUNCTION("""COMPUTED_VALUE"""),5.0)</f>
        <v>5</v>
      </c>
      <c r="CC37" s="61">
        <f>IFERROR(__xludf.DUMMYFUNCTION("""COMPUTED_VALUE"""),3.125)</f>
        <v>3.125</v>
      </c>
      <c r="CD37" s="62" t="str">
        <f>IFERROR(__xludf.DUMMYFUNCTION("""COMPUTED_VALUE"""),"good")</f>
        <v>good</v>
      </c>
      <c r="CE37" s="22" t="s">
        <v>188</v>
      </c>
      <c r="CF37" s="24">
        <v>12.0</v>
      </c>
      <c r="CG37" s="22" t="b">
        <v>0</v>
      </c>
      <c r="CH37" s="22" t="b">
        <v>0</v>
      </c>
      <c r="CI37" s="22"/>
      <c r="CJ37" s="22">
        <v>0.0</v>
      </c>
      <c r="CK37" s="22">
        <v>1.0</v>
      </c>
      <c r="CL37" s="22">
        <v>0.0</v>
      </c>
      <c r="CM37" s="22">
        <v>0.0</v>
      </c>
      <c r="CN37" s="22">
        <v>0.0</v>
      </c>
      <c r="CO37" s="22">
        <v>0.0</v>
      </c>
      <c r="CP37" s="22">
        <v>0.0</v>
      </c>
      <c r="CQ37" s="22">
        <v>0.0</v>
      </c>
      <c r="CR37" s="22">
        <v>1.0</v>
      </c>
      <c r="CS37" s="22">
        <v>0.0</v>
      </c>
      <c r="CT37" s="22">
        <v>1.0</v>
      </c>
      <c r="CU37" s="22">
        <v>1.0</v>
      </c>
      <c r="CV37" s="22">
        <v>1.0</v>
      </c>
      <c r="CW37" s="22">
        <v>1.0</v>
      </c>
      <c r="CX37" s="22">
        <v>4.0</v>
      </c>
      <c r="CY37" s="22">
        <v>5.0</v>
      </c>
      <c r="CZ37" s="61">
        <v>3.125</v>
      </c>
      <c r="DA37" s="62" t="s">
        <v>561</v>
      </c>
    </row>
    <row r="38">
      <c r="A38" s="16" t="s">
        <v>110</v>
      </c>
      <c r="B38" s="16" t="s">
        <v>111</v>
      </c>
      <c r="C38" s="17" t="s">
        <v>28</v>
      </c>
      <c r="D38" s="16" t="s">
        <v>70</v>
      </c>
      <c r="E38" s="17" t="b">
        <f t="shared" ref="E38:K38" si="191">If(IFERROR(SEARCH(E$1, $D38),0) &gt;= 1, true,false)</f>
        <v>1</v>
      </c>
      <c r="F38" s="17" t="b">
        <f t="shared" si="191"/>
        <v>1</v>
      </c>
      <c r="G38" s="17" t="b">
        <f t="shared" si="191"/>
        <v>0</v>
      </c>
      <c r="H38" s="17" t="b">
        <f t="shared" si="191"/>
        <v>0</v>
      </c>
      <c r="I38" s="17" t="b">
        <f t="shared" si="191"/>
        <v>1</v>
      </c>
      <c r="J38" s="17" t="b">
        <f t="shared" si="191"/>
        <v>1</v>
      </c>
      <c r="K38" s="17" t="b">
        <f t="shared" si="191"/>
        <v>1</v>
      </c>
      <c r="L38" s="18" t="b">
        <v>1</v>
      </c>
      <c r="M38" s="18" t="b">
        <v>0</v>
      </c>
      <c r="N38" s="18" t="b">
        <v>0</v>
      </c>
      <c r="O38" s="18" t="b">
        <v>0</v>
      </c>
      <c r="P38" s="16" t="str">
        <f t="shared" si="7"/>
        <v>Museum Sint-Janshospitaal</v>
      </c>
      <c r="Q38" s="19">
        <v>15.0</v>
      </c>
      <c r="R38" s="18" t="b">
        <v>0</v>
      </c>
      <c r="S38" s="18" t="b">
        <v>1</v>
      </c>
      <c r="T38" s="30">
        <v>15.0</v>
      </c>
      <c r="U38" s="21">
        <f t="shared" si="8"/>
        <v>0</v>
      </c>
      <c r="V38" s="21">
        <f t="shared" ref="V38:AB38" si="192">if(OR(AW38 = $AO$4, AW38 = $AQ$4), 1, 0)</f>
        <v>1</v>
      </c>
      <c r="W38" s="21">
        <f t="shared" si="192"/>
        <v>0</v>
      </c>
      <c r="X38" s="21">
        <f t="shared" si="192"/>
        <v>0</v>
      </c>
      <c r="Y38" s="21">
        <f t="shared" si="192"/>
        <v>0</v>
      </c>
      <c r="Z38" s="21">
        <f t="shared" si="192"/>
        <v>0</v>
      </c>
      <c r="AA38" s="21">
        <f t="shared" si="192"/>
        <v>1</v>
      </c>
      <c r="AB38" s="21">
        <f t="shared" si="192"/>
        <v>0</v>
      </c>
      <c r="AC38" s="21">
        <f t="shared" si="10"/>
        <v>2</v>
      </c>
      <c r="AD38" s="21">
        <f t="shared" si="11"/>
        <v>0</v>
      </c>
      <c r="AE38" s="21">
        <f t="shared" ref="AE38:AH38" si="193">if(OR(BD38 = $AO$6, BD38 = $AS$6, BD38 = $AT$6, BD38 = $AU$6), 1, 0)</f>
        <v>1</v>
      </c>
      <c r="AF38" s="21">
        <f t="shared" si="193"/>
        <v>0</v>
      </c>
      <c r="AG38" s="21">
        <f t="shared" si="193"/>
        <v>0</v>
      </c>
      <c r="AH38" s="21">
        <f t="shared" si="193"/>
        <v>0</v>
      </c>
      <c r="AI38" s="21">
        <f t="shared" si="13"/>
        <v>1</v>
      </c>
      <c r="AJ38" s="21">
        <f t="shared" si="14"/>
        <v>3</v>
      </c>
      <c r="AK38" s="59">
        <f t="shared" si="15"/>
        <v>1.875</v>
      </c>
      <c r="AL38" s="60" t="str">
        <f t="shared" si="16"/>
        <v>subpar</v>
      </c>
      <c r="AW38" s="22" t="str">
        <f t="shared" ref="AW38:BC38" si="194">IF(IFERROR(SEARCH(E$1, $D38),0) &gt;= 1, E$1,0)</f>
        <v>Geschiedenis en archeologie</v>
      </c>
      <c r="AX38" s="22" t="str">
        <f t="shared" si="194"/>
        <v>Wetenschap en technologie</v>
      </c>
      <c r="AY38" s="22">
        <f t="shared" si="194"/>
        <v>0</v>
      </c>
      <c r="AZ38" s="22">
        <f t="shared" si="194"/>
        <v>0</v>
      </c>
      <c r="BA38" s="22" t="str">
        <f t="shared" si="194"/>
        <v>Architectuur</v>
      </c>
      <c r="BB38" s="22" t="str">
        <f t="shared" si="194"/>
        <v>Beeldende kunst</v>
      </c>
      <c r="BC38" s="22" t="str">
        <f t="shared" si="194"/>
        <v>Toegepaste kunst en design</v>
      </c>
      <c r="BD38" s="22" t="str">
        <f t="shared" ref="BD38:BG38" si="195">IF(L38 = true, BD$1, 0)</f>
        <v>Shop</v>
      </c>
      <c r="BE38" s="22">
        <f t="shared" si="195"/>
        <v>0</v>
      </c>
      <c r="BF38" s="22">
        <f t="shared" si="195"/>
        <v>0</v>
      </c>
      <c r="BG38" s="22">
        <f t="shared" si="195"/>
        <v>0</v>
      </c>
      <c r="BH38" s="22" t="str">
        <f>IFERROR(__xludf.DUMMYFUNCTION("""COMPUTED_VALUE"""),"Nationaal Museum van de Speelkaart")</f>
        <v>Nationaal Museum van de Speelkaart</v>
      </c>
      <c r="BI38" s="24">
        <f>IFERROR(__xludf.DUMMYFUNCTION("""COMPUTED_VALUE"""),5.0)</f>
        <v>5</v>
      </c>
      <c r="BJ38" s="22" t="b">
        <f>IFERROR(__xludf.DUMMYFUNCTION("""COMPUTED_VALUE"""),FALSE)</f>
        <v>0</v>
      </c>
      <c r="BK38" s="22" t="b">
        <f>IFERROR(__xludf.DUMMYFUNCTION("""COMPUTED_VALUE"""),TRUE)</f>
        <v>1</v>
      </c>
      <c r="BL38" s="24">
        <f>IFERROR(__xludf.DUMMYFUNCTION("""COMPUTED_VALUE"""),5.0)</f>
        <v>5</v>
      </c>
      <c r="BM38" s="22">
        <f>IFERROR(__xludf.DUMMYFUNCTION("""COMPUTED_VALUE"""),0.0)</f>
        <v>0</v>
      </c>
      <c r="BN38" s="22">
        <f>IFERROR(__xludf.DUMMYFUNCTION("""COMPUTED_VALUE"""),1.0)</f>
        <v>1</v>
      </c>
      <c r="BO38" s="22">
        <f>IFERROR(__xludf.DUMMYFUNCTION("""COMPUTED_VALUE"""),0.0)</f>
        <v>0</v>
      </c>
      <c r="BP38" s="22">
        <f>IFERROR(__xludf.DUMMYFUNCTION("""COMPUTED_VALUE"""),0.0)</f>
        <v>0</v>
      </c>
      <c r="BQ38" s="22">
        <f>IFERROR(__xludf.DUMMYFUNCTION("""COMPUTED_VALUE"""),0.0)</f>
        <v>0</v>
      </c>
      <c r="BR38" s="22">
        <f>IFERROR(__xludf.DUMMYFUNCTION("""COMPUTED_VALUE"""),0.0)</f>
        <v>0</v>
      </c>
      <c r="BS38" s="22">
        <f>IFERROR(__xludf.DUMMYFUNCTION("""COMPUTED_VALUE"""),0.0)</f>
        <v>0</v>
      </c>
      <c r="BT38" s="22">
        <f>IFERROR(__xludf.DUMMYFUNCTION("""COMPUTED_VALUE"""),0.0)</f>
        <v>0</v>
      </c>
      <c r="BU38" s="22">
        <f>IFERROR(__xludf.DUMMYFUNCTION("""COMPUTED_VALUE"""),1.0)</f>
        <v>1</v>
      </c>
      <c r="BV38" s="22">
        <f>IFERROR(__xludf.DUMMYFUNCTION("""COMPUTED_VALUE"""),1.0)</f>
        <v>1</v>
      </c>
      <c r="BW38" s="22">
        <f>IFERROR(__xludf.DUMMYFUNCTION("""COMPUTED_VALUE"""),1.0)</f>
        <v>1</v>
      </c>
      <c r="BX38" s="22">
        <f>IFERROR(__xludf.DUMMYFUNCTION("""COMPUTED_VALUE"""),1.0)</f>
        <v>1</v>
      </c>
      <c r="BY38" s="22">
        <f>IFERROR(__xludf.DUMMYFUNCTION("""COMPUTED_VALUE"""),1.0)</f>
        <v>1</v>
      </c>
      <c r="BZ38" s="22">
        <f>IFERROR(__xludf.DUMMYFUNCTION("""COMPUTED_VALUE"""),0.0)</f>
        <v>0</v>
      </c>
      <c r="CA38" s="22">
        <f>IFERROR(__xludf.DUMMYFUNCTION("""COMPUTED_VALUE"""),3.0)</f>
        <v>3</v>
      </c>
      <c r="CB38" s="22">
        <f>IFERROR(__xludf.DUMMYFUNCTION("""COMPUTED_VALUE"""),5.0)</f>
        <v>5</v>
      </c>
      <c r="CC38" s="61">
        <f>IFERROR(__xludf.DUMMYFUNCTION("""COMPUTED_VALUE"""),3.125)</f>
        <v>3.125</v>
      </c>
      <c r="CD38" s="62" t="str">
        <f>IFERROR(__xludf.DUMMYFUNCTION("""COMPUTED_VALUE"""),"good")</f>
        <v>good</v>
      </c>
      <c r="CE38" s="22" t="s">
        <v>199</v>
      </c>
      <c r="CF38" s="24">
        <v>5.0</v>
      </c>
      <c r="CG38" s="22" t="b">
        <v>0</v>
      </c>
      <c r="CH38" s="22" t="b">
        <v>1</v>
      </c>
      <c r="CI38" s="24">
        <v>5.0</v>
      </c>
      <c r="CJ38" s="22">
        <v>0.0</v>
      </c>
      <c r="CK38" s="22">
        <v>1.0</v>
      </c>
      <c r="CL38" s="22">
        <v>0.0</v>
      </c>
      <c r="CM38" s="22">
        <v>0.0</v>
      </c>
      <c r="CN38" s="22">
        <v>0.0</v>
      </c>
      <c r="CO38" s="22">
        <v>0.0</v>
      </c>
      <c r="CP38" s="22">
        <v>0.0</v>
      </c>
      <c r="CQ38" s="22">
        <v>0.0</v>
      </c>
      <c r="CR38" s="22">
        <v>1.0</v>
      </c>
      <c r="CS38" s="22">
        <v>1.0</v>
      </c>
      <c r="CT38" s="22">
        <v>1.0</v>
      </c>
      <c r="CU38" s="22">
        <v>1.0</v>
      </c>
      <c r="CV38" s="22">
        <v>1.0</v>
      </c>
      <c r="CW38" s="22">
        <v>0.0</v>
      </c>
      <c r="CX38" s="22">
        <v>3.0</v>
      </c>
      <c r="CY38" s="22">
        <v>5.0</v>
      </c>
      <c r="CZ38" s="61">
        <v>3.125</v>
      </c>
      <c r="DA38" s="62" t="s">
        <v>561</v>
      </c>
    </row>
    <row r="39">
      <c r="A39" s="16" t="s">
        <v>112</v>
      </c>
      <c r="B39" s="16" t="s">
        <v>113</v>
      </c>
      <c r="C39" s="17" t="s">
        <v>28</v>
      </c>
      <c r="D39" s="16" t="s">
        <v>9</v>
      </c>
      <c r="E39" s="17" t="b">
        <f t="shared" ref="E39:K39" si="196">If(IFERROR(SEARCH(E$1, $D39),0) &gt;= 1, true,false)</f>
        <v>0</v>
      </c>
      <c r="F39" s="17" t="b">
        <f t="shared" si="196"/>
        <v>0</v>
      </c>
      <c r="G39" s="17" t="b">
        <f t="shared" si="196"/>
        <v>0</v>
      </c>
      <c r="H39" s="17" t="b">
        <f t="shared" si="196"/>
        <v>0</v>
      </c>
      <c r="I39" s="17" t="b">
        <f t="shared" si="196"/>
        <v>0</v>
      </c>
      <c r="J39" s="17" t="b">
        <f t="shared" si="196"/>
        <v>1</v>
      </c>
      <c r="K39" s="17" t="b">
        <f t="shared" si="196"/>
        <v>0</v>
      </c>
      <c r="L39" s="18" t="b">
        <v>1</v>
      </c>
      <c r="M39" s="18" t="b">
        <v>0</v>
      </c>
      <c r="N39" s="18" t="b">
        <v>0</v>
      </c>
      <c r="O39" s="18" t="b">
        <v>0</v>
      </c>
      <c r="P39" s="16" t="str">
        <f t="shared" si="7"/>
        <v>Mu.ZEE | Kunstmuseum aan Zee</v>
      </c>
      <c r="Q39" s="19">
        <v>12.0</v>
      </c>
      <c r="R39" s="18" t="b">
        <v>1</v>
      </c>
      <c r="S39" s="18" t="b">
        <v>1</v>
      </c>
      <c r="T39" s="30">
        <v>12.0</v>
      </c>
      <c r="U39" s="21">
        <f t="shared" si="8"/>
        <v>0</v>
      </c>
      <c r="V39" s="21">
        <f t="shared" ref="V39:AB39" si="197">if(OR(AW39 = $AO$4, AW39 = $AQ$4), 1, 0)</f>
        <v>0</v>
      </c>
      <c r="W39" s="21">
        <f t="shared" si="197"/>
        <v>0</v>
      </c>
      <c r="X39" s="21">
        <f t="shared" si="197"/>
        <v>0</v>
      </c>
      <c r="Y39" s="21">
        <f t="shared" si="197"/>
        <v>0</v>
      </c>
      <c r="Z39" s="21">
        <f t="shared" si="197"/>
        <v>0</v>
      </c>
      <c r="AA39" s="21">
        <f t="shared" si="197"/>
        <v>1</v>
      </c>
      <c r="AB39" s="21">
        <f t="shared" si="197"/>
        <v>0</v>
      </c>
      <c r="AC39" s="21">
        <f t="shared" si="10"/>
        <v>1</v>
      </c>
      <c r="AD39" s="21">
        <f t="shared" si="11"/>
        <v>0</v>
      </c>
      <c r="AE39" s="21">
        <f t="shared" ref="AE39:AH39" si="198">if(OR(BD39 = $AO$6, BD39 = $AS$6, BD39 = $AT$6, BD39 = $AU$6), 1, 0)</f>
        <v>1</v>
      </c>
      <c r="AF39" s="21">
        <f t="shared" si="198"/>
        <v>0</v>
      </c>
      <c r="AG39" s="21">
        <f t="shared" si="198"/>
        <v>0</v>
      </c>
      <c r="AH39" s="21">
        <f t="shared" si="198"/>
        <v>0</v>
      </c>
      <c r="AI39" s="21">
        <f t="shared" si="13"/>
        <v>1</v>
      </c>
      <c r="AJ39" s="21">
        <f t="shared" si="14"/>
        <v>2</v>
      </c>
      <c r="AK39" s="59">
        <f t="shared" si="15"/>
        <v>1.25</v>
      </c>
      <c r="AL39" s="60" t="str">
        <f t="shared" si="16"/>
        <v>subpar</v>
      </c>
      <c r="AW39" s="22">
        <f t="shared" ref="AW39:BC39" si="199">IF(IFERROR(SEARCH(E$1, $D39),0) &gt;= 1, E$1,0)</f>
        <v>0</v>
      </c>
      <c r="AX39" s="22">
        <f t="shared" si="199"/>
        <v>0</v>
      </c>
      <c r="AY39" s="22">
        <f t="shared" si="199"/>
        <v>0</v>
      </c>
      <c r="AZ39" s="22">
        <f t="shared" si="199"/>
        <v>0</v>
      </c>
      <c r="BA39" s="22">
        <f t="shared" si="199"/>
        <v>0</v>
      </c>
      <c r="BB39" s="22" t="str">
        <f t="shared" si="199"/>
        <v>Beeldende kunst</v>
      </c>
      <c r="BC39" s="22">
        <f t="shared" si="199"/>
        <v>0</v>
      </c>
      <c r="BD39" s="22" t="str">
        <f t="shared" ref="BD39:BG39" si="200">IF(L39 = true, BD$1, 0)</f>
        <v>Shop</v>
      </c>
      <c r="BE39" s="22">
        <f t="shared" si="200"/>
        <v>0</v>
      </c>
      <c r="BF39" s="22">
        <f t="shared" si="200"/>
        <v>0</v>
      </c>
      <c r="BG39" s="22">
        <f t="shared" si="200"/>
        <v>0</v>
      </c>
      <c r="BH39" s="22" t="str">
        <f>IFERROR(__xludf.DUMMYFUNCTION("""COMPUTED_VALUE"""),"Taxandriamuseum")</f>
        <v>Taxandriamuseum</v>
      </c>
      <c r="BI39" s="24">
        <f>IFERROR(__xludf.DUMMYFUNCTION("""COMPUTED_VALUE"""),5.0)</f>
        <v>5</v>
      </c>
      <c r="BJ39" s="22" t="b">
        <f>IFERROR(__xludf.DUMMYFUNCTION("""COMPUTED_VALUE"""),FALSE)</f>
        <v>0</v>
      </c>
      <c r="BK39" s="22" t="b">
        <f>IFERROR(__xludf.DUMMYFUNCTION("""COMPUTED_VALUE"""),TRUE)</f>
        <v>1</v>
      </c>
      <c r="BL39" s="24">
        <f>IFERROR(__xludf.DUMMYFUNCTION("""COMPUTED_VALUE"""),5.0)</f>
        <v>5</v>
      </c>
      <c r="BM39" s="22">
        <f>IFERROR(__xludf.DUMMYFUNCTION("""COMPUTED_VALUE"""),0.0)</f>
        <v>0</v>
      </c>
      <c r="BN39" s="22">
        <f>IFERROR(__xludf.DUMMYFUNCTION("""COMPUTED_VALUE"""),1.0)</f>
        <v>1</v>
      </c>
      <c r="BO39" s="22">
        <f>IFERROR(__xludf.DUMMYFUNCTION("""COMPUTED_VALUE"""),0.0)</f>
        <v>0</v>
      </c>
      <c r="BP39" s="22">
        <f>IFERROR(__xludf.DUMMYFUNCTION("""COMPUTED_VALUE"""),0.0)</f>
        <v>0</v>
      </c>
      <c r="BQ39" s="22">
        <f>IFERROR(__xludf.DUMMYFUNCTION("""COMPUTED_VALUE"""),0.0)</f>
        <v>0</v>
      </c>
      <c r="BR39" s="22">
        <f>IFERROR(__xludf.DUMMYFUNCTION("""COMPUTED_VALUE"""),0.0)</f>
        <v>0</v>
      </c>
      <c r="BS39" s="22">
        <f>IFERROR(__xludf.DUMMYFUNCTION("""COMPUTED_VALUE"""),1.0)</f>
        <v>1</v>
      </c>
      <c r="BT39" s="22">
        <f>IFERROR(__xludf.DUMMYFUNCTION("""COMPUTED_VALUE"""),0.0)</f>
        <v>0</v>
      </c>
      <c r="BU39" s="22">
        <f>IFERROR(__xludf.DUMMYFUNCTION("""COMPUTED_VALUE"""),2.0)</f>
        <v>2</v>
      </c>
      <c r="BV39" s="22">
        <f>IFERROR(__xludf.DUMMYFUNCTION("""COMPUTED_VALUE"""),1.0)</f>
        <v>1</v>
      </c>
      <c r="BW39" s="22">
        <f>IFERROR(__xludf.DUMMYFUNCTION("""COMPUTED_VALUE"""),1.0)</f>
        <v>1</v>
      </c>
      <c r="BX39" s="22">
        <f>IFERROR(__xludf.DUMMYFUNCTION("""COMPUTED_VALUE"""),1.0)</f>
        <v>1</v>
      </c>
      <c r="BY39" s="22">
        <f>IFERROR(__xludf.DUMMYFUNCTION("""COMPUTED_VALUE"""),0.0)</f>
        <v>0</v>
      </c>
      <c r="BZ39" s="22">
        <f>IFERROR(__xludf.DUMMYFUNCTION("""COMPUTED_VALUE"""),0.0)</f>
        <v>0</v>
      </c>
      <c r="CA39" s="22">
        <f>IFERROR(__xludf.DUMMYFUNCTION("""COMPUTED_VALUE"""),2.0)</f>
        <v>2</v>
      </c>
      <c r="CB39" s="22">
        <f>IFERROR(__xludf.DUMMYFUNCTION("""COMPUTED_VALUE"""),5.0)</f>
        <v>5</v>
      </c>
      <c r="CC39" s="61">
        <f>IFERROR(__xludf.DUMMYFUNCTION("""COMPUTED_VALUE"""),3.125)</f>
        <v>3.125</v>
      </c>
      <c r="CD39" s="62" t="str">
        <f>IFERROR(__xludf.DUMMYFUNCTION("""COMPUTED_VALUE"""),"good")</f>
        <v>good</v>
      </c>
      <c r="CE39" s="22" t="s">
        <v>217</v>
      </c>
      <c r="CF39" s="24">
        <v>5.0</v>
      </c>
      <c r="CG39" s="22" t="b">
        <v>0</v>
      </c>
      <c r="CH39" s="22" t="b">
        <v>1</v>
      </c>
      <c r="CI39" s="24">
        <v>5.0</v>
      </c>
      <c r="CJ39" s="22">
        <v>0.0</v>
      </c>
      <c r="CK39" s="22">
        <v>1.0</v>
      </c>
      <c r="CL39" s="22">
        <v>0.0</v>
      </c>
      <c r="CM39" s="22">
        <v>0.0</v>
      </c>
      <c r="CN39" s="22">
        <v>0.0</v>
      </c>
      <c r="CO39" s="22">
        <v>0.0</v>
      </c>
      <c r="CP39" s="22">
        <v>1.0</v>
      </c>
      <c r="CQ39" s="22">
        <v>0.0</v>
      </c>
      <c r="CR39" s="22">
        <v>2.0</v>
      </c>
      <c r="CS39" s="22">
        <v>1.0</v>
      </c>
      <c r="CT39" s="22">
        <v>1.0</v>
      </c>
      <c r="CU39" s="22">
        <v>1.0</v>
      </c>
      <c r="CV39" s="22">
        <v>0.0</v>
      </c>
      <c r="CW39" s="22">
        <v>0.0</v>
      </c>
      <c r="CX39" s="22">
        <v>2.0</v>
      </c>
      <c r="CY39" s="22">
        <v>5.0</v>
      </c>
      <c r="CZ39" s="61">
        <v>3.125</v>
      </c>
      <c r="DA39" s="62" t="s">
        <v>561</v>
      </c>
    </row>
    <row r="40">
      <c r="A40" s="16" t="s">
        <v>114</v>
      </c>
      <c r="B40" s="16" t="s">
        <v>115</v>
      </c>
      <c r="C40" s="17" t="s">
        <v>28</v>
      </c>
      <c r="D40" s="16" t="s">
        <v>4</v>
      </c>
      <c r="E40" s="17" t="b">
        <f t="shared" ref="E40:K40" si="201">If(IFERROR(SEARCH(E$1, $D40),0) &gt;= 1, true,false)</f>
        <v>1</v>
      </c>
      <c r="F40" s="17" t="b">
        <f t="shared" si="201"/>
        <v>0</v>
      </c>
      <c r="G40" s="17" t="b">
        <f t="shared" si="201"/>
        <v>0</v>
      </c>
      <c r="H40" s="17" t="b">
        <f t="shared" si="201"/>
        <v>0</v>
      </c>
      <c r="I40" s="17" t="b">
        <f t="shared" si="201"/>
        <v>0</v>
      </c>
      <c r="J40" s="17" t="b">
        <f t="shared" si="201"/>
        <v>0</v>
      </c>
      <c r="K40" s="17" t="b">
        <f t="shared" si="201"/>
        <v>0</v>
      </c>
      <c r="L40" s="18" t="b">
        <v>0</v>
      </c>
      <c r="M40" s="18" t="b">
        <v>0</v>
      </c>
      <c r="N40" s="18" t="b">
        <v>0</v>
      </c>
      <c r="O40" s="18" t="b">
        <v>0</v>
      </c>
      <c r="P40" s="16" t="str">
        <f t="shared" si="7"/>
        <v>Nationaal Tabaksmuseum</v>
      </c>
      <c r="Q40" s="19">
        <v>4.5</v>
      </c>
      <c r="R40" s="18" t="b">
        <v>0</v>
      </c>
      <c r="S40" s="18" t="b">
        <v>1</v>
      </c>
      <c r="T40" s="31">
        <v>4.5</v>
      </c>
      <c r="U40" s="21">
        <f t="shared" si="8"/>
        <v>0</v>
      </c>
      <c r="V40" s="21">
        <f t="shared" ref="V40:AB40" si="202">if(OR(AW40 = $AO$4, AW40 = $AQ$4), 1, 0)</f>
        <v>1</v>
      </c>
      <c r="W40" s="21">
        <f t="shared" si="202"/>
        <v>0</v>
      </c>
      <c r="X40" s="21">
        <f t="shared" si="202"/>
        <v>0</v>
      </c>
      <c r="Y40" s="21">
        <f t="shared" si="202"/>
        <v>0</v>
      </c>
      <c r="Z40" s="21">
        <f t="shared" si="202"/>
        <v>0</v>
      </c>
      <c r="AA40" s="21">
        <f t="shared" si="202"/>
        <v>0</v>
      </c>
      <c r="AB40" s="21">
        <f t="shared" si="202"/>
        <v>0</v>
      </c>
      <c r="AC40" s="21">
        <f t="shared" si="10"/>
        <v>1</v>
      </c>
      <c r="AD40" s="21">
        <f t="shared" si="11"/>
        <v>1</v>
      </c>
      <c r="AE40" s="21">
        <f t="shared" ref="AE40:AH40" si="203">if(OR(BD40 = $AO$6, BD40 = $AS$6, BD40 = $AT$6, BD40 = $AU$6), 1, 0)</f>
        <v>0</v>
      </c>
      <c r="AF40" s="21">
        <f t="shared" si="203"/>
        <v>0</v>
      </c>
      <c r="AG40" s="21">
        <f t="shared" si="203"/>
        <v>0</v>
      </c>
      <c r="AH40" s="21">
        <f t="shared" si="203"/>
        <v>0</v>
      </c>
      <c r="AI40" s="21">
        <f t="shared" si="13"/>
        <v>0</v>
      </c>
      <c r="AJ40" s="21">
        <f t="shared" si="14"/>
        <v>2</v>
      </c>
      <c r="AK40" s="59">
        <f t="shared" si="15"/>
        <v>1.25</v>
      </c>
      <c r="AL40" s="60" t="str">
        <f t="shared" si="16"/>
        <v>subpar</v>
      </c>
      <c r="AW40" s="22" t="str">
        <f t="shared" ref="AW40:BC40" si="204">IF(IFERROR(SEARCH(E$1, $D40),0) &gt;= 1, E$1,0)</f>
        <v>Geschiedenis en archeologie</v>
      </c>
      <c r="AX40" s="22">
        <f t="shared" si="204"/>
        <v>0</v>
      </c>
      <c r="AY40" s="22">
        <f t="shared" si="204"/>
        <v>0</v>
      </c>
      <c r="AZ40" s="22">
        <f t="shared" si="204"/>
        <v>0</v>
      </c>
      <c r="BA40" s="22">
        <f t="shared" si="204"/>
        <v>0</v>
      </c>
      <c r="BB40" s="22">
        <f t="shared" si="204"/>
        <v>0</v>
      </c>
      <c r="BC40" s="22">
        <f t="shared" si="204"/>
        <v>0</v>
      </c>
      <c r="BD40" s="22">
        <f t="shared" ref="BD40:BG40" si="205">IF(L40 = true, BD$1, 0)</f>
        <v>0</v>
      </c>
      <c r="BE40" s="22">
        <f t="shared" si="205"/>
        <v>0</v>
      </c>
      <c r="BF40" s="22">
        <f t="shared" si="205"/>
        <v>0</v>
      </c>
      <c r="BG40" s="22">
        <f t="shared" si="205"/>
        <v>0</v>
      </c>
      <c r="BH40" s="22" t="str">
        <f>IFERROR(__xludf.DUMMYFUNCTION("""COMPUTED_VALUE"""),"Stichting Folon")</f>
        <v>Stichting Folon</v>
      </c>
      <c r="BI40" s="24">
        <f>IFERROR(__xludf.DUMMYFUNCTION("""COMPUTED_VALUE"""),12.0)</f>
        <v>12</v>
      </c>
      <c r="BJ40" s="22" t="b">
        <f>IFERROR(__xludf.DUMMYFUNCTION("""COMPUTED_VALUE"""),FALSE)</f>
        <v>0</v>
      </c>
      <c r="BK40" s="22" t="b">
        <f>IFERROR(__xludf.DUMMYFUNCTION("""COMPUTED_VALUE"""),TRUE)</f>
        <v>1</v>
      </c>
      <c r="BL40" s="24">
        <f>IFERROR(__xludf.DUMMYFUNCTION("""COMPUTED_VALUE"""),10.0)</f>
        <v>10</v>
      </c>
      <c r="BM40" s="22">
        <f>IFERROR(__xludf.DUMMYFUNCTION("""COMPUTED_VALUE"""),0.0)</f>
        <v>0</v>
      </c>
      <c r="BN40" s="22">
        <f>IFERROR(__xludf.DUMMYFUNCTION("""COMPUTED_VALUE"""),0.0)</f>
        <v>0</v>
      </c>
      <c r="BO40" s="22">
        <f>IFERROR(__xludf.DUMMYFUNCTION("""COMPUTED_VALUE"""),0.0)</f>
        <v>0</v>
      </c>
      <c r="BP40" s="22">
        <f>IFERROR(__xludf.DUMMYFUNCTION("""COMPUTED_VALUE"""),0.0)</f>
        <v>0</v>
      </c>
      <c r="BQ40" s="22">
        <f>IFERROR(__xludf.DUMMYFUNCTION("""COMPUTED_VALUE"""),0.0)</f>
        <v>0</v>
      </c>
      <c r="BR40" s="22">
        <f>IFERROR(__xludf.DUMMYFUNCTION("""COMPUTED_VALUE"""),0.0)</f>
        <v>0</v>
      </c>
      <c r="BS40" s="22">
        <f>IFERROR(__xludf.DUMMYFUNCTION("""COMPUTED_VALUE"""),1.0)</f>
        <v>1</v>
      </c>
      <c r="BT40" s="22">
        <f>IFERROR(__xludf.DUMMYFUNCTION("""COMPUTED_VALUE"""),0.0)</f>
        <v>0</v>
      </c>
      <c r="BU40" s="22">
        <f>IFERROR(__xludf.DUMMYFUNCTION("""COMPUTED_VALUE"""),1.0)</f>
        <v>1</v>
      </c>
      <c r="BV40" s="22">
        <f>IFERROR(__xludf.DUMMYFUNCTION("""COMPUTED_VALUE"""),0.0)</f>
        <v>0</v>
      </c>
      <c r="BW40" s="22">
        <f>IFERROR(__xludf.DUMMYFUNCTION("""COMPUTED_VALUE"""),1.0)</f>
        <v>1</v>
      </c>
      <c r="BX40" s="22">
        <f>IFERROR(__xludf.DUMMYFUNCTION("""COMPUTED_VALUE"""),1.0)</f>
        <v>1</v>
      </c>
      <c r="BY40" s="22">
        <f>IFERROR(__xludf.DUMMYFUNCTION("""COMPUTED_VALUE"""),1.0)</f>
        <v>1</v>
      </c>
      <c r="BZ40" s="22">
        <f>IFERROR(__xludf.DUMMYFUNCTION("""COMPUTED_VALUE"""),1.0)</f>
        <v>1</v>
      </c>
      <c r="CA40" s="22">
        <f>IFERROR(__xludf.DUMMYFUNCTION("""COMPUTED_VALUE"""),4.0)</f>
        <v>4</v>
      </c>
      <c r="CB40" s="22">
        <f>IFERROR(__xludf.DUMMYFUNCTION("""COMPUTED_VALUE"""),5.0)</f>
        <v>5</v>
      </c>
      <c r="CC40" s="61">
        <f>IFERROR(__xludf.DUMMYFUNCTION("""COMPUTED_VALUE"""),3.125)</f>
        <v>3.125</v>
      </c>
      <c r="CD40" s="62" t="str">
        <f>IFERROR(__xludf.DUMMYFUNCTION("""COMPUTED_VALUE"""),"good")</f>
        <v>good</v>
      </c>
      <c r="CE40" s="22" t="s">
        <v>221</v>
      </c>
      <c r="CF40" s="24">
        <v>12.0</v>
      </c>
      <c r="CG40" s="22" t="b">
        <v>0</v>
      </c>
      <c r="CH40" s="22" t="b">
        <v>1</v>
      </c>
      <c r="CI40" s="24">
        <v>10.0</v>
      </c>
      <c r="CJ40" s="22">
        <v>0.0</v>
      </c>
      <c r="CK40" s="22">
        <v>0.0</v>
      </c>
      <c r="CL40" s="22">
        <v>0.0</v>
      </c>
      <c r="CM40" s="22">
        <v>0.0</v>
      </c>
      <c r="CN40" s="22">
        <v>0.0</v>
      </c>
      <c r="CO40" s="22">
        <v>0.0</v>
      </c>
      <c r="CP40" s="22">
        <v>1.0</v>
      </c>
      <c r="CQ40" s="22">
        <v>0.0</v>
      </c>
      <c r="CR40" s="22">
        <v>1.0</v>
      </c>
      <c r="CS40" s="22">
        <v>0.0</v>
      </c>
      <c r="CT40" s="22">
        <v>1.0</v>
      </c>
      <c r="CU40" s="22">
        <v>1.0</v>
      </c>
      <c r="CV40" s="22">
        <v>1.0</v>
      </c>
      <c r="CW40" s="22">
        <v>1.0</v>
      </c>
      <c r="CX40" s="22">
        <v>4.0</v>
      </c>
      <c r="CY40" s="22">
        <v>5.0</v>
      </c>
      <c r="CZ40" s="61">
        <v>3.125</v>
      </c>
      <c r="DA40" s="62" t="s">
        <v>561</v>
      </c>
    </row>
    <row r="41">
      <c r="A41" s="16" t="s">
        <v>116</v>
      </c>
      <c r="B41" s="16" t="s">
        <v>117</v>
      </c>
      <c r="C41" s="17" t="s">
        <v>28</v>
      </c>
      <c r="D41" s="16" t="s">
        <v>42</v>
      </c>
      <c r="E41" s="17" t="b">
        <f t="shared" ref="E41:K41" si="206">If(IFERROR(SEARCH(E$1, $D41),0) &gt;= 1, true,false)</f>
        <v>0</v>
      </c>
      <c r="F41" s="17" t="b">
        <f t="shared" si="206"/>
        <v>1</v>
      </c>
      <c r="G41" s="17" t="b">
        <f t="shared" si="206"/>
        <v>0</v>
      </c>
      <c r="H41" s="17" t="b">
        <f t="shared" si="206"/>
        <v>0</v>
      </c>
      <c r="I41" s="17" t="b">
        <f t="shared" si="206"/>
        <v>0</v>
      </c>
      <c r="J41" s="17" t="b">
        <f t="shared" si="206"/>
        <v>1</v>
      </c>
      <c r="K41" s="17" t="b">
        <f t="shared" si="206"/>
        <v>0</v>
      </c>
      <c r="L41" s="18" t="b">
        <v>1</v>
      </c>
      <c r="M41" s="18" t="b">
        <v>1</v>
      </c>
      <c r="N41" s="18" t="b">
        <v>1</v>
      </c>
      <c r="O41" s="18" t="b">
        <v>1</v>
      </c>
      <c r="P41" s="16" t="str">
        <f t="shared" si="7"/>
        <v>NAVIGO Visserijmuseum</v>
      </c>
      <c r="Q41" s="19">
        <v>10.0</v>
      </c>
      <c r="R41" s="20" t="b">
        <v>0</v>
      </c>
      <c r="S41" s="18" t="b">
        <v>1</v>
      </c>
      <c r="T41" s="30">
        <v>0.0</v>
      </c>
      <c r="U41" s="21">
        <f t="shared" si="8"/>
        <v>0</v>
      </c>
      <c r="V41" s="21">
        <f t="shared" ref="V41:AB41" si="207">if(OR(AW41 = $AO$4, AW41 = $AQ$4), 1, 0)</f>
        <v>0</v>
      </c>
      <c r="W41" s="21">
        <f t="shared" si="207"/>
        <v>0</v>
      </c>
      <c r="X41" s="21">
        <f t="shared" si="207"/>
        <v>0</v>
      </c>
      <c r="Y41" s="21">
        <f t="shared" si="207"/>
        <v>0</v>
      </c>
      <c r="Z41" s="21">
        <f t="shared" si="207"/>
        <v>0</v>
      </c>
      <c r="AA41" s="21">
        <f t="shared" si="207"/>
        <v>1</v>
      </c>
      <c r="AB41" s="21">
        <f t="shared" si="207"/>
        <v>0</v>
      </c>
      <c r="AC41" s="21">
        <f t="shared" si="10"/>
        <v>1</v>
      </c>
      <c r="AD41" s="21">
        <f t="shared" si="11"/>
        <v>1</v>
      </c>
      <c r="AE41" s="21">
        <f t="shared" ref="AE41:AH41" si="208">if(OR(BD41 = $AO$6, BD41 = $AS$6, BD41 = $AT$6, BD41 = $AU$6), 1, 0)</f>
        <v>1</v>
      </c>
      <c r="AF41" s="21">
        <f t="shared" si="208"/>
        <v>1</v>
      </c>
      <c r="AG41" s="21">
        <f t="shared" si="208"/>
        <v>1</v>
      </c>
      <c r="AH41" s="21">
        <f t="shared" si="208"/>
        <v>1</v>
      </c>
      <c r="AI41" s="21">
        <f t="shared" si="13"/>
        <v>4</v>
      </c>
      <c r="AJ41" s="21">
        <f t="shared" si="14"/>
        <v>6</v>
      </c>
      <c r="AK41" s="59">
        <f t="shared" si="15"/>
        <v>3.75</v>
      </c>
      <c r="AL41" s="60" t="str">
        <f t="shared" si="16"/>
        <v>good</v>
      </c>
      <c r="AW41" s="22">
        <f t="shared" ref="AW41:BC41" si="209">IF(IFERROR(SEARCH(E$1, $D41),0) &gt;= 1, E$1,0)</f>
        <v>0</v>
      </c>
      <c r="AX41" s="22" t="str">
        <f t="shared" si="209"/>
        <v>Wetenschap en technologie</v>
      </c>
      <c r="AY41" s="22">
        <f t="shared" si="209"/>
        <v>0</v>
      </c>
      <c r="AZ41" s="22">
        <f t="shared" si="209"/>
        <v>0</v>
      </c>
      <c r="BA41" s="22">
        <f t="shared" si="209"/>
        <v>0</v>
      </c>
      <c r="BB41" s="22" t="str">
        <f t="shared" si="209"/>
        <v>Beeldende kunst</v>
      </c>
      <c r="BC41" s="22">
        <f t="shared" si="209"/>
        <v>0</v>
      </c>
      <c r="BD41" s="22" t="str">
        <f t="shared" ref="BD41:BG41" si="210">IF(L41 = true, BD$1, 0)</f>
        <v>Shop</v>
      </c>
      <c r="BE41" s="22" t="str">
        <f t="shared" si="210"/>
        <v>Café</v>
      </c>
      <c r="BF41" s="22" t="str">
        <f t="shared" si="210"/>
        <v>Parking</v>
      </c>
      <c r="BG41" s="22" t="str">
        <f t="shared" si="210"/>
        <v>Restaurant</v>
      </c>
      <c r="BH41" s="22" t="str">
        <f>IFERROR(__xludf.DUMMYFUNCTION("""COMPUTED_VALUE"""),"Dru!f, huis van de tafeldruif")</f>
        <v>Dru!f, huis van de tafeldruif</v>
      </c>
      <c r="BI41" s="24">
        <f>IFERROR(__xludf.DUMMYFUNCTION("""COMPUTED_VALUE"""),0.0)</f>
        <v>0</v>
      </c>
      <c r="BJ41" s="22" t="b">
        <f>IFERROR(__xludf.DUMMYFUNCTION("""COMPUTED_VALUE"""),FALSE)</f>
        <v>0</v>
      </c>
      <c r="BK41" s="22" t="b">
        <f>IFERROR(__xludf.DUMMYFUNCTION("""COMPUTED_VALUE"""),TRUE)</f>
        <v>1</v>
      </c>
      <c r="BL41" s="24">
        <f>IFERROR(__xludf.DUMMYFUNCTION("""COMPUTED_VALUE"""),0.0)</f>
        <v>0</v>
      </c>
      <c r="BM41" s="22">
        <f>IFERROR(__xludf.DUMMYFUNCTION("""COMPUTED_VALUE"""),0.0)</f>
        <v>0</v>
      </c>
      <c r="BN41" s="22">
        <f>IFERROR(__xludf.DUMMYFUNCTION("""COMPUTED_VALUE"""),1.0)</f>
        <v>1</v>
      </c>
      <c r="BO41" s="22">
        <f>IFERROR(__xludf.DUMMYFUNCTION("""COMPUTED_VALUE"""),0.0)</f>
        <v>0</v>
      </c>
      <c r="BP41" s="22">
        <f>IFERROR(__xludf.DUMMYFUNCTION("""COMPUTED_VALUE"""),0.0)</f>
        <v>0</v>
      </c>
      <c r="BQ41" s="22">
        <f>IFERROR(__xludf.DUMMYFUNCTION("""COMPUTED_VALUE"""),0.0)</f>
        <v>0</v>
      </c>
      <c r="BR41" s="22">
        <f>IFERROR(__xludf.DUMMYFUNCTION("""COMPUTED_VALUE"""),0.0)</f>
        <v>0</v>
      </c>
      <c r="BS41" s="22">
        <f>IFERROR(__xludf.DUMMYFUNCTION("""COMPUTED_VALUE"""),1.0)</f>
        <v>1</v>
      </c>
      <c r="BT41" s="22">
        <f>IFERROR(__xludf.DUMMYFUNCTION("""COMPUTED_VALUE"""),0.0)</f>
        <v>0</v>
      </c>
      <c r="BU41" s="22">
        <f>IFERROR(__xludf.DUMMYFUNCTION("""COMPUTED_VALUE"""),2.0)</f>
        <v>2</v>
      </c>
      <c r="BV41" s="22">
        <f>IFERROR(__xludf.DUMMYFUNCTION("""COMPUTED_VALUE"""),1.0)</f>
        <v>1</v>
      </c>
      <c r="BW41" s="22">
        <f>IFERROR(__xludf.DUMMYFUNCTION("""COMPUTED_VALUE"""),1.0)</f>
        <v>1</v>
      </c>
      <c r="BX41" s="22">
        <f>IFERROR(__xludf.DUMMYFUNCTION("""COMPUTED_VALUE"""),0.0)</f>
        <v>0</v>
      </c>
      <c r="BY41" s="22">
        <f>IFERROR(__xludf.DUMMYFUNCTION("""COMPUTED_VALUE"""),0.0)</f>
        <v>0</v>
      </c>
      <c r="BZ41" s="22">
        <f>IFERROR(__xludf.DUMMYFUNCTION("""COMPUTED_VALUE"""),1.0)</f>
        <v>1</v>
      </c>
      <c r="CA41" s="22">
        <f>IFERROR(__xludf.DUMMYFUNCTION("""COMPUTED_VALUE"""),2.0)</f>
        <v>2</v>
      </c>
      <c r="CB41" s="22">
        <f>IFERROR(__xludf.DUMMYFUNCTION("""COMPUTED_VALUE"""),5.0)</f>
        <v>5</v>
      </c>
      <c r="CC41" s="61">
        <f>IFERROR(__xludf.DUMMYFUNCTION("""COMPUTED_VALUE"""),3.125)</f>
        <v>3.125</v>
      </c>
      <c r="CD41" s="62" t="str">
        <f>IFERROR(__xludf.DUMMYFUNCTION("""COMPUTED_VALUE"""),"good")</f>
        <v>good</v>
      </c>
      <c r="CE41" s="22" t="s">
        <v>233</v>
      </c>
      <c r="CF41" s="24">
        <v>0.0</v>
      </c>
      <c r="CG41" s="22" t="b">
        <v>0</v>
      </c>
      <c r="CH41" s="22" t="b">
        <v>1</v>
      </c>
      <c r="CI41" s="24">
        <v>0.0</v>
      </c>
      <c r="CJ41" s="22">
        <v>0.0</v>
      </c>
      <c r="CK41" s="22">
        <v>1.0</v>
      </c>
      <c r="CL41" s="22">
        <v>0.0</v>
      </c>
      <c r="CM41" s="22">
        <v>0.0</v>
      </c>
      <c r="CN41" s="22">
        <v>0.0</v>
      </c>
      <c r="CO41" s="22">
        <v>0.0</v>
      </c>
      <c r="CP41" s="22">
        <v>1.0</v>
      </c>
      <c r="CQ41" s="22">
        <v>0.0</v>
      </c>
      <c r="CR41" s="22">
        <v>2.0</v>
      </c>
      <c r="CS41" s="22">
        <v>1.0</v>
      </c>
      <c r="CT41" s="22">
        <v>1.0</v>
      </c>
      <c r="CU41" s="22">
        <v>0.0</v>
      </c>
      <c r="CV41" s="22">
        <v>0.0</v>
      </c>
      <c r="CW41" s="22">
        <v>1.0</v>
      </c>
      <c r="CX41" s="22">
        <v>2.0</v>
      </c>
      <c r="CY41" s="22">
        <v>5.0</v>
      </c>
      <c r="CZ41" s="61">
        <v>3.125</v>
      </c>
      <c r="DA41" s="62" t="s">
        <v>561</v>
      </c>
    </row>
    <row r="42">
      <c r="A42" s="16" t="s">
        <v>118</v>
      </c>
      <c r="B42" s="16" t="s">
        <v>119</v>
      </c>
      <c r="C42" s="17" t="s">
        <v>28</v>
      </c>
      <c r="D42" s="16" t="s">
        <v>120</v>
      </c>
      <c r="E42" s="17" t="b">
        <f t="shared" ref="E42:K42" si="211">If(IFERROR(SEARCH(E$1, $D42),0) &gt;= 1, true,false)</f>
        <v>0</v>
      </c>
      <c r="F42" s="17" t="b">
        <f t="shared" si="211"/>
        <v>0</v>
      </c>
      <c r="G42" s="17" t="b">
        <f t="shared" si="211"/>
        <v>0</v>
      </c>
      <c r="H42" s="17" t="b">
        <f t="shared" si="211"/>
        <v>0</v>
      </c>
      <c r="I42" s="17" t="b">
        <f t="shared" si="211"/>
        <v>1</v>
      </c>
      <c r="J42" s="17" t="b">
        <f t="shared" si="211"/>
        <v>1</v>
      </c>
      <c r="K42" s="17" t="b">
        <f t="shared" si="211"/>
        <v>0</v>
      </c>
      <c r="L42" s="18" t="b">
        <v>0</v>
      </c>
      <c r="M42" s="18" t="b">
        <v>0</v>
      </c>
      <c r="N42" s="18" t="b">
        <v>0</v>
      </c>
      <c r="O42" s="18" t="b">
        <v>0</v>
      </c>
      <c r="P42" s="16" t="str">
        <f t="shared" si="7"/>
        <v>O.L.V.-kerk Museum</v>
      </c>
      <c r="Q42" s="19">
        <v>8.0</v>
      </c>
      <c r="R42" s="20" t="b">
        <v>0</v>
      </c>
      <c r="S42" s="18" t="b">
        <v>0</v>
      </c>
      <c r="T42" s="21"/>
      <c r="U42" s="21">
        <f t="shared" si="8"/>
        <v>0</v>
      </c>
      <c r="V42" s="21">
        <f t="shared" ref="V42:AB42" si="212">if(OR(AW42 = $AO$4, AW42 = $AQ$4), 1, 0)</f>
        <v>0</v>
      </c>
      <c r="W42" s="21">
        <f t="shared" si="212"/>
        <v>0</v>
      </c>
      <c r="X42" s="21">
        <f t="shared" si="212"/>
        <v>0</v>
      </c>
      <c r="Y42" s="21">
        <f t="shared" si="212"/>
        <v>0</v>
      </c>
      <c r="Z42" s="21">
        <f t="shared" si="212"/>
        <v>0</v>
      </c>
      <c r="AA42" s="21">
        <f t="shared" si="212"/>
        <v>1</v>
      </c>
      <c r="AB42" s="21">
        <f t="shared" si="212"/>
        <v>0</v>
      </c>
      <c r="AC42" s="21">
        <f t="shared" si="10"/>
        <v>1</v>
      </c>
      <c r="AD42" s="21">
        <f t="shared" si="11"/>
        <v>1</v>
      </c>
      <c r="AE42" s="21">
        <f t="shared" ref="AE42:AH42" si="213">if(OR(BD42 = $AO$6, BD42 = $AS$6, BD42 = $AT$6, BD42 = $AU$6), 1, 0)</f>
        <v>0</v>
      </c>
      <c r="AF42" s="21">
        <f t="shared" si="213"/>
        <v>0</v>
      </c>
      <c r="AG42" s="21">
        <f t="shared" si="213"/>
        <v>0</v>
      </c>
      <c r="AH42" s="21">
        <f t="shared" si="213"/>
        <v>0</v>
      </c>
      <c r="AI42" s="21">
        <f t="shared" si="13"/>
        <v>0</v>
      </c>
      <c r="AJ42" s="21">
        <f t="shared" si="14"/>
        <v>2</v>
      </c>
      <c r="AK42" s="59">
        <f t="shared" si="15"/>
        <v>1.25</v>
      </c>
      <c r="AL42" s="60" t="str">
        <f t="shared" si="16"/>
        <v>subpar</v>
      </c>
      <c r="AW42" s="22">
        <f t="shared" ref="AW42:BC42" si="214">IF(IFERROR(SEARCH(E$1, $D42),0) &gt;= 1, E$1,0)</f>
        <v>0</v>
      </c>
      <c r="AX42" s="22">
        <f t="shared" si="214"/>
        <v>0</v>
      </c>
      <c r="AY42" s="22">
        <f t="shared" si="214"/>
        <v>0</v>
      </c>
      <c r="AZ42" s="22">
        <f t="shared" si="214"/>
        <v>0</v>
      </c>
      <c r="BA42" s="22" t="str">
        <f t="shared" si="214"/>
        <v>Architectuur</v>
      </c>
      <c r="BB42" s="22" t="str">
        <f t="shared" si="214"/>
        <v>Beeldende kunst</v>
      </c>
      <c r="BC42" s="22">
        <f t="shared" si="214"/>
        <v>0</v>
      </c>
      <c r="BD42" s="22">
        <f t="shared" ref="BD42:BG42" si="215">IF(L42 = true, BD$1, 0)</f>
        <v>0</v>
      </c>
      <c r="BE42" s="22">
        <f t="shared" si="215"/>
        <v>0</v>
      </c>
      <c r="BF42" s="22">
        <f t="shared" si="215"/>
        <v>0</v>
      </c>
      <c r="BG42" s="22">
        <f t="shared" si="215"/>
        <v>0</v>
      </c>
      <c r="BH42" s="22" t="str">
        <f>IFERROR(__xludf.DUMMYFUNCTION("""COMPUTED_VALUE"""),"FeliXart Museum")</f>
        <v>FeliXart Museum</v>
      </c>
      <c r="BI42" s="24">
        <f>IFERROR(__xludf.DUMMYFUNCTION("""COMPUTED_VALUE"""),10.0)</f>
        <v>10</v>
      </c>
      <c r="BJ42" s="22" t="b">
        <f>IFERROR(__xludf.DUMMYFUNCTION("""COMPUTED_VALUE"""),FALSE)</f>
        <v>0</v>
      </c>
      <c r="BK42" s="22" t="b">
        <f>IFERROR(__xludf.DUMMYFUNCTION("""COMPUTED_VALUE"""),TRUE)</f>
        <v>1</v>
      </c>
      <c r="BL42" s="24">
        <f>IFERROR(__xludf.DUMMYFUNCTION("""COMPUTED_VALUE"""),10.0)</f>
        <v>10</v>
      </c>
      <c r="BM42" s="22">
        <f>IFERROR(__xludf.DUMMYFUNCTION("""COMPUTED_VALUE"""),0.0)</f>
        <v>0</v>
      </c>
      <c r="BN42" s="22">
        <f>IFERROR(__xludf.DUMMYFUNCTION("""COMPUTED_VALUE"""),0.0)</f>
        <v>0</v>
      </c>
      <c r="BO42" s="22">
        <f>IFERROR(__xludf.DUMMYFUNCTION("""COMPUTED_VALUE"""),0.0)</f>
        <v>0</v>
      </c>
      <c r="BP42" s="22">
        <f>IFERROR(__xludf.DUMMYFUNCTION("""COMPUTED_VALUE"""),0.0)</f>
        <v>0</v>
      </c>
      <c r="BQ42" s="22">
        <f>IFERROR(__xludf.DUMMYFUNCTION("""COMPUTED_VALUE"""),0.0)</f>
        <v>0</v>
      </c>
      <c r="BR42" s="22">
        <f>IFERROR(__xludf.DUMMYFUNCTION("""COMPUTED_VALUE"""),0.0)</f>
        <v>0</v>
      </c>
      <c r="BS42" s="22">
        <f>IFERROR(__xludf.DUMMYFUNCTION("""COMPUTED_VALUE"""),1.0)</f>
        <v>1</v>
      </c>
      <c r="BT42" s="22">
        <f>IFERROR(__xludf.DUMMYFUNCTION("""COMPUTED_VALUE"""),0.0)</f>
        <v>0</v>
      </c>
      <c r="BU42" s="22">
        <f>IFERROR(__xludf.DUMMYFUNCTION("""COMPUTED_VALUE"""),1.0)</f>
        <v>1</v>
      </c>
      <c r="BV42" s="22">
        <f>IFERROR(__xludf.DUMMYFUNCTION("""COMPUTED_VALUE"""),1.0)</f>
        <v>1</v>
      </c>
      <c r="BW42" s="22">
        <f>IFERROR(__xludf.DUMMYFUNCTION("""COMPUTED_VALUE"""),1.0)</f>
        <v>1</v>
      </c>
      <c r="BX42" s="22">
        <f>IFERROR(__xludf.DUMMYFUNCTION("""COMPUTED_VALUE"""),1.0)</f>
        <v>1</v>
      </c>
      <c r="BY42" s="22">
        <f>IFERROR(__xludf.DUMMYFUNCTION("""COMPUTED_VALUE"""),1.0)</f>
        <v>1</v>
      </c>
      <c r="BZ42" s="22">
        <f>IFERROR(__xludf.DUMMYFUNCTION("""COMPUTED_VALUE"""),0.0)</f>
        <v>0</v>
      </c>
      <c r="CA42" s="22">
        <f>IFERROR(__xludf.DUMMYFUNCTION("""COMPUTED_VALUE"""),3.0)</f>
        <v>3</v>
      </c>
      <c r="CB42" s="22">
        <f>IFERROR(__xludf.DUMMYFUNCTION("""COMPUTED_VALUE"""),5.0)</f>
        <v>5</v>
      </c>
      <c r="CC42" s="61">
        <f>IFERROR(__xludf.DUMMYFUNCTION("""COMPUTED_VALUE"""),3.125)</f>
        <v>3.125</v>
      </c>
      <c r="CD42" s="62" t="str">
        <f>IFERROR(__xludf.DUMMYFUNCTION("""COMPUTED_VALUE"""),"good")</f>
        <v>good</v>
      </c>
      <c r="CE42" s="22" t="s">
        <v>235</v>
      </c>
      <c r="CF42" s="24">
        <v>10.0</v>
      </c>
      <c r="CG42" s="22" t="b">
        <v>0</v>
      </c>
      <c r="CH42" s="22" t="b">
        <v>1</v>
      </c>
      <c r="CI42" s="24">
        <v>10.0</v>
      </c>
      <c r="CJ42" s="22">
        <v>0.0</v>
      </c>
      <c r="CK42" s="22">
        <v>0.0</v>
      </c>
      <c r="CL42" s="22">
        <v>0.0</v>
      </c>
      <c r="CM42" s="22">
        <v>0.0</v>
      </c>
      <c r="CN42" s="22">
        <v>0.0</v>
      </c>
      <c r="CO42" s="22">
        <v>0.0</v>
      </c>
      <c r="CP42" s="22">
        <v>1.0</v>
      </c>
      <c r="CQ42" s="22">
        <v>0.0</v>
      </c>
      <c r="CR42" s="22">
        <v>1.0</v>
      </c>
      <c r="CS42" s="22">
        <v>1.0</v>
      </c>
      <c r="CT42" s="22">
        <v>1.0</v>
      </c>
      <c r="CU42" s="22">
        <v>1.0</v>
      </c>
      <c r="CV42" s="22">
        <v>1.0</v>
      </c>
      <c r="CW42" s="22">
        <v>0.0</v>
      </c>
      <c r="CX42" s="22">
        <v>3.0</v>
      </c>
      <c r="CY42" s="22">
        <v>5.0</v>
      </c>
      <c r="CZ42" s="61">
        <v>3.125</v>
      </c>
      <c r="DA42" s="62" t="s">
        <v>561</v>
      </c>
    </row>
    <row r="43">
      <c r="A43" s="16" t="s">
        <v>121</v>
      </c>
      <c r="B43" s="16" t="s">
        <v>122</v>
      </c>
      <c r="C43" s="17" t="s">
        <v>28</v>
      </c>
      <c r="D43" s="16" t="s">
        <v>68</v>
      </c>
      <c r="E43" s="17" t="b">
        <f t="shared" ref="E43:K43" si="216">If(IFERROR(SEARCH(E$1, $D43),0) &gt;= 1, true,false)</f>
        <v>1</v>
      </c>
      <c r="F43" s="17" t="b">
        <f t="shared" si="216"/>
        <v>0</v>
      </c>
      <c r="G43" s="17" t="b">
        <f t="shared" si="216"/>
        <v>0</v>
      </c>
      <c r="H43" s="17" t="b">
        <f t="shared" si="216"/>
        <v>0</v>
      </c>
      <c r="I43" s="17" t="b">
        <f t="shared" si="216"/>
        <v>1</v>
      </c>
      <c r="J43" s="17" t="b">
        <f t="shared" si="216"/>
        <v>1</v>
      </c>
      <c r="K43" s="17" t="b">
        <f t="shared" si="216"/>
        <v>1</v>
      </c>
      <c r="L43" s="18" t="b">
        <v>0</v>
      </c>
      <c r="M43" s="18" t="b">
        <v>0</v>
      </c>
      <c r="N43" s="18" t="b">
        <v>0</v>
      </c>
      <c r="O43" s="18" t="b">
        <v>0</v>
      </c>
      <c r="P43" s="16" t="str">
        <f t="shared" si="7"/>
        <v>O.L.V. ter Potterie</v>
      </c>
      <c r="Q43" s="19">
        <v>8.0</v>
      </c>
      <c r="R43" s="20" t="b">
        <v>0</v>
      </c>
      <c r="S43" s="18" t="b">
        <v>0</v>
      </c>
      <c r="T43" s="16"/>
      <c r="U43" s="21">
        <f t="shared" si="8"/>
        <v>0</v>
      </c>
      <c r="V43" s="21">
        <f t="shared" ref="V43:AB43" si="217">if(OR(AW43 = $AO$4, AW43 = $AQ$4), 1, 0)</f>
        <v>1</v>
      </c>
      <c r="W43" s="21">
        <f t="shared" si="217"/>
        <v>0</v>
      </c>
      <c r="X43" s="21">
        <f t="shared" si="217"/>
        <v>0</v>
      </c>
      <c r="Y43" s="21">
        <f t="shared" si="217"/>
        <v>0</v>
      </c>
      <c r="Z43" s="21">
        <f t="shared" si="217"/>
        <v>0</v>
      </c>
      <c r="AA43" s="21">
        <f t="shared" si="217"/>
        <v>1</v>
      </c>
      <c r="AB43" s="21">
        <f t="shared" si="217"/>
        <v>0</v>
      </c>
      <c r="AC43" s="21">
        <f t="shared" si="10"/>
        <v>2</v>
      </c>
      <c r="AD43" s="21">
        <f t="shared" si="11"/>
        <v>1</v>
      </c>
      <c r="AE43" s="21">
        <f t="shared" ref="AE43:AH43" si="218">if(OR(BD43 = $AO$6, BD43 = $AS$6, BD43 = $AT$6, BD43 = $AU$6), 1, 0)</f>
        <v>0</v>
      </c>
      <c r="AF43" s="21">
        <f t="shared" si="218"/>
        <v>0</v>
      </c>
      <c r="AG43" s="21">
        <f t="shared" si="218"/>
        <v>0</v>
      </c>
      <c r="AH43" s="21">
        <f t="shared" si="218"/>
        <v>0</v>
      </c>
      <c r="AI43" s="21">
        <f t="shared" si="13"/>
        <v>0</v>
      </c>
      <c r="AJ43" s="21">
        <f t="shared" si="14"/>
        <v>3</v>
      </c>
      <c r="AK43" s="59">
        <f t="shared" si="15"/>
        <v>1.875</v>
      </c>
      <c r="AL43" s="60" t="str">
        <f t="shared" si="16"/>
        <v>subpar</v>
      </c>
      <c r="AW43" s="22" t="str">
        <f t="shared" ref="AW43:BC43" si="219">IF(IFERROR(SEARCH(E$1, $D43),0) &gt;= 1, E$1,0)</f>
        <v>Geschiedenis en archeologie</v>
      </c>
      <c r="AX43" s="22">
        <f t="shared" si="219"/>
        <v>0</v>
      </c>
      <c r="AY43" s="22">
        <f t="shared" si="219"/>
        <v>0</v>
      </c>
      <c r="AZ43" s="22">
        <f t="shared" si="219"/>
        <v>0</v>
      </c>
      <c r="BA43" s="22" t="str">
        <f t="shared" si="219"/>
        <v>Architectuur</v>
      </c>
      <c r="BB43" s="22" t="str">
        <f t="shared" si="219"/>
        <v>Beeldende kunst</v>
      </c>
      <c r="BC43" s="22" t="str">
        <f t="shared" si="219"/>
        <v>Toegepaste kunst en design</v>
      </c>
      <c r="BD43" s="22">
        <f t="shared" ref="BD43:BG43" si="220">IF(L43 = true, BD$1, 0)</f>
        <v>0</v>
      </c>
      <c r="BE43" s="22">
        <f t="shared" si="220"/>
        <v>0</v>
      </c>
      <c r="BF43" s="22">
        <f t="shared" si="220"/>
        <v>0</v>
      </c>
      <c r="BG43" s="22">
        <f t="shared" si="220"/>
        <v>0</v>
      </c>
      <c r="BH43" s="22" t="str">
        <f>IFERROR(__xludf.DUMMYFUNCTION("""COMPUTED_VALUE"""),"Kasteel van Gaasbeek")</f>
        <v>Kasteel van Gaasbeek</v>
      </c>
      <c r="BI43" s="24">
        <f>IFERROR(__xludf.DUMMYFUNCTION("""COMPUTED_VALUE"""),12.0)</f>
        <v>12</v>
      </c>
      <c r="BJ43" s="22" t="b">
        <f>IFERROR(__xludf.DUMMYFUNCTION("""COMPUTED_VALUE"""),FALSE)</f>
        <v>0</v>
      </c>
      <c r="BK43" s="22" t="b">
        <f>IFERROR(__xludf.DUMMYFUNCTION("""COMPUTED_VALUE"""),TRUE)</f>
        <v>1</v>
      </c>
      <c r="BL43" s="24">
        <f>IFERROR(__xludf.DUMMYFUNCTION("""COMPUTED_VALUE"""),12.0)</f>
        <v>12</v>
      </c>
      <c r="BM43" s="22">
        <f>IFERROR(__xludf.DUMMYFUNCTION("""COMPUTED_VALUE"""),0.0)</f>
        <v>0</v>
      </c>
      <c r="BN43" s="22">
        <f>IFERROR(__xludf.DUMMYFUNCTION("""COMPUTED_VALUE"""),1.0)</f>
        <v>1</v>
      </c>
      <c r="BO43" s="22">
        <f>IFERROR(__xludf.DUMMYFUNCTION("""COMPUTED_VALUE"""),0.0)</f>
        <v>0</v>
      </c>
      <c r="BP43" s="22">
        <f>IFERROR(__xludf.DUMMYFUNCTION("""COMPUTED_VALUE"""),0.0)</f>
        <v>0</v>
      </c>
      <c r="BQ43" s="22">
        <f>IFERROR(__xludf.DUMMYFUNCTION("""COMPUTED_VALUE"""),0.0)</f>
        <v>0</v>
      </c>
      <c r="BR43" s="22">
        <f>IFERROR(__xludf.DUMMYFUNCTION("""COMPUTED_VALUE"""),0.0)</f>
        <v>0</v>
      </c>
      <c r="BS43" s="22">
        <f>IFERROR(__xludf.DUMMYFUNCTION("""COMPUTED_VALUE"""),1.0)</f>
        <v>1</v>
      </c>
      <c r="BT43" s="22">
        <f>IFERROR(__xludf.DUMMYFUNCTION("""COMPUTED_VALUE"""),0.0)</f>
        <v>0</v>
      </c>
      <c r="BU43" s="22">
        <f>IFERROR(__xludf.DUMMYFUNCTION("""COMPUTED_VALUE"""),2.0)</f>
        <v>2</v>
      </c>
      <c r="BV43" s="22">
        <f>IFERROR(__xludf.DUMMYFUNCTION("""COMPUTED_VALUE"""),0.0)</f>
        <v>0</v>
      </c>
      <c r="BW43" s="22">
        <f>IFERROR(__xludf.DUMMYFUNCTION("""COMPUTED_VALUE"""),1.0)</f>
        <v>1</v>
      </c>
      <c r="BX43" s="22">
        <f>IFERROR(__xludf.DUMMYFUNCTION("""COMPUTED_VALUE"""),1.0)</f>
        <v>1</v>
      </c>
      <c r="BY43" s="22">
        <f>IFERROR(__xludf.DUMMYFUNCTION("""COMPUTED_VALUE"""),1.0)</f>
        <v>1</v>
      </c>
      <c r="BZ43" s="22">
        <f>IFERROR(__xludf.DUMMYFUNCTION("""COMPUTED_VALUE"""),0.0)</f>
        <v>0</v>
      </c>
      <c r="CA43" s="22">
        <f>IFERROR(__xludf.DUMMYFUNCTION("""COMPUTED_VALUE"""),3.0)</f>
        <v>3</v>
      </c>
      <c r="CB43" s="22">
        <f>IFERROR(__xludf.DUMMYFUNCTION("""COMPUTED_VALUE"""),5.0)</f>
        <v>5</v>
      </c>
      <c r="CC43" s="61">
        <f>IFERROR(__xludf.DUMMYFUNCTION("""COMPUTED_VALUE"""),3.125)</f>
        <v>3.125</v>
      </c>
      <c r="CD43" s="62" t="str">
        <f>IFERROR(__xludf.DUMMYFUNCTION("""COMPUTED_VALUE"""),"good")</f>
        <v>good</v>
      </c>
      <c r="CE43" s="22" t="s">
        <v>239</v>
      </c>
      <c r="CF43" s="24">
        <v>12.0</v>
      </c>
      <c r="CG43" s="22" t="b">
        <v>0</v>
      </c>
      <c r="CH43" s="22" t="b">
        <v>1</v>
      </c>
      <c r="CI43" s="24">
        <v>12.0</v>
      </c>
      <c r="CJ43" s="22">
        <v>0.0</v>
      </c>
      <c r="CK43" s="22">
        <v>1.0</v>
      </c>
      <c r="CL43" s="22">
        <v>0.0</v>
      </c>
      <c r="CM43" s="22">
        <v>0.0</v>
      </c>
      <c r="CN43" s="22">
        <v>0.0</v>
      </c>
      <c r="CO43" s="22">
        <v>0.0</v>
      </c>
      <c r="CP43" s="22">
        <v>1.0</v>
      </c>
      <c r="CQ43" s="22">
        <v>0.0</v>
      </c>
      <c r="CR43" s="22">
        <v>2.0</v>
      </c>
      <c r="CS43" s="22">
        <v>0.0</v>
      </c>
      <c r="CT43" s="22">
        <v>1.0</v>
      </c>
      <c r="CU43" s="22">
        <v>1.0</v>
      </c>
      <c r="CV43" s="22">
        <v>1.0</v>
      </c>
      <c r="CW43" s="22">
        <v>0.0</v>
      </c>
      <c r="CX43" s="22">
        <v>3.0</v>
      </c>
      <c r="CY43" s="22">
        <v>5.0</v>
      </c>
      <c r="CZ43" s="61">
        <v>3.125</v>
      </c>
      <c r="DA43" s="62" t="s">
        <v>561</v>
      </c>
    </row>
    <row r="44">
      <c r="A44" s="16" t="s">
        <v>123</v>
      </c>
      <c r="B44" s="16"/>
      <c r="C44" s="17" t="s">
        <v>28</v>
      </c>
      <c r="D44" s="16" t="s">
        <v>4</v>
      </c>
      <c r="E44" s="17" t="b">
        <f t="shared" ref="E44:K44" si="221">If(IFERROR(SEARCH(E$1, $D44),0) &gt;= 1, true,false)</f>
        <v>1</v>
      </c>
      <c r="F44" s="17" t="b">
        <f t="shared" si="221"/>
        <v>0</v>
      </c>
      <c r="G44" s="17" t="b">
        <f t="shared" si="221"/>
        <v>0</v>
      </c>
      <c r="H44" s="17" t="b">
        <f t="shared" si="221"/>
        <v>0</v>
      </c>
      <c r="I44" s="17" t="b">
        <f t="shared" si="221"/>
        <v>0</v>
      </c>
      <c r="J44" s="17" t="b">
        <f t="shared" si="221"/>
        <v>0</v>
      </c>
      <c r="K44" s="17" t="b">
        <f t="shared" si="221"/>
        <v>0</v>
      </c>
      <c r="L44" s="18" t="b">
        <v>1</v>
      </c>
      <c r="M44" s="18" t="b">
        <v>0</v>
      </c>
      <c r="N44" s="18" t="b">
        <v>1</v>
      </c>
      <c r="O44" s="18" t="b">
        <v>0</v>
      </c>
      <c r="P44" s="16" t="str">
        <f t="shared" si="7"/>
        <v>Passchendaele Museum</v>
      </c>
      <c r="Q44" s="19">
        <v>13.0</v>
      </c>
      <c r="R44" s="20" t="b">
        <v>0</v>
      </c>
      <c r="S44" s="18" t="b">
        <v>1</v>
      </c>
      <c r="T44" s="30">
        <v>13.0</v>
      </c>
      <c r="U44" s="21">
        <f t="shared" si="8"/>
        <v>0</v>
      </c>
      <c r="V44" s="21">
        <f t="shared" ref="V44:AB44" si="222">if(OR(AW44 = $AO$4, AW44 = $AQ$4), 1, 0)</f>
        <v>1</v>
      </c>
      <c r="W44" s="21">
        <f t="shared" si="222"/>
        <v>0</v>
      </c>
      <c r="X44" s="21">
        <f t="shared" si="222"/>
        <v>0</v>
      </c>
      <c r="Y44" s="21">
        <f t="shared" si="222"/>
        <v>0</v>
      </c>
      <c r="Z44" s="21">
        <f t="shared" si="222"/>
        <v>0</v>
      </c>
      <c r="AA44" s="21">
        <f t="shared" si="222"/>
        <v>0</v>
      </c>
      <c r="AB44" s="21">
        <f t="shared" si="222"/>
        <v>0</v>
      </c>
      <c r="AC44" s="21">
        <f t="shared" si="10"/>
        <v>1</v>
      </c>
      <c r="AD44" s="21">
        <f t="shared" si="11"/>
        <v>0</v>
      </c>
      <c r="AE44" s="21">
        <f t="shared" ref="AE44:AH44" si="223">if(OR(BD44 = $AO$6, BD44 = $AS$6, BD44 = $AT$6, BD44 = $AU$6), 1, 0)</f>
        <v>1</v>
      </c>
      <c r="AF44" s="21">
        <f t="shared" si="223"/>
        <v>0</v>
      </c>
      <c r="AG44" s="21">
        <f t="shared" si="223"/>
        <v>1</v>
      </c>
      <c r="AH44" s="21">
        <f t="shared" si="223"/>
        <v>0</v>
      </c>
      <c r="AI44" s="21">
        <f t="shared" si="13"/>
        <v>2</v>
      </c>
      <c r="AJ44" s="21">
        <f t="shared" si="14"/>
        <v>3</v>
      </c>
      <c r="AK44" s="59">
        <f t="shared" si="15"/>
        <v>1.875</v>
      </c>
      <c r="AL44" s="60" t="str">
        <f t="shared" si="16"/>
        <v>subpar</v>
      </c>
      <c r="AW44" s="22" t="str">
        <f t="shared" ref="AW44:BC44" si="224">IF(IFERROR(SEARCH(E$1, $D44),0) &gt;= 1, E$1,0)</f>
        <v>Geschiedenis en archeologie</v>
      </c>
      <c r="AX44" s="22">
        <f t="shared" si="224"/>
        <v>0</v>
      </c>
      <c r="AY44" s="22">
        <f t="shared" si="224"/>
        <v>0</v>
      </c>
      <c r="AZ44" s="22">
        <f t="shared" si="224"/>
        <v>0</v>
      </c>
      <c r="BA44" s="22">
        <f t="shared" si="224"/>
        <v>0</v>
      </c>
      <c r="BB44" s="22">
        <f t="shared" si="224"/>
        <v>0</v>
      </c>
      <c r="BC44" s="22">
        <f t="shared" si="224"/>
        <v>0</v>
      </c>
      <c r="BD44" s="22" t="str">
        <f t="shared" ref="BD44:BG44" si="225">IF(L44 = true, BD$1, 0)</f>
        <v>Shop</v>
      </c>
      <c r="BE44" s="22">
        <f t="shared" si="225"/>
        <v>0</v>
      </c>
      <c r="BF44" s="22" t="str">
        <f t="shared" si="225"/>
        <v>Parking</v>
      </c>
      <c r="BG44" s="22">
        <f t="shared" si="225"/>
        <v>0</v>
      </c>
      <c r="BH44" s="22" t="str">
        <f>IFERROR(__xludf.DUMMYFUNCTION("""COMPUTED_VALUE"""),"Gallo-Romeins Museum")</f>
        <v>Gallo-Romeins Museum</v>
      </c>
      <c r="BI44" s="24">
        <f>IFERROR(__xludf.DUMMYFUNCTION("""COMPUTED_VALUE"""),8.0)</f>
        <v>8</v>
      </c>
      <c r="BJ44" s="22" t="b">
        <f>IFERROR(__xludf.DUMMYFUNCTION("""COMPUTED_VALUE"""),FALSE)</f>
        <v>0</v>
      </c>
      <c r="BK44" s="22" t="b">
        <f>IFERROR(__xludf.DUMMYFUNCTION("""COMPUTED_VALUE"""),TRUE)</f>
        <v>1</v>
      </c>
      <c r="BL44" s="24">
        <f>IFERROR(__xludf.DUMMYFUNCTION("""COMPUTED_VALUE"""),13.0)</f>
        <v>13</v>
      </c>
      <c r="BM44" s="22">
        <f>IFERROR(__xludf.DUMMYFUNCTION("""COMPUTED_VALUE"""),0.0)</f>
        <v>0</v>
      </c>
      <c r="BN44" s="22">
        <f>IFERROR(__xludf.DUMMYFUNCTION("""COMPUTED_VALUE"""),1.0)</f>
        <v>1</v>
      </c>
      <c r="BO44" s="22">
        <f>IFERROR(__xludf.DUMMYFUNCTION("""COMPUTED_VALUE"""),0.0)</f>
        <v>0</v>
      </c>
      <c r="BP44" s="22">
        <f>IFERROR(__xludf.DUMMYFUNCTION("""COMPUTED_VALUE"""),0.0)</f>
        <v>0</v>
      </c>
      <c r="BQ44" s="22">
        <f>IFERROR(__xludf.DUMMYFUNCTION("""COMPUTED_VALUE"""),0.0)</f>
        <v>0</v>
      </c>
      <c r="BR44" s="22">
        <f>IFERROR(__xludf.DUMMYFUNCTION("""COMPUTED_VALUE"""),0.0)</f>
        <v>0</v>
      </c>
      <c r="BS44" s="22">
        <f>IFERROR(__xludf.DUMMYFUNCTION("""COMPUTED_VALUE"""),0.0)</f>
        <v>0</v>
      </c>
      <c r="BT44" s="22">
        <f>IFERROR(__xludf.DUMMYFUNCTION("""COMPUTED_VALUE"""),0.0)</f>
        <v>0</v>
      </c>
      <c r="BU44" s="22">
        <f>IFERROR(__xludf.DUMMYFUNCTION("""COMPUTED_VALUE"""),1.0)</f>
        <v>1</v>
      </c>
      <c r="BV44" s="22">
        <f>IFERROR(__xludf.DUMMYFUNCTION("""COMPUTED_VALUE"""),1.0)</f>
        <v>1</v>
      </c>
      <c r="BW44" s="22">
        <f>IFERROR(__xludf.DUMMYFUNCTION("""COMPUTED_VALUE"""),1.0)</f>
        <v>1</v>
      </c>
      <c r="BX44" s="22">
        <f>IFERROR(__xludf.DUMMYFUNCTION("""COMPUTED_VALUE"""),0.0)</f>
        <v>0</v>
      </c>
      <c r="BY44" s="22">
        <f>IFERROR(__xludf.DUMMYFUNCTION("""COMPUTED_VALUE"""),1.0)</f>
        <v>1</v>
      </c>
      <c r="BZ44" s="22">
        <f>IFERROR(__xludf.DUMMYFUNCTION("""COMPUTED_VALUE"""),1.0)</f>
        <v>1</v>
      </c>
      <c r="CA44" s="22">
        <f>IFERROR(__xludf.DUMMYFUNCTION("""COMPUTED_VALUE"""),3.0)</f>
        <v>3</v>
      </c>
      <c r="CB44" s="22">
        <f>IFERROR(__xludf.DUMMYFUNCTION("""COMPUTED_VALUE"""),5.0)</f>
        <v>5</v>
      </c>
      <c r="CC44" s="61">
        <f>IFERROR(__xludf.DUMMYFUNCTION("""COMPUTED_VALUE"""),3.125)</f>
        <v>3.125</v>
      </c>
      <c r="CD44" s="62" t="str">
        <f>IFERROR(__xludf.DUMMYFUNCTION("""COMPUTED_VALUE"""),"good")</f>
        <v>good</v>
      </c>
      <c r="CE44" s="22" t="s">
        <v>261</v>
      </c>
      <c r="CF44" s="24">
        <v>8.0</v>
      </c>
      <c r="CG44" s="22" t="b">
        <v>0</v>
      </c>
      <c r="CH44" s="22" t="b">
        <v>1</v>
      </c>
      <c r="CI44" s="24">
        <v>13.0</v>
      </c>
      <c r="CJ44" s="22">
        <v>0.0</v>
      </c>
      <c r="CK44" s="22">
        <v>1.0</v>
      </c>
      <c r="CL44" s="22">
        <v>0.0</v>
      </c>
      <c r="CM44" s="22">
        <v>0.0</v>
      </c>
      <c r="CN44" s="22">
        <v>0.0</v>
      </c>
      <c r="CO44" s="22">
        <v>0.0</v>
      </c>
      <c r="CP44" s="22">
        <v>0.0</v>
      </c>
      <c r="CQ44" s="22">
        <v>0.0</v>
      </c>
      <c r="CR44" s="22">
        <v>1.0</v>
      </c>
      <c r="CS44" s="22">
        <v>1.0</v>
      </c>
      <c r="CT44" s="22">
        <v>1.0</v>
      </c>
      <c r="CU44" s="22">
        <v>0.0</v>
      </c>
      <c r="CV44" s="22">
        <v>1.0</v>
      </c>
      <c r="CW44" s="22">
        <v>1.0</v>
      </c>
      <c r="CX44" s="22">
        <v>3.0</v>
      </c>
      <c r="CY44" s="22">
        <v>5.0</v>
      </c>
      <c r="CZ44" s="61">
        <v>3.125</v>
      </c>
      <c r="DA44" s="62" t="s">
        <v>561</v>
      </c>
    </row>
    <row r="45">
      <c r="A45" s="16" t="s">
        <v>124</v>
      </c>
      <c r="B45" s="16" t="s">
        <v>125</v>
      </c>
      <c r="C45" s="17" t="s">
        <v>28</v>
      </c>
      <c r="D45" s="16" t="s">
        <v>9</v>
      </c>
      <c r="E45" s="17" t="b">
        <f t="shared" ref="E45:K45" si="226">If(IFERROR(SEARCH(E$1, $D45),0) &gt;= 1, true,false)</f>
        <v>0</v>
      </c>
      <c r="F45" s="17" t="b">
        <f t="shared" si="226"/>
        <v>0</v>
      </c>
      <c r="G45" s="17" t="b">
        <f t="shared" si="226"/>
        <v>0</v>
      </c>
      <c r="H45" s="17" t="b">
        <f t="shared" si="226"/>
        <v>0</v>
      </c>
      <c r="I45" s="17" t="b">
        <f t="shared" si="226"/>
        <v>0</v>
      </c>
      <c r="J45" s="17" t="b">
        <f t="shared" si="226"/>
        <v>1</v>
      </c>
      <c r="K45" s="17" t="b">
        <f t="shared" si="226"/>
        <v>0</v>
      </c>
      <c r="L45" s="18" t="b">
        <v>1</v>
      </c>
      <c r="M45" s="18" t="b">
        <v>1</v>
      </c>
      <c r="N45" s="18" t="b">
        <v>1</v>
      </c>
      <c r="O45" s="18" t="b">
        <v>0</v>
      </c>
      <c r="P45" s="16" t="str">
        <f t="shared" si="7"/>
        <v>Paul Delvaux Museum</v>
      </c>
      <c r="Q45" s="19">
        <v>12.0</v>
      </c>
      <c r="R45" s="20" t="b">
        <v>0</v>
      </c>
      <c r="S45" s="18" t="b">
        <v>0</v>
      </c>
      <c r="T45" s="21"/>
      <c r="U45" s="21">
        <f t="shared" si="8"/>
        <v>0</v>
      </c>
      <c r="V45" s="21">
        <f t="shared" ref="V45:AB45" si="227">if(OR(AW45 = $AO$4, AW45 = $AQ$4), 1, 0)</f>
        <v>0</v>
      </c>
      <c r="W45" s="21">
        <f t="shared" si="227"/>
        <v>0</v>
      </c>
      <c r="X45" s="21">
        <f t="shared" si="227"/>
        <v>0</v>
      </c>
      <c r="Y45" s="21">
        <f t="shared" si="227"/>
        <v>0</v>
      </c>
      <c r="Z45" s="21">
        <f t="shared" si="227"/>
        <v>0</v>
      </c>
      <c r="AA45" s="21">
        <f t="shared" si="227"/>
        <v>1</v>
      </c>
      <c r="AB45" s="21">
        <f t="shared" si="227"/>
        <v>0</v>
      </c>
      <c r="AC45" s="21">
        <f t="shared" si="10"/>
        <v>1</v>
      </c>
      <c r="AD45" s="21">
        <f t="shared" si="11"/>
        <v>0</v>
      </c>
      <c r="AE45" s="21">
        <f t="shared" ref="AE45:AH45" si="228">if(OR(BD45 = $AO$6, BD45 = $AS$6, BD45 = $AT$6, BD45 = $AU$6), 1, 0)</f>
        <v>1</v>
      </c>
      <c r="AF45" s="21">
        <f t="shared" si="228"/>
        <v>1</v>
      </c>
      <c r="AG45" s="21">
        <f t="shared" si="228"/>
        <v>1</v>
      </c>
      <c r="AH45" s="21">
        <f t="shared" si="228"/>
        <v>0</v>
      </c>
      <c r="AI45" s="21">
        <f t="shared" si="13"/>
        <v>3</v>
      </c>
      <c r="AJ45" s="21">
        <f t="shared" si="14"/>
        <v>4</v>
      </c>
      <c r="AK45" s="59">
        <f t="shared" si="15"/>
        <v>2.5</v>
      </c>
      <c r="AL45" s="60" t="str">
        <f t="shared" si="16"/>
        <v>subpar</v>
      </c>
      <c r="AW45" s="22">
        <f t="shared" ref="AW45:BC45" si="229">IF(IFERROR(SEARCH(E$1, $D45),0) &gt;= 1, E$1,0)</f>
        <v>0</v>
      </c>
      <c r="AX45" s="22">
        <f t="shared" si="229"/>
        <v>0</v>
      </c>
      <c r="AY45" s="22">
        <f t="shared" si="229"/>
        <v>0</v>
      </c>
      <c r="AZ45" s="22">
        <f t="shared" si="229"/>
        <v>0</v>
      </c>
      <c r="BA45" s="22">
        <f t="shared" si="229"/>
        <v>0</v>
      </c>
      <c r="BB45" s="22" t="str">
        <f t="shared" si="229"/>
        <v>Beeldende kunst</v>
      </c>
      <c r="BC45" s="22">
        <f t="shared" si="229"/>
        <v>0</v>
      </c>
      <c r="BD45" s="22" t="str">
        <f t="shared" ref="BD45:BG45" si="230">IF(L45 = true, BD$1, 0)</f>
        <v>Shop</v>
      </c>
      <c r="BE45" s="22" t="str">
        <f t="shared" si="230"/>
        <v>Café</v>
      </c>
      <c r="BF45" s="22" t="str">
        <f t="shared" si="230"/>
        <v>Parking</v>
      </c>
      <c r="BG45" s="22">
        <f t="shared" si="230"/>
        <v>0</v>
      </c>
      <c r="BH45" s="22" t="str">
        <f>IFERROR(__xludf.DUMMYFUNCTION("""COMPUTED_VALUE"""),"Openluchtmuseum Bokrijk")</f>
        <v>Openluchtmuseum Bokrijk</v>
      </c>
      <c r="BI45" s="24">
        <f>IFERROR(__xludf.DUMMYFUNCTION("""COMPUTED_VALUE"""),16.0)</f>
        <v>16</v>
      </c>
      <c r="BJ45" s="22" t="b">
        <f>IFERROR(__xludf.DUMMYFUNCTION("""COMPUTED_VALUE"""),TRUE)</f>
        <v>1</v>
      </c>
      <c r="BK45" s="22" t="b">
        <f>IFERROR(__xludf.DUMMYFUNCTION("""COMPUTED_VALUE"""),FALSE)</f>
        <v>0</v>
      </c>
      <c r="BL45" s="22"/>
      <c r="BM45" s="22">
        <f>IFERROR(__xludf.DUMMYFUNCTION("""COMPUTED_VALUE"""),0.0)</f>
        <v>0</v>
      </c>
      <c r="BN45" s="22">
        <f>IFERROR(__xludf.DUMMYFUNCTION("""COMPUTED_VALUE"""),1.0)</f>
        <v>1</v>
      </c>
      <c r="BO45" s="22">
        <f>IFERROR(__xludf.DUMMYFUNCTION("""COMPUTED_VALUE"""),0.0)</f>
        <v>0</v>
      </c>
      <c r="BP45" s="22">
        <f>IFERROR(__xludf.DUMMYFUNCTION("""COMPUTED_VALUE"""),0.0)</f>
        <v>0</v>
      </c>
      <c r="BQ45" s="22">
        <f>IFERROR(__xludf.DUMMYFUNCTION("""COMPUTED_VALUE"""),0.0)</f>
        <v>0</v>
      </c>
      <c r="BR45" s="22">
        <f>IFERROR(__xludf.DUMMYFUNCTION("""COMPUTED_VALUE"""),0.0)</f>
        <v>0</v>
      </c>
      <c r="BS45" s="22">
        <f>IFERROR(__xludf.DUMMYFUNCTION("""COMPUTED_VALUE"""),0.0)</f>
        <v>0</v>
      </c>
      <c r="BT45" s="22">
        <f>IFERROR(__xludf.DUMMYFUNCTION("""COMPUTED_VALUE"""),0.0)</f>
        <v>0</v>
      </c>
      <c r="BU45" s="22">
        <f>IFERROR(__xludf.DUMMYFUNCTION("""COMPUTED_VALUE"""),1.0)</f>
        <v>1</v>
      </c>
      <c r="BV45" s="22">
        <f>IFERROR(__xludf.DUMMYFUNCTION("""COMPUTED_VALUE"""),0.0)</f>
        <v>0</v>
      </c>
      <c r="BW45" s="22">
        <f>IFERROR(__xludf.DUMMYFUNCTION("""COMPUTED_VALUE"""),1.0)</f>
        <v>1</v>
      </c>
      <c r="BX45" s="22">
        <f>IFERROR(__xludf.DUMMYFUNCTION("""COMPUTED_VALUE"""),1.0)</f>
        <v>1</v>
      </c>
      <c r="BY45" s="22">
        <f>IFERROR(__xludf.DUMMYFUNCTION("""COMPUTED_VALUE"""),1.0)</f>
        <v>1</v>
      </c>
      <c r="BZ45" s="22">
        <f>IFERROR(__xludf.DUMMYFUNCTION("""COMPUTED_VALUE"""),1.0)</f>
        <v>1</v>
      </c>
      <c r="CA45" s="22">
        <f>IFERROR(__xludf.DUMMYFUNCTION("""COMPUTED_VALUE"""),4.0)</f>
        <v>4</v>
      </c>
      <c r="CB45" s="22">
        <f>IFERROR(__xludf.DUMMYFUNCTION("""COMPUTED_VALUE"""),5.0)</f>
        <v>5</v>
      </c>
      <c r="CC45" s="61">
        <f>IFERROR(__xludf.DUMMYFUNCTION("""COMPUTED_VALUE"""),3.125)</f>
        <v>3.125</v>
      </c>
      <c r="CD45" s="62" t="str">
        <f>IFERROR(__xludf.DUMMYFUNCTION("""COMPUTED_VALUE"""),"good")</f>
        <v>good</v>
      </c>
      <c r="CE45" s="22" t="s">
        <v>273</v>
      </c>
      <c r="CF45" s="24">
        <v>16.0</v>
      </c>
      <c r="CG45" s="22" t="b">
        <v>1</v>
      </c>
      <c r="CH45" s="22" t="b">
        <v>0</v>
      </c>
      <c r="CI45" s="22"/>
      <c r="CJ45" s="22">
        <v>0.0</v>
      </c>
      <c r="CK45" s="22">
        <v>1.0</v>
      </c>
      <c r="CL45" s="22">
        <v>0.0</v>
      </c>
      <c r="CM45" s="22">
        <v>0.0</v>
      </c>
      <c r="CN45" s="22">
        <v>0.0</v>
      </c>
      <c r="CO45" s="22">
        <v>0.0</v>
      </c>
      <c r="CP45" s="22">
        <v>0.0</v>
      </c>
      <c r="CQ45" s="22">
        <v>0.0</v>
      </c>
      <c r="CR45" s="22">
        <v>1.0</v>
      </c>
      <c r="CS45" s="22">
        <v>0.0</v>
      </c>
      <c r="CT45" s="22">
        <v>1.0</v>
      </c>
      <c r="CU45" s="22">
        <v>1.0</v>
      </c>
      <c r="CV45" s="22">
        <v>1.0</v>
      </c>
      <c r="CW45" s="22">
        <v>1.0</v>
      </c>
      <c r="CX45" s="22">
        <v>4.0</v>
      </c>
      <c r="CY45" s="22">
        <v>5.0</v>
      </c>
      <c r="CZ45" s="61">
        <v>3.125</v>
      </c>
      <c r="DA45" s="62" t="s">
        <v>561</v>
      </c>
    </row>
    <row r="46">
      <c r="A46" s="16" t="s">
        <v>126</v>
      </c>
      <c r="B46" s="16"/>
      <c r="C46" s="17" t="s">
        <v>28</v>
      </c>
      <c r="D46" s="16" t="s">
        <v>9</v>
      </c>
      <c r="E46" s="17" t="b">
        <f t="shared" ref="E46:K46" si="231">If(IFERROR(SEARCH(E$1, $D46),0) &gt;= 1, true,false)</f>
        <v>0</v>
      </c>
      <c r="F46" s="17" t="b">
        <f t="shared" si="231"/>
        <v>0</v>
      </c>
      <c r="G46" s="17" t="b">
        <f t="shared" si="231"/>
        <v>0</v>
      </c>
      <c r="H46" s="17" t="b">
        <f t="shared" si="231"/>
        <v>0</v>
      </c>
      <c r="I46" s="17" t="b">
        <f t="shared" si="231"/>
        <v>0</v>
      </c>
      <c r="J46" s="17" t="b">
        <f t="shared" si="231"/>
        <v>1</v>
      </c>
      <c r="K46" s="17" t="b">
        <f t="shared" si="231"/>
        <v>0</v>
      </c>
      <c r="L46" s="18" t="b">
        <v>1</v>
      </c>
      <c r="M46" s="18" t="b">
        <v>0</v>
      </c>
      <c r="N46" s="18" t="b">
        <v>0</v>
      </c>
      <c r="O46" s="18" t="b">
        <v>0</v>
      </c>
      <c r="P46" s="16" t="str">
        <f t="shared" si="7"/>
        <v>Peiremuzee</v>
      </c>
      <c r="Q46" s="19">
        <v>12.0</v>
      </c>
      <c r="R46" s="20" t="b">
        <v>0</v>
      </c>
      <c r="S46" s="18" t="b">
        <v>0</v>
      </c>
      <c r="T46" s="16"/>
      <c r="U46" s="21">
        <f t="shared" si="8"/>
        <v>0</v>
      </c>
      <c r="V46" s="21">
        <f t="shared" ref="V46:AB46" si="232">if(OR(AW46 = $AO$4, AW46 = $AQ$4), 1, 0)</f>
        <v>0</v>
      </c>
      <c r="W46" s="21">
        <f t="shared" si="232"/>
        <v>0</v>
      </c>
      <c r="X46" s="21">
        <f t="shared" si="232"/>
        <v>0</v>
      </c>
      <c r="Y46" s="21">
        <f t="shared" si="232"/>
        <v>0</v>
      </c>
      <c r="Z46" s="21">
        <f t="shared" si="232"/>
        <v>0</v>
      </c>
      <c r="AA46" s="21">
        <f t="shared" si="232"/>
        <v>1</v>
      </c>
      <c r="AB46" s="21">
        <f t="shared" si="232"/>
        <v>0</v>
      </c>
      <c r="AC46" s="21">
        <f t="shared" si="10"/>
        <v>1</v>
      </c>
      <c r="AD46" s="21">
        <f t="shared" si="11"/>
        <v>0</v>
      </c>
      <c r="AE46" s="21">
        <f t="shared" ref="AE46:AH46" si="233">if(OR(BD46 = $AO$6, BD46 = $AS$6, BD46 = $AT$6, BD46 = $AU$6), 1, 0)</f>
        <v>1</v>
      </c>
      <c r="AF46" s="21">
        <f t="shared" si="233"/>
        <v>0</v>
      </c>
      <c r="AG46" s="21">
        <f t="shared" si="233"/>
        <v>0</v>
      </c>
      <c r="AH46" s="21">
        <f t="shared" si="233"/>
        <v>0</v>
      </c>
      <c r="AI46" s="21">
        <f t="shared" si="13"/>
        <v>1</v>
      </c>
      <c r="AJ46" s="21">
        <f t="shared" si="14"/>
        <v>2</v>
      </c>
      <c r="AK46" s="59">
        <f t="shared" si="15"/>
        <v>1.25</v>
      </c>
      <c r="AL46" s="60" t="str">
        <f t="shared" si="16"/>
        <v>subpar</v>
      </c>
      <c r="AW46" s="22">
        <f t="shared" ref="AW46:BC46" si="234">IF(IFERROR(SEARCH(E$1, $D46),0) &gt;= 1, E$1,0)</f>
        <v>0</v>
      </c>
      <c r="AX46" s="22">
        <f t="shared" si="234"/>
        <v>0</v>
      </c>
      <c r="AY46" s="22">
        <f t="shared" si="234"/>
        <v>0</v>
      </c>
      <c r="AZ46" s="22">
        <f t="shared" si="234"/>
        <v>0</v>
      </c>
      <c r="BA46" s="22">
        <f t="shared" si="234"/>
        <v>0</v>
      </c>
      <c r="BB46" s="22" t="str">
        <f t="shared" si="234"/>
        <v>Beeldende kunst</v>
      </c>
      <c r="BC46" s="22">
        <f t="shared" si="234"/>
        <v>0</v>
      </c>
      <c r="BD46" s="22" t="str">
        <f t="shared" ref="BD46:BG46" si="235">IF(L46 = true, BD$1, 0)</f>
        <v>Shop</v>
      </c>
      <c r="BE46" s="22">
        <f t="shared" si="235"/>
        <v>0</v>
      </c>
      <c r="BF46" s="22">
        <f t="shared" si="235"/>
        <v>0</v>
      </c>
      <c r="BG46" s="22">
        <f t="shared" si="235"/>
        <v>0</v>
      </c>
      <c r="BH46" s="22" t="str">
        <f>IFERROR(__xludf.DUMMYFUNCTION("""COMPUTED_VALUE"""),"Abdij van Stavelot")</f>
        <v>Abdij van Stavelot</v>
      </c>
      <c r="BI46" s="24">
        <f>IFERROR(__xludf.DUMMYFUNCTION("""COMPUTED_VALUE"""),11.0)</f>
        <v>11</v>
      </c>
      <c r="BJ46" s="22" t="b">
        <f>IFERROR(__xludf.DUMMYFUNCTION("""COMPUTED_VALUE"""),FALSE)</f>
        <v>0</v>
      </c>
      <c r="BK46" s="22" t="b">
        <f>IFERROR(__xludf.DUMMYFUNCTION("""COMPUTED_VALUE"""),TRUE)</f>
        <v>1</v>
      </c>
      <c r="BL46" s="24">
        <f>IFERROR(__xludf.DUMMYFUNCTION("""COMPUTED_VALUE"""),19.0)</f>
        <v>19</v>
      </c>
      <c r="BM46" s="22">
        <f>IFERROR(__xludf.DUMMYFUNCTION("""COMPUTED_VALUE"""),0.0)</f>
        <v>0</v>
      </c>
      <c r="BN46" s="22">
        <f>IFERROR(__xludf.DUMMYFUNCTION("""COMPUTED_VALUE"""),1.0)</f>
        <v>1</v>
      </c>
      <c r="BO46" s="22">
        <f>IFERROR(__xludf.DUMMYFUNCTION("""COMPUTED_VALUE"""),0.0)</f>
        <v>0</v>
      </c>
      <c r="BP46" s="22">
        <f>IFERROR(__xludf.DUMMYFUNCTION("""COMPUTED_VALUE"""),0.0)</f>
        <v>0</v>
      </c>
      <c r="BQ46" s="22">
        <f>IFERROR(__xludf.DUMMYFUNCTION("""COMPUTED_VALUE"""),0.0)</f>
        <v>0</v>
      </c>
      <c r="BR46" s="22">
        <f>IFERROR(__xludf.DUMMYFUNCTION("""COMPUTED_VALUE"""),0.0)</f>
        <v>0</v>
      </c>
      <c r="BS46" s="22">
        <f>IFERROR(__xludf.DUMMYFUNCTION("""COMPUTED_VALUE"""),0.0)</f>
        <v>0</v>
      </c>
      <c r="BT46" s="22">
        <f>IFERROR(__xludf.DUMMYFUNCTION("""COMPUTED_VALUE"""),0.0)</f>
        <v>0</v>
      </c>
      <c r="BU46" s="22">
        <f>IFERROR(__xludf.DUMMYFUNCTION("""COMPUTED_VALUE"""),1.0)</f>
        <v>1</v>
      </c>
      <c r="BV46" s="22">
        <f>IFERROR(__xludf.DUMMYFUNCTION("""COMPUTED_VALUE"""),0.0)</f>
        <v>0</v>
      </c>
      <c r="BW46" s="22">
        <f>IFERROR(__xludf.DUMMYFUNCTION("""COMPUTED_VALUE"""),1.0)</f>
        <v>1</v>
      </c>
      <c r="BX46" s="22">
        <f>IFERROR(__xludf.DUMMYFUNCTION("""COMPUTED_VALUE"""),1.0)</f>
        <v>1</v>
      </c>
      <c r="BY46" s="22">
        <f>IFERROR(__xludf.DUMMYFUNCTION("""COMPUTED_VALUE"""),1.0)</f>
        <v>1</v>
      </c>
      <c r="BZ46" s="22">
        <f>IFERROR(__xludf.DUMMYFUNCTION("""COMPUTED_VALUE"""),1.0)</f>
        <v>1</v>
      </c>
      <c r="CA46" s="22">
        <f>IFERROR(__xludf.DUMMYFUNCTION("""COMPUTED_VALUE"""),4.0)</f>
        <v>4</v>
      </c>
      <c r="CB46" s="22">
        <f>IFERROR(__xludf.DUMMYFUNCTION("""COMPUTED_VALUE"""),5.0)</f>
        <v>5</v>
      </c>
      <c r="CC46" s="61">
        <f>IFERROR(__xludf.DUMMYFUNCTION("""COMPUTED_VALUE"""),3.125)</f>
        <v>3.125</v>
      </c>
      <c r="CD46" s="62" t="str">
        <f>IFERROR(__xludf.DUMMYFUNCTION("""COMPUTED_VALUE"""),"good")</f>
        <v>good</v>
      </c>
      <c r="CE46" s="22" t="s">
        <v>282</v>
      </c>
      <c r="CF46" s="24">
        <v>11.0</v>
      </c>
      <c r="CG46" s="22" t="b">
        <v>0</v>
      </c>
      <c r="CH46" s="22" t="b">
        <v>1</v>
      </c>
      <c r="CI46" s="24">
        <v>19.0</v>
      </c>
      <c r="CJ46" s="22">
        <v>0.0</v>
      </c>
      <c r="CK46" s="22">
        <v>1.0</v>
      </c>
      <c r="CL46" s="22">
        <v>0.0</v>
      </c>
      <c r="CM46" s="22">
        <v>0.0</v>
      </c>
      <c r="CN46" s="22">
        <v>0.0</v>
      </c>
      <c r="CO46" s="22">
        <v>0.0</v>
      </c>
      <c r="CP46" s="22">
        <v>0.0</v>
      </c>
      <c r="CQ46" s="22">
        <v>0.0</v>
      </c>
      <c r="CR46" s="22">
        <v>1.0</v>
      </c>
      <c r="CS46" s="22">
        <v>0.0</v>
      </c>
      <c r="CT46" s="22">
        <v>1.0</v>
      </c>
      <c r="CU46" s="22">
        <v>1.0</v>
      </c>
      <c r="CV46" s="22">
        <v>1.0</v>
      </c>
      <c r="CW46" s="22">
        <v>1.0</v>
      </c>
      <c r="CX46" s="22">
        <v>4.0</v>
      </c>
      <c r="CY46" s="22">
        <v>5.0</v>
      </c>
      <c r="CZ46" s="61">
        <v>3.125</v>
      </c>
      <c r="DA46" s="62" t="s">
        <v>561</v>
      </c>
    </row>
    <row r="47">
      <c r="A47" s="16" t="s">
        <v>127</v>
      </c>
      <c r="B47" s="16" t="s">
        <v>128</v>
      </c>
      <c r="C47" s="17" t="s">
        <v>28</v>
      </c>
      <c r="D47" s="16" t="s">
        <v>9</v>
      </c>
      <c r="E47" s="17" t="b">
        <f t="shared" ref="E47:K47" si="236">If(IFERROR(SEARCH(E$1, $D47),0) &gt;= 1, true,false)</f>
        <v>0</v>
      </c>
      <c r="F47" s="17" t="b">
        <f t="shared" si="236"/>
        <v>0</v>
      </c>
      <c r="G47" s="17" t="b">
        <f t="shared" si="236"/>
        <v>0</v>
      </c>
      <c r="H47" s="17" t="b">
        <f t="shared" si="236"/>
        <v>0</v>
      </c>
      <c r="I47" s="17" t="b">
        <f t="shared" si="236"/>
        <v>0</v>
      </c>
      <c r="J47" s="17" t="b">
        <f t="shared" si="236"/>
        <v>1</v>
      </c>
      <c r="K47" s="17" t="b">
        <f t="shared" si="236"/>
        <v>0</v>
      </c>
      <c r="L47" s="18" t="b">
        <v>0</v>
      </c>
      <c r="M47" s="18" t="b">
        <v>0</v>
      </c>
      <c r="N47" s="18" t="b">
        <v>0</v>
      </c>
      <c r="O47" s="18" t="b">
        <v>0</v>
      </c>
      <c r="P47" s="16" t="str">
        <f t="shared" si="7"/>
        <v>Permekemuseum</v>
      </c>
      <c r="Q47" s="19">
        <v>12.0</v>
      </c>
      <c r="R47" s="20" t="b">
        <v>0</v>
      </c>
      <c r="S47" s="18" t="b">
        <v>0</v>
      </c>
      <c r="T47" s="16"/>
      <c r="U47" s="21">
        <f t="shared" si="8"/>
        <v>0</v>
      </c>
      <c r="V47" s="21">
        <f t="shared" ref="V47:AB47" si="237">if(OR(AW47 = $AO$4, AW47 = $AQ$4), 1, 0)</f>
        <v>0</v>
      </c>
      <c r="W47" s="21">
        <f t="shared" si="237"/>
        <v>0</v>
      </c>
      <c r="X47" s="21">
        <f t="shared" si="237"/>
        <v>0</v>
      </c>
      <c r="Y47" s="21">
        <f t="shared" si="237"/>
        <v>0</v>
      </c>
      <c r="Z47" s="21">
        <f t="shared" si="237"/>
        <v>0</v>
      </c>
      <c r="AA47" s="21">
        <f t="shared" si="237"/>
        <v>1</v>
      </c>
      <c r="AB47" s="21">
        <f t="shared" si="237"/>
        <v>0</v>
      </c>
      <c r="AC47" s="21">
        <f t="shared" si="10"/>
        <v>1</v>
      </c>
      <c r="AD47" s="21">
        <f t="shared" si="11"/>
        <v>0</v>
      </c>
      <c r="AE47" s="21">
        <f t="shared" ref="AE47:AH47" si="238">if(OR(BD47 = $AO$6, BD47 = $AS$6, BD47 = $AT$6, BD47 = $AU$6), 1, 0)</f>
        <v>0</v>
      </c>
      <c r="AF47" s="21">
        <f t="shared" si="238"/>
        <v>0</v>
      </c>
      <c r="AG47" s="21">
        <f t="shared" si="238"/>
        <v>0</v>
      </c>
      <c r="AH47" s="21">
        <f t="shared" si="238"/>
        <v>0</v>
      </c>
      <c r="AI47" s="21">
        <f t="shared" si="13"/>
        <v>0</v>
      </c>
      <c r="AJ47" s="21">
        <f t="shared" si="14"/>
        <v>1</v>
      </c>
      <c r="AK47" s="59">
        <f t="shared" si="15"/>
        <v>0.625</v>
      </c>
      <c r="AL47" s="60" t="str">
        <f t="shared" si="16"/>
        <v>no match</v>
      </c>
      <c r="AW47" s="22">
        <f t="shared" ref="AW47:BC47" si="239">IF(IFERROR(SEARCH(E$1, $D47),0) &gt;= 1, E$1,0)</f>
        <v>0</v>
      </c>
      <c r="AX47" s="22">
        <f t="shared" si="239"/>
        <v>0</v>
      </c>
      <c r="AY47" s="22">
        <f t="shared" si="239"/>
        <v>0</v>
      </c>
      <c r="AZ47" s="22">
        <f t="shared" si="239"/>
        <v>0</v>
      </c>
      <c r="BA47" s="22">
        <f t="shared" si="239"/>
        <v>0</v>
      </c>
      <c r="BB47" s="22" t="str">
        <f t="shared" si="239"/>
        <v>Beeldende kunst</v>
      </c>
      <c r="BC47" s="22">
        <f t="shared" si="239"/>
        <v>0</v>
      </c>
      <c r="BD47" s="22">
        <f t="shared" ref="BD47:BG47" si="240">IF(L47 = true, BD$1, 0)</f>
        <v>0</v>
      </c>
      <c r="BE47" s="22">
        <f t="shared" si="240"/>
        <v>0</v>
      </c>
      <c r="BF47" s="22">
        <f t="shared" si="240"/>
        <v>0</v>
      </c>
      <c r="BG47" s="22">
        <f t="shared" si="240"/>
        <v>0</v>
      </c>
      <c r="BH47" s="22" t="str">
        <f>IFERROR(__xludf.DUMMYFUNCTION("""COMPUTED_VALUE"""),"ArtHouse")</f>
        <v>ArtHouse</v>
      </c>
      <c r="BI47" s="24">
        <f>IFERROR(__xludf.DUMMYFUNCTION("""COMPUTED_VALUE"""),4.0)</f>
        <v>4</v>
      </c>
      <c r="BJ47" s="22" t="b">
        <f>IFERROR(__xludf.DUMMYFUNCTION("""COMPUTED_VALUE"""),FALSE)</f>
        <v>0</v>
      </c>
      <c r="BK47" s="22" t="b">
        <f>IFERROR(__xludf.DUMMYFUNCTION("""COMPUTED_VALUE"""),FALSE)</f>
        <v>0</v>
      </c>
      <c r="BL47" s="22"/>
      <c r="BM47" s="22">
        <f>IFERROR(__xludf.DUMMYFUNCTION("""COMPUTED_VALUE"""),0.0)</f>
        <v>0</v>
      </c>
      <c r="BN47" s="22">
        <f>IFERROR(__xludf.DUMMYFUNCTION("""COMPUTED_VALUE"""),1.0)</f>
        <v>1</v>
      </c>
      <c r="BO47" s="22">
        <f>IFERROR(__xludf.DUMMYFUNCTION("""COMPUTED_VALUE"""),0.0)</f>
        <v>0</v>
      </c>
      <c r="BP47" s="22">
        <f>IFERROR(__xludf.DUMMYFUNCTION("""COMPUTED_VALUE"""),0.0)</f>
        <v>0</v>
      </c>
      <c r="BQ47" s="22">
        <f>IFERROR(__xludf.DUMMYFUNCTION("""COMPUTED_VALUE"""),0.0)</f>
        <v>0</v>
      </c>
      <c r="BR47" s="22">
        <f>IFERROR(__xludf.DUMMYFUNCTION("""COMPUTED_VALUE"""),0.0)</f>
        <v>0</v>
      </c>
      <c r="BS47" s="22">
        <f>IFERROR(__xludf.DUMMYFUNCTION("""COMPUTED_VALUE"""),1.0)</f>
        <v>1</v>
      </c>
      <c r="BT47" s="22">
        <f>IFERROR(__xludf.DUMMYFUNCTION("""COMPUTED_VALUE"""),0.0)</f>
        <v>0</v>
      </c>
      <c r="BU47" s="22">
        <f>IFERROR(__xludf.DUMMYFUNCTION("""COMPUTED_VALUE"""),2.0)</f>
        <v>2</v>
      </c>
      <c r="BV47" s="22">
        <f>IFERROR(__xludf.DUMMYFUNCTION("""COMPUTED_VALUE"""),1.0)</f>
        <v>1</v>
      </c>
      <c r="BW47" s="22">
        <f>IFERROR(__xludf.DUMMYFUNCTION("""COMPUTED_VALUE"""),0.0)</f>
        <v>0</v>
      </c>
      <c r="BX47" s="22">
        <f>IFERROR(__xludf.DUMMYFUNCTION("""COMPUTED_VALUE"""),1.0)</f>
        <v>1</v>
      </c>
      <c r="BY47" s="22">
        <f>IFERROR(__xludf.DUMMYFUNCTION("""COMPUTED_VALUE"""),0.0)</f>
        <v>0</v>
      </c>
      <c r="BZ47" s="22">
        <f>IFERROR(__xludf.DUMMYFUNCTION("""COMPUTED_VALUE"""),1.0)</f>
        <v>1</v>
      </c>
      <c r="CA47" s="22">
        <f>IFERROR(__xludf.DUMMYFUNCTION("""COMPUTED_VALUE"""),2.0)</f>
        <v>2</v>
      </c>
      <c r="CB47" s="22">
        <f>IFERROR(__xludf.DUMMYFUNCTION("""COMPUTED_VALUE"""),5.0)</f>
        <v>5</v>
      </c>
      <c r="CC47" s="61">
        <f>IFERROR(__xludf.DUMMYFUNCTION("""COMPUTED_VALUE"""),3.125)</f>
        <v>3.125</v>
      </c>
      <c r="CD47" s="62" t="str">
        <f>IFERROR(__xludf.DUMMYFUNCTION("""COMPUTED_VALUE"""),"good")</f>
        <v>good</v>
      </c>
      <c r="CE47" s="22" t="s">
        <v>288</v>
      </c>
      <c r="CF47" s="24">
        <v>4.0</v>
      </c>
      <c r="CG47" s="22" t="b">
        <v>0</v>
      </c>
      <c r="CH47" s="22" t="b">
        <v>0</v>
      </c>
      <c r="CI47" s="22"/>
      <c r="CJ47" s="22">
        <v>0.0</v>
      </c>
      <c r="CK47" s="22">
        <v>1.0</v>
      </c>
      <c r="CL47" s="22">
        <v>0.0</v>
      </c>
      <c r="CM47" s="22">
        <v>0.0</v>
      </c>
      <c r="CN47" s="22">
        <v>0.0</v>
      </c>
      <c r="CO47" s="22">
        <v>0.0</v>
      </c>
      <c r="CP47" s="22">
        <v>1.0</v>
      </c>
      <c r="CQ47" s="22">
        <v>0.0</v>
      </c>
      <c r="CR47" s="22">
        <v>2.0</v>
      </c>
      <c r="CS47" s="22">
        <v>1.0</v>
      </c>
      <c r="CT47" s="22">
        <v>0.0</v>
      </c>
      <c r="CU47" s="22">
        <v>1.0</v>
      </c>
      <c r="CV47" s="22">
        <v>0.0</v>
      </c>
      <c r="CW47" s="22">
        <v>1.0</v>
      </c>
      <c r="CX47" s="22">
        <v>2.0</v>
      </c>
      <c r="CY47" s="22">
        <v>5.0</v>
      </c>
      <c r="CZ47" s="61">
        <v>3.125</v>
      </c>
      <c r="DA47" s="62" t="s">
        <v>561</v>
      </c>
    </row>
    <row r="48">
      <c r="A48" s="16" t="s">
        <v>129</v>
      </c>
      <c r="B48" s="16" t="s">
        <v>130</v>
      </c>
      <c r="C48" s="17" t="s">
        <v>28</v>
      </c>
      <c r="D48" s="16" t="s">
        <v>4</v>
      </c>
      <c r="E48" s="17" t="b">
        <f t="shared" ref="E48:K48" si="241">If(IFERROR(SEARCH(E$1, $D48),0) &gt;= 1, true,false)</f>
        <v>1</v>
      </c>
      <c r="F48" s="17" t="b">
        <f t="shared" si="241"/>
        <v>0</v>
      </c>
      <c r="G48" s="17" t="b">
        <f t="shared" si="241"/>
        <v>0</v>
      </c>
      <c r="H48" s="17" t="b">
        <f t="shared" si="241"/>
        <v>0</v>
      </c>
      <c r="I48" s="17" t="b">
        <f t="shared" si="241"/>
        <v>0</v>
      </c>
      <c r="J48" s="17" t="b">
        <f t="shared" si="241"/>
        <v>0</v>
      </c>
      <c r="K48" s="17" t="b">
        <f t="shared" si="241"/>
        <v>0</v>
      </c>
      <c r="L48" s="18" t="b">
        <v>1</v>
      </c>
      <c r="M48" s="18" t="b">
        <v>1</v>
      </c>
      <c r="N48" s="18" t="b">
        <v>1</v>
      </c>
      <c r="O48" s="18" t="b">
        <v>0</v>
      </c>
      <c r="P48" s="16" t="str">
        <f t="shared" si="7"/>
        <v>Romeins Archeologisch Museum Oudenburg</v>
      </c>
      <c r="Q48" s="26">
        <v>8.0</v>
      </c>
      <c r="R48" s="18" t="b">
        <v>0</v>
      </c>
      <c r="S48" s="18" t="b">
        <v>0</v>
      </c>
      <c r="U48" s="21">
        <f t="shared" si="8"/>
        <v>0</v>
      </c>
      <c r="V48" s="21">
        <f t="shared" ref="V48:AB48" si="242">if(OR(AW48 = $AO$4, AW48 = $AQ$4), 1, 0)</f>
        <v>1</v>
      </c>
      <c r="W48" s="21">
        <f t="shared" si="242"/>
        <v>0</v>
      </c>
      <c r="X48" s="21">
        <f t="shared" si="242"/>
        <v>0</v>
      </c>
      <c r="Y48" s="21">
        <f t="shared" si="242"/>
        <v>0</v>
      </c>
      <c r="Z48" s="21">
        <f t="shared" si="242"/>
        <v>0</v>
      </c>
      <c r="AA48" s="21">
        <f t="shared" si="242"/>
        <v>0</v>
      </c>
      <c r="AB48" s="21">
        <f t="shared" si="242"/>
        <v>0</v>
      </c>
      <c r="AC48" s="21">
        <f t="shared" si="10"/>
        <v>1</v>
      </c>
      <c r="AD48" s="21">
        <f t="shared" si="11"/>
        <v>1</v>
      </c>
      <c r="AE48" s="21">
        <f t="shared" ref="AE48:AH48" si="243">if(OR(BD48 = $AO$6, BD48 = $AS$6, BD48 = $AT$6, BD48 = $AU$6), 1, 0)</f>
        <v>1</v>
      </c>
      <c r="AF48" s="21">
        <f t="shared" si="243"/>
        <v>1</v>
      </c>
      <c r="AG48" s="21">
        <f t="shared" si="243"/>
        <v>1</v>
      </c>
      <c r="AH48" s="21">
        <f t="shared" si="243"/>
        <v>0</v>
      </c>
      <c r="AI48" s="21">
        <f t="shared" si="13"/>
        <v>3</v>
      </c>
      <c r="AJ48" s="21">
        <f t="shared" si="14"/>
        <v>5</v>
      </c>
      <c r="AK48" s="59">
        <f t="shared" si="15"/>
        <v>3.125</v>
      </c>
      <c r="AL48" s="60" t="str">
        <f t="shared" si="16"/>
        <v>good</v>
      </c>
      <c r="AW48" s="22" t="str">
        <f t="shared" ref="AW48:BC48" si="244">IF(IFERROR(SEARCH(E$1, $D48),0) &gt;= 1, E$1,0)</f>
        <v>Geschiedenis en archeologie</v>
      </c>
      <c r="AX48" s="22">
        <f t="shared" si="244"/>
        <v>0</v>
      </c>
      <c r="AY48" s="22">
        <f t="shared" si="244"/>
        <v>0</v>
      </c>
      <c r="AZ48" s="22">
        <f t="shared" si="244"/>
        <v>0</v>
      </c>
      <c r="BA48" s="22">
        <f t="shared" si="244"/>
        <v>0</v>
      </c>
      <c r="BB48" s="22">
        <f t="shared" si="244"/>
        <v>0</v>
      </c>
      <c r="BC48" s="22">
        <f t="shared" si="244"/>
        <v>0</v>
      </c>
      <c r="BD48" s="22" t="str">
        <f t="shared" ref="BD48:BG48" si="245">IF(L48 = true, BD$1, 0)</f>
        <v>Shop</v>
      </c>
      <c r="BE48" s="22" t="str">
        <f t="shared" si="245"/>
        <v>Café</v>
      </c>
      <c r="BF48" s="22" t="str">
        <f t="shared" si="245"/>
        <v>Parking</v>
      </c>
      <c r="BG48" s="22">
        <f t="shared" si="245"/>
        <v>0</v>
      </c>
      <c r="BH48" s="22" t="str">
        <f>IFERROR(__xludf.DUMMYFUNCTION("""COMPUTED_VALUE"""),"Museum voor Hedendaagse Kunst")</f>
        <v>Museum voor Hedendaagse Kunst</v>
      </c>
      <c r="BI48" s="24">
        <f>IFERROR(__xludf.DUMMYFUNCTION("""COMPUTED_VALUE"""),6.0)</f>
        <v>6</v>
      </c>
      <c r="BJ48" s="22" t="b">
        <f>IFERROR(__xludf.DUMMYFUNCTION("""COMPUTED_VALUE"""),FALSE)</f>
        <v>0</v>
      </c>
      <c r="BK48" s="22" t="b">
        <f>IFERROR(__xludf.DUMMYFUNCTION("""COMPUTED_VALUE"""),TRUE)</f>
        <v>1</v>
      </c>
      <c r="BL48" s="24">
        <f>IFERROR(__xludf.DUMMYFUNCTION("""COMPUTED_VALUE"""),6.0)</f>
        <v>6</v>
      </c>
      <c r="BM48" s="22">
        <f>IFERROR(__xludf.DUMMYFUNCTION("""COMPUTED_VALUE"""),0.0)</f>
        <v>0</v>
      </c>
      <c r="BN48" s="22">
        <f>IFERROR(__xludf.DUMMYFUNCTION("""COMPUTED_VALUE"""),0.0)</f>
        <v>0</v>
      </c>
      <c r="BO48" s="22">
        <f>IFERROR(__xludf.DUMMYFUNCTION("""COMPUTED_VALUE"""),0.0)</f>
        <v>0</v>
      </c>
      <c r="BP48" s="22">
        <f>IFERROR(__xludf.DUMMYFUNCTION("""COMPUTED_VALUE"""),0.0)</f>
        <v>0</v>
      </c>
      <c r="BQ48" s="22">
        <f>IFERROR(__xludf.DUMMYFUNCTION("""COMPUTED_VALUE"""),0.0)</f>
        <v>0</v>
      </c>
      <c r="BR48" s="22">
        <f>IFERROR(__xludf.DUMMYFUNCTION("""COMPUTED_VALUE"""),0.0)</f>
        <v>0</v>
      </c>
      <c r="BS48" s="22">
        <f>IFERROR(__xludf.DUMMYFUNCTION("""COMPUTED_VALUE"""),1.0)</f>
        <v>1</v>
      </c>
      <c r="BT48" s="22">
        <f>IFERROR(__xludf.DUMMYFUNCTION("""COMPUTED_VALUE"""),0.0)</f>
        <v>0</v>
      </c>
      <c r="BU48" s="22">
        <f>IFERROR(__xludf.DUMMYFUNCTION("""COMPUTED_VALUE"""),1.0)</f>
        <v>1</v>
      </c>
      <c r="BV48" s="22">
        <f>IFERROR(__xludf.DUMMYFUNCTION("""COMPUTED_VALUE"""),1.0)</f>
        <v>1</v>
      </c>
      <c r="BW48" s="22">
        <f>IFERROR(__xludf.DUMMYFUNCTION("""COMPUTED_VALUE"""),1.0)</f>
        <v>1</v>
      </c>
      <c r="BX48" s="22">
        <f>IFERROR(__xludf.DUMMYFUNCTION("""COMPUTED_VALUE"""),1.0)</f>
        <v>1</v>
      </c>
      <c r="BY48" s="22">
        <f>IFERROR(__xludf.DUMMYFUNCTION("""COMPUTED_VALUE"""),0.0)</f>
        <v>0</v>
      </c>
      <c r="BZ48" s="22">
        <f>IFERROR(__xludf.DUMMYFUNCTION("""COMPUTED_VALUE"""),1.0)</f>
        <v>1</v>
      </c>
      <c r="CA48" s="22">
        <f>IFERROR(__xludf.DUMMYFUNCTION("""COMPUTED_VALUE"""),3.0)</f>
        <v>3</v>
      </c>
      <c r="CB48" s="22">
        <f>IFERROR(__xludf.DUMMYFUNCTION("""COMPUTED_VALUE"""),5.0)</f>
        <v>5</v>
      </c>
      <c r="CC48" s="61">
        <f>IFERROR(__xludf.DUMMYFUNCTION("""COMPUTED_VALUE"""),3.125)</f>
        <v>3.125</v>
      </c>
      <c r="CD48" s="62" t="str">
        <f>IFERROR(__xludf.DUMMYFUNCTION("""COMPUTED_VALUE"""),"good")</f>
        <v>good</v>
      </c>
      <c r="CE48" s="22" t="s">
        <v>289</v>
      </c>
      <c r="CF48" s="24">
        <v>6.0</v>
      </c>
      <c r="CG48" s="22" t="b">
        <v>0</v>
      </c>
      <c r="CH48" s="22" t="b">
        <v>1</v>
      </c>
      <c r="CI48" s="24">
        <v>6.0</v>
      </c>
      <c r="CJ48" s="22">
        <v>0.0</v>
      </c>
      <c r="CK48" s="22">
        <v>0.0</v>
      </c>
      <c r="CL48" s="22">
        <v>0.0</v>
      </c>
      <c r="CM48" s="22">
        <v>0.0</v>
      </c>
      <c r="CN48" s="22">
        <v>0.0</v>
      </c>
      <c r="CO48" s="22">
        <v>0.0</v>
      </c>
      <c r="CP48" s="22">
        <v>1.0</v>
      </c>
      <c r="CQ48" s="22">
        <v>0.0</v>
      </c>
      <c r="CR48" s="22">
        <v>1.0</v>
      </c>
      <c r="CS48" s="22">
        <v>1.0</v>
      </c>
      <c r="CT48" s="22">
        <v>1.0</v>
      </c>
      <c r="CU48" s="22">
        <v>1.0</v>
      </c>
      <c r="CV48" s="22">
        <v>0.0</v>
      </c>
      <c r="CW48" s="22">
        <v>1.0</v>
      </c>
      <c r="CX48" s="22">
        <v>3.0</v>
      </c>
      <c r="CY48" s="22">
        <v>5.0</v>
      </c>
      <c r="CZ48" s="61">
        <v>3.125</v>
      </c>
      <c r="DA48" s="62" t="s">
        <v>561</v>
      </c>
    </row>
    <row r="49">
      <c r="A49" s="16" t="s">
        <v>131</v>
      </c>
      <c r="B49" s="16" t="s">
        <v>132</v>
      </c>
      <c r="C49" s="17" t="s">
        <v>28</v>
      </c>
      <c r="D49" s="16" t="s">
        <v>107</v>
      </c>
      <c r="E49" s="17" t="b">
        <f t="shared" ref="E49:K49" si="246">If(IFERROR(SEARCH(E$1, $D49),0) &gt;= 1, true,false)</f>
        <v>1</v>
      </c>
      <c r="F49" s="17" t="b">
        <f t="shared" si="246"/>
        <v>1</v>
      </c>
      <c r="G49" s="17" t="b">
        <f t="shared" si="246"/>
        <v>0</v>
      </c>
      <c r="H49" s="17" t="b">
        <f t="shared" si="246"/>
        <v>0</v>
      </c>
      <c r="I49" s="17" t="b">
        <f t="shared" si="246"/>
        <v>0</v>
      </c>
      <c r="J49" s="17" t="b">
        <f t="shared" si="246"/>
        <v>0</v>
      </c>
      <c r="K49" s="17" t="b">
        <f t="shared" si="246"/>
        <v>0</v>
      </c>
      <c r="L49" s="18" t="b">
        <v>0</v>
      </c>
      <c r="M49" s="18" t="b">
        <v>0</v>
      </c>
      <c r="N49" s="18" t="b">
        <v>0</v>
      </c>
      <c r="O49" s="18" t="b">
        <v>0</v>
      </c>
      <c r="P49" s="16" t="str">
        <f t="shared" si="7"/>
        <v>Sint-Janshuismolen</v>
      </c>
      <c r="Q49" s="19">
        <v>5.0</v>
      </c>
      <c r="R49" s="18" t="b">
        <v>0</v>
      </c>
      <c r="S49" s="18" t="b">
        <v>0</v>
      </c>
      <c r="U49" s="21">
        <f t="shared" si="8"/>
        <v>0</v>
      </c>
      <c r="V49" s="21">
        <f t="shared" ref="V49:AB49" si="247">if(OR(AW49 = $AO$4, AW49 = $AQ$4), 1, 0)</f>
        <v>1</v>
      </c>
      <c r="W49" s="21">
        <f t="shared" si="247"/>
        <v>0</v>
      </c>
      <c r="X49" s="21">
        <f t="shared" si="247"/>
        <v>0</v>
      </c>
      <c r="Y49" s="21">
        <f t="shared" si="247"/>
        <v>0</v>
      </c>
      <c r="Z49" s="21">
        <f t="shared" si="247"/>
        <v>0</v>
      </c>
      <c r="AA49" s="21">
        <f t="shared" si="247"/>
        <v>0</v>
      </c>
      <c r="AB49" s="21">
        <f t="shared" si="247"/>
        <v>0</v>
      </c>
      <c r="AC49" s="21">
        <f t="shared" si="10"/>
        <v>1</v>
      </c>
      <c r="AD49" s="21">
        <f t="shared" si="11"/>
        <v>1</v>
      </c>
      <c r="AE49" s="21">
        <f t="shared" ref="AE49:AH49" si="248">if(OR(BD49 = $AO$6, BD49 = $AS$6, BD49 = $AT$6, BD49 = $AU$6), 1, 0)</f>
        <v>0</v>
      </c>
      <c r="AF49" s="21">
        <f t="shared" si="248"/>
        <v>0</v>
      </c>
      <c r="AG49" s="21">
        <f t="shared" si="248"/>
        <v>0</v>
      </c>
      <c r="AH49" s="21">
        <f t="shared" si="248"/>
        <v>0</v>
      </c>
      <c r="AI49" s="21">
        <f t="shared" si="13"/>
        <v>0</v>
      </c>
      <c r="AJ49" s="21">
        <f t="shared" si="14"/>
        <v>2</v>
      </c>
      <c r="AK49" s="59">
        <f t="shared" si="15"/>
        <v>1.25</v>
      </c>
      <c r="AL49" s="60" t="str">
        <f t="shared" si="16"/>
        <v>subpar</v>
      </c>
      <c r="AW49" s="22" t="str">
        <f t="shared" ref="AW49:BC49" si="249">IF(IFERROR(SEARCH(E$1, $D49),0) &gt;= 1, E$1,0)</f>
        <v>Geschiedenis en archeologie</v>
      </c>
      <c r="AX49" s="22" t="str">
        <f t="shared" si="249"/>
        <v>Wetenschap en technologie</v>
      </c>
      <c r="AY49" s="22">
        <f t="shared" si="249"/>
        <v>0</v>
      </c>
      <c r="AZ49" s="22">
        <f t="shared" si="249"/>
        <v>0</v>
      </c>
      <c r="BA49" s="22">
        <f t="shared" si="249"/>
        <v>0</v>
      </c>
      <c r="BB49" s="22">
        <f t="shared" si="249"/>
        <v>0</v>
      </c>
      <c r="BC49" s="22">
        <f t="shared" si="249"/>
        <v>0</v>
      </c>
      <c r="BD49" s="22">
        <f t="shared" ref="BD49:BG49" si="250">IF(L49 = true, BD$1, 0)</f>
        <v>0</v>
      </c>
      <c r="BE49" s="22">
        <f t="shared" si="250"/>
        <v>0</v>
      </c>
      <c r="BF49" s="22">
        <f t="shared" si="250"/>
        <v>0</v>
      </c>
      <c r="BG49" s="22">
        <f t="shared" si="250"/>
        <v>0</v>
      </c>
      <c r="BH49" s="22" t="str">
        <f>IFERROR(__xludf.DUMMYFUNCTION("""COMPUTED_VALUE"""),"La Boverie")</f>
        <v>La Boverie</v>
      </c>
      <c r="BI49" s="24">
        <f>IFERROR(__xludf.DUMMYFUNCTION("""COMPUTED_VALUE"""),5.0)</f>
        <v>5</v>
      </c>
      <c r="BJ49" s="22" t="b">
        <f>IFERROR(__xludf.DUMMYFUNCTION("""COMPUTED_VALUE"""),FALSE)</f>
        <v>0</v>
      </c>
      <c r="BK49" s="22" t="b">
        <f>IFERROR(__xludf.DUMMYFUNCTION("""COMPUTED_VALUE"""),FALSE)</f>
        <v>0</v>
      </c>
      <c r="BL49" s="22"/>
      <c r="BM49" s="22">
        <f>IFERROR(__xludf.DUMMYFUNCTION("""COMPUTED_VALUE"""),0.0)</f>
        <v>0</v>
      </c>
      <c r="BN49" s="22">
        <f>IFERROR(__xludf.DUMMYFUNCTION("""COMPUTED_VALUE"""),1.0)</f>
        <v>1</v>
      </c>
      <c r="BO49" s="22">
        <f>IFERROR(__xludf.DUMMYFUNCTION("""COMPUTED_VALUE"""),0.0)</f>
        <v>0</v>
      </c>
      <c r="BP49" s="22">
        <f>IFERROR(__xludf.DUMMYFUNCTION("""COMPUTED_VALUE"""),0.0)</f>
        <v>0</v>
      </c>
      <c r="BQ49" s="22">
        <f>IFERROR(__xludf.DUMMYFUNCTION("""COMPUTED_VALUE"""),0.0)</f>
        <v>0</v>
      </c>
      <c r="BR49" s="22">
        <f>IFERROR(__xludf.DUMMYFUNCTION("""COMPUTED_VALUE"""),0.0)</f>
        <v>0</v>
      </c>
      <c r="BS49" s="22">
        <f>IFERROR(__xludf.DUMMYFUNCTION("""COMPUTED_VALUE"""),1.0)</f>
        <v>1</v>
      </c>
      <c r="BT49" s="22">
        <f>IFERROR(__xludf.DUMMYFUNCTION("""COMPUTED_VALUE"""),0.0)</f>
        <v>0</v>
      </c>
      <c r="BU49" s="22">
        <f>IFERROR(__xludf.DUMMYFUNCTION("""COMPUTED_VALUE"""),2.0)</f>
        <v>2</v>
      </c>
      <c r="BV49" s="22">
        <f>IFERROR(__xludf.DUMMYFUNCTION("""COMPUTED_VALUE"""),1.0)</f>
        <v>1</v>
      </c>
      <c r="BW49" s="22">
        <f>IFERROR(__xludf.DUMMYFUNCTION("""COMPUTED_VALUE"""),1.0)</f>
        <v>1</v>
      </c>
      <c r="BX49" s="22">
        <f>IFERROR(__xludf.DUMMYFUNCTION("""COMPUTED_VALUE"""),0.0)</f>
        <v>0</v>
      </c>
      <c r="BY49" s="22">
        <f>IFERROR(__xludf.DUMMYFUNCTION("""COMPUTED_VALUE"""),0.0)</f>
        <v>0</v>
      </c>
      <c r="BZ49" s="22">
        <f>IFERROR(__xludf.DUMMYFUNCTION("""COMPUTED_VALUE"""),1.0)</f>
        <v>1</v>
      </c>
      <c r="CA49" s="22">
        <f>IFERROR(__xludf.DUMMYFUNCTION("""COMPUTED_VALUE"""),2.0)</f>
        <v>2</v>
      </c>
      <c r="CB49" s="22">
        <f>IFERROR(__xludf.DUMMYFUNCTION("""COMPUTED_VALUE"""),5.0)</f>
        <v>5</v>
      </c>
      <c r="CC49" s="61">
        <f>IFERROR(__xludf.DUMMYFUNCTION("""COMPUTED_VALUE"""),3.125)</f>
        <v>3.125</v>
      </c>
      <c r="CD49" s="62" t="str">
        <f>IFERROR(__xludf.DUMMYFUNCTION("""COMPUTED_VALUE"""),"good")</f>
        <v>good</v>
      </c>
      <c r="CE49" s="22" t="s">
        <v>291</v>
      </c>
      <c r="CF49" s="24">
        <v>5.0</v>
      </c>
      <c r="CG49" s="22" t="b">
        <v>0</v>
      </c>
      <c r="CH49" s="22" t="b">
        <v>0</v>
      </c>
      <c r="CI49" s="22"/>
      <c r="CJ49" s="22">
        <v>0.0</v>
      </c>
      <c r="CK49" s="22">
        <v>1.0</v>
      </c>
      <c r="CL49" s="22">
        <v>0.0</v>
      </c>
      <c r="CM49" s="22">
        <v>0.0</v>
      </c>
      <c r="CN49" s="22">
        <v>0.0</v>
      </c>
      <c r="CO49" s="22">
        <v>0.0</v>
      </c>
      <c r="CP49" s="22">
        <v>1.0</v>
      </c>
      <c r="CQ49" s="22">
        <v>0.0</v>
      </c>
      <c r="CR49" s="22">
        <v>2.0</v>
      </c>
      <c r="CS49" s="22">
        <v>1.0</v>
      </c>
      <c r="CT49" s="22">
        <v>1.0</v>
      </c>
      <c r="CU49" s="22">
        <v>0.0</v>
      </c>
      <c r="CV49" s="22">
        <v>0.0</v>
      </c>
      <c r="CW49" s="22">
        <v>1.0</v>
      </c>
      <c r="CX49" s="22">
        <v>2.0</v>
      </c>
      <c r="CY49" s="22">
        <v>5.0</v>
      </c>
      <c r="CZ49" s="61">
        <v>3.125</v>
      </c>
      <c r="DA49" s="62" t="s">
        <v>561</v>
      </c>
    </row>
    <row r="50">
      <c r="A50" s="16" t="s">
        <v>133</v>
      </c>
      <c r="B50" s="16" t="s">
        <v>134</v>
      </c>
      <c r="C50" s="17" t="s">
        <v>28</v>
      </c>
      <c r="D50" s="16" t="s">
        <v>68</v>
      </c>
      <c r="E50" s="17" t="b">
        <f t="shared" ref="E50:K50" si="251">If(IFERROR(SEARCH(E$1, $D50),0) &gt;= 1, true,false)</f>
        <v>1</v>
      </c>
      <c r="F50" s="17" t="b">
        <f t="shared" si="251"/>
        <v>0</v>
      </c>
      <c r="G50" s="17" t="b">
        <f t="shared" si="251"/>
        <v>0</v>
      </c>
      <c r="H50" s="17" t="b">
        <f t="shared" si="251"/>
        <v>0</v>
      </c>
      <c r="I50" s="17" t="b">
        <f t="shared" si="251"/>
        <v>1</v>
      </c>
      <c r="J50" s="17" t="b">
        <f t="shared" si="251"/>
        <v>1</v>
      </c>
      <c r="K50" s="17" t="b">
        <f t="shared" si="251"/>
        <v>1</v>
      </c>
      <c r="L50" s="18" t="b">
        <v>0</v>
      </c>
      <c r="M50" s="18" t="b">
        <v>0</v>
      </c>
      <c r="N50" s="18" t="b">
        <v>0</v>
      </c>
      <c r="O50" s="18" t="b">
        <v>0</v>
      </c>
      <c r="P50" s="16" t="str">
        <f t="shared" si="7"/>
        <v>Stadhuis Brugge</v>
      </c>
      <c r="Q50" s="19">
        <v>8.0</v>
      </c>
      <c r="R50" s="18" t="b">
        <v>0</v>
      </c>
      <c r="S50" s="18" t="b">
        <v>0</v>
      </c>
      <c r="U50" s="21">
        <f t="shared" si="8"/>
        <v>0</v>
      </c>
      <c r="V50" s="21">
        <f t="shared" ref="V50:AB50" si="252">if(OR(AW50 = $AO$4, AW50 = $AQ$4), 1, 0)</f>
        <v>1</v>
      </c>
      <c r="W50" s="21">
        <f t="shared" si="252"/>
        <v>0</v>
      </c>
      <c r="X50" s="21">
        <f t="shared" si="252"/>
        <v>0</v>
      </c>
      <c r="Y50" s="21">
        <f t="shared" si="252"/>
        <v>0</v>
      </c>
      <c r="Z50" s="21">
        <f t="shared" si="252"/>
        <v>0</v>
      </c>
      <c r="AA50" s="21">
        <f t="shared" si="252"/>
        <v>1</v>
      </c>
      <c r="AB50" s="21">
        <f t="shared" si="252"/>
        <v>0</v>
      </c>
      <c r="AC50" s="21">
        <f t="shared" si="10"/>
        <v>2</v>
      </c>
      <c r="AD50" s="21">
        <f t="shared" si="11"/>
        <v>1</v>
      </c>
      <c r="AE50" s="21">
        <f t="shared" ref="AE50:AH50" si="253">if(OR(BD50 = $AO$6, BD50 = $AS$6, BD50 = $AT$6, BD50 = $AU$6), 1, 0)</f>
        <v>0</v>
      </c>
      <c r="AF50" s="21">
        <f t="shared" si="253"/>
        <v>0</v>
      </c>
      <c r="AG50" s="21">
        <f t="shared" si="253"/>
        <v>0</v>
      </c>
      <c r="AH50" s="21">
        <f t="shared" si="253"/>
        <v>0</v>
      </c>
      <c r="AI50" s="21">
        <f t="shared" si="13"/>
        <v>0</v>
      </c>
      <c r="AJ50" s="21">
        <f t="shared" si="14"/>
        <v>3</v>
      </c>
      <c r="AK50" s="59">
        <f t="shared" si="15"/>
        <v>1.875</v>
      </c>
      <c r="AL50" s="60" t="str">
        <f t="shared" si="16"/>
        <v>subpar</v>
      </c>
      <c r="AW50" s="22" t="str">
        <f t="shared" ref="AW50:BC50" si="254">IF(IFERROR(SEARCH(E$1, $D50),0) &gt;= 1, E$1,0)</f>
        <v>Geschiedenis en archeologie</v>
      </c>
      <c r="AX50" s="22">
        <f t="shared" si="254"/>
        <v>0</v>
      </c>
      <c r="AY50" s="22">
        <f t="shared" si="254"/>
        <v>0</v>
      </c>
      <c r="AZ50" s="22">
        <f t="shared" si="254"/>
        <v>0</v>
      </c>
      <c r="BA50" s="22" t="str">
        <f t="shared" si="254"/>
        <v>Architectuur</v>
      </c>
      <c r="BB50" s="22" t="str">
        <f t="shared" si="254"/>
        <v>Beeldende kunst</v>
      </c>
      <c r="BC50" s="22" t="str">
        <f t="shared" si="254"/>
        <v>Toegepaste kunst en design</v>
      </c>
      <c r="BD50" s="22">
        <f t="shared" ref="BD50:BG50" si="255">IF(L50 = true, BD$1, 0)</f>
        <v>0</v>
      </c>
      <c r="BE50" s="22">
        <f t="shared" si="255"/>
        <v>0</v>
      </c>
      <c r="BF50" s="22">
        <f t="shared" si="255"/>
        <v>0</v>
      </c>
      <c r="BG50" s="22">
        <f t="shared" si="255"/>
        <v>0</v>
      </c>
      <c r="BH50" s="22" t="str">
        <f>IFERROR(__xludf.DUMMYFUNCTION("""COMPUTED_VALUE"""),"Le Grand Curtius")</f>
        <v>Le Grand Curtius</v>
      </c>
      <c r="BI50" s="24">
        <f>IFERROR(__xludf.DUMMYFUNCTION("""COMPUTED_VALUE"""),9.0)</f>
        <v>9</v>
      </c>
      <c r="BJ50" s="22" t="b">
        <f>IFERROR(__xludf.DUMMYFUNCTION("""COMPUTED_VALUE"""),FALSE)</f>
        <v>0</v>
      </c>
      <c r="BK50" s="22" t="b">
        <f>IFERROR(__xludf.DUMMYFUNCTION("""COMPUTED_VALUE"""),FALSE)</f>
        <v>0</v>
      </c>
      <c r="BL50" s="22"/>
      <c r="BM50" s="22">
        <f>IFERROR(__xludf.DUMMYFUNCTION("""COMPUTED_VALUE"""),0.0)</f>
        <v>0</v>
      </c>
      <c r="BN50" s="22">
        <f>IFERROR(__xludf.DUMMYFUNCTION("""COMPUTED_VALUE"""),1.0)</f>
        <v>1</v>
      </c>
      <c r="BO50" s="22">
        <f>IFERROR(__xludf.DUMMYFUNCTION("""COMPUTED_VALUE"""),0.0)</f>
        <v>0</v>
      </c>
      <c r="BP50" s="22">
        <f>IFERROR(__xludf.DUMMYFUNCTION("""COMPUTED_VALUE"""),0.0)</f>
        <v>0</v>
      </c>
      <c r="BQ50" s="22">
        <f>IFERROR(__xludf.DUMMYFUNCTION("""COMPUTED_VALUE"""),0.0)</f>
        <v>0</v>
      </c>
      <c r="BR50" s="22">
        <f>IFERROR(__xludf.DUMMYFUNCTION("""COMPUTED_VALUE"""),0.0)</f>
        <v>0</v>
      </c>
      <c r="BS50" s="22">
        <f>IFERROR(__xludf.DUMMYFUNCTION("""COMPUTED_VALUE"""),1.0)</f>
        <v>1</v>
      </c>
      <c r="BT50" s="22">
        <f>IFERROR(__xludf.DUMMYFUNCTION("""COMPUTED_VALUE"""),0.0)</f>
        <v>0</v>
      </c>
      <c r="BU50" s="22">
        <f>IFERROR(__xludf.DUMMYFUNCTION("""COMPUTED_VALUE"""),2.0)</f>
        <v>2</v>
      </c>
      <c r="BV50" s="22">
        <f>IFERROR(__xludf.DUMMYFUNCTION("""COMPUTED_VALUE"""),1.0)</f>
        <v>1</v>
      </c>
      <c r="BW50" s="22">
        <f>IFERROR(__xludf.DUMMYFUNCTION("""COMPUTED_VALUE"""),1.0)</f>
        <v>1</v>
      </c>
      <c r="BX50" s="22">
        <f>IFERROR(__xludf.DUMMYFUNCTION("""COMPUTED_VALUE"""),0.0)</f>
        <v>0</v>
      </c>
      <c r="BY50" s="22">
        <f>IFERROR(__xludf.DUMMYFUNCTION("""COMPUTED_VALUE"""),0.0)</f>
        <v>0</v>
      </c>
      <c r="BZ50" s="22">
        <f>IFERROR(__xludf.DUMMYFUNCTION("""COMPUTED_VALUE"""),1.0)</f>
        <v>1</v>
      </c>
      <c r="CA50" s="22">
        <f>IFERROR(__xludf.DUMMYFUNCTION("""COMPUTED_VALUE"""),2.0)</f>
        <v>2</v>
      </c>
      <c r="CB50" s="22">
        <f>IFERROR(__xludf.DUMMYFUNCTION("""COMPUTED_VALUE"""),5.0)</f>
        <v>5</v>
      </c>
      <c r="CC50" s="61">
        <f>IFERROR(__xludf.DUMMYFUNCTION("""COMPUTED_VALUE"""),3.125)</f>
        <v>3.125</v>
      </c>
      <c r="CD50" s="62" t="str">
        <f>IFERROR(__xludf.DUMMYFUNCTION("""COMPUTED_VALUE"""),"good")</f>
        <v>good</v>
      </c>
      <c r="CE50" s="22" t="s">
        <v>292</v>
      </c>
      <c r="CF50" s="24">
        <v>9.0</v>
      </c>
      <c r="CG50" s="22" t="b">
        <v>0</v>
      </c>
      <c r="CH50" s="22" t="b">
        <v>0</v>
      </c>
      <c r="CI50" s="22"/>
      <c r="CJ50" s="22">
        <v>0.0</v>
      </c>
      <c r="CK50" s="22">
        <v>1.0</v>
      </c>
      <c r="CL50" s="22">
        <v>0.0</v>
      </c>
      <c r="CM50" s="22">
        <v>0.0</v>
      </c>
      <c r="CN50" s="22">
        <v>0.0</v>
      </c>
      <c r="CO50" s="22">
        <v>0.0</v>
      </c>
      <c r="CP50" s="22">
        <v>1.0</v>
      </c>
      <c r="CQ50" s="22">
        <v>0.0</v>
      </c>
      <c r="CR50" s="22">
        <v>2.0</v>
      </c>
      <c r="CS50" s="22">
        <v>1.0</v>
      </c>
      <c r="CT50" s="22">
        <v>1.0</v>
      </c>
      <c r="CU50" s="22">
        <v>0.0</v>
      </c>
      <c r="CV50" s="22">
        <v>0.0</v>
      </c>
      <c r="CW50" s="22">
        <v>1.0</v>
      </c>
      <c r="CX50" s="22">
        <v>2.0</v>
      </c>
      <c r="CY50" s="22">
        <v>5.0</v>
      </c>
      <c r="CZ50" s="61">
        <v>3.125</v>
      </c>
      <c r="DA50" s="62" t="s">
        <v>561</v>
      </c>
    </row>
    <row r="51">
      <c r="A51" s="16" t="s">
        <v>135</v>
      </c>
      <c r="B51" s="16"/>
      <c r="C51" s="17" t="s">
        <v>28</v>
      </c>
      <c r="D51" s="16" t="s">
        <v>4</v>
      </c>
      <c r="E51" s="17" t="b">
        <f t="shared" ref="E51:K51" si="256">If(IFERROR(SEARCH(E$1, $D51),0) &gt;= 1, true,false)</f>
        <v>1</v>
      </c>
      <c r="F51" s="17" t="b">
        <f t="shared" si="256"/>
        <v>0</v>
      </c>
      <c r="G51" s="17" t="b">
        <f t="shared" si="256"/>
        <v>0</v>
      </c>
      <c r="H51" s="17" t="b">
        <f t="shared" si="256"/>
        <v>0</v>
      </c>
      <c r="I51" s="17" t="b">
        <f t="shared" si="256"/>
        <v>0</v>
      </c>
      <c r="J51" s="17" t="b">
        <f t="shared" si="256"/>
        <v>0</v>
      </c>
      <c r="K51" s="17" t="b">
        <f t="shared" si="256"/>
        <v>0</v>
      </c>
      <c r="L51" s="18" t="b">
        <v>1</v>
      </c>
      <c r="M51" s="18" t="b">
        <v>0</v>
      </c>
      <c r="N51" s="18" t="b">
        <v>0</v>
      </c>
      <c r="O51" s="18" t="b">
        <v>0</v>
      </c>
      <c r="P51" s="16" t="str">
        <f t="shared" si="7"/>
        <v>Talbot House</v>
      </c>
      <c r="Q51" s="19">
        <v>10.0</v>
      </c>
      <c r="R51" s="18" t="b">
        <v>0</v>
      </c>
      <c r="S51" s="18" t="b">
        <v>1</v>
      </c>
      <c r="T51" s="27">
        <v>10.0</v>
      </c>
      <c r="U51" s="21">
        <f t="shared" si="8"/>
        <v>0</v>
      </c>
      <c r="V51" s="21">
        <f t="shared" ref="V51:AB51" si="257">if(OR(AW51 = $AO$4, AW51 = $AQ$4), 1, 0)</f>
        <v>1</v>
      </c>
      <c r="W51" s="21">
        <f t="shared" si="257"/>
        <v>0</v>
      </c>
      <c r="X51" s="21">
        <f t="shared" si="257"/>
        <v>0</v>
      </c>
      <c r="Y51" s="21">
        <f t="shared" si="257"/>
        <v>0</v>
      </c>
      <c r="Z51" s="21">
        <f t="shared" si="257"/>
        <v>0</v>
      </c>
      <c r="AA51" s="21">
        <f t="shared" si="257"/>
        <v>0</v>
      </c>
      <c r="AB51" s="21">
        <f t="shared" si="257"/>
        <v>0</v>
      </c>
      <c r="AC51" s="21">
        <f t="shared" si="10"/>
        <v>1</v>
      </c>
      <c r="AD51" s="21">
        <f t="shared" si="11"/>
        <v>1</v>
      </c>
      <c r="AE51" s="21">
        <f t="shared" ref="AE51:AH51" si="258">if(OR(BD51 = $AO$6, BD51 = $AS$6, BD51 = $AT$6, BD51 = $AU$6), 1, 0)</f>
        <v>1</v>
      </c>
      <c r="AF51" s="21">
        <f t="shared" si="258"/>
        <v>0</v>
      </c>
      <c r="AG51" s="21">
        <f t="shared" si="258"/>
        <v>0</v>
      </c>
      <c r="AH51" s="21">
        <f t="shared" si="258"/>
        <v>0</v>
      </c>
      <c r="AI51" s="21">
        <f t="shared" si="13"/>
        <v>1</v>
      </c>
      <c r="AJ51" s="21">
        <f t="shared" si="14"/>
        <v>3</v>
      </c>
      <c r="AK51" s="59">
        <f t="shared" si="15"/>
        <v>1.875</v>
      </c>
      <c r="AL51" s="60" t="str">
        <f t="shared" si="16"/>
        <v>subpar</v>
      </c>
      <c r="AW51" s="22" t="str">
        <f t="shared" ref="AW51:BC51" si="259">IF(IFERROR(SEARCH(E$1, $D51),0) &gt;= 1, E$1,0)</f>
        <v>Geschiedenis en archeologie</v>
      </c>
      <c r="AX51" s="22">
        <f t="shared" si="259"/>
        <v>0</v>
      </c>
      <c r="AY51" s="22">
        <f t="shared" si="259"/>
        <v>0</v>
      </c>
      <c r="AZ51" s="22">
        <f t="shared" si="259"/>
        <v>0</v>
      </c>
      <c r="BA51" s="22">
        <f t="shared" si="259"/>
        <v>0</v>
      </c>
      <c r="BB51" s="22">
        <f t="shared" si="259"/>
        <v>0</v>
      </c>
      <c r="BC51" s="22">
        <f t="shared" si="259"/>
        <v>0</v>
      </c>
      <c r="BD51" s="22" t="str">
        <f t="shared" ref="BD51:BG51" si="260">IF(L51 = true, BD$1, 0)</f>
        <v>Shop</v>
      </c>
      <c r="BE51" s="22">
        <f t="shared" si="260"/>
        <v>0</v>
      </c>
      <c r="BF51" s="22">
        <f t="shared" si="260"/>
        <v>0</v>
      </c>
      <c r="BG51" s="22">
        <f t="shared" si="260"/>
        <v>0</v>
      </c>
      <c r="BH51" s="22" t="str">
        <f>IFERROR(__xludf.DUMMYFUNCTION("""COMPUTED_VALUE"""),"Pottenbakkerijmuseum Raeren")</f>
        <v>Pottenbakkerijmuseum Raeren</v>
      </c>
      <c r="BI51" s="24">
        <f>IFERROR(__xludf.DUMMYFUNCTION("""COMPUTED_VALUE"""),5.0)</f>
        <v>5</v>
      </c>
      <c r="BJ51" s="22" t="b">
        <f>IFERROR(__xludf.DUMMYFUNCTION("""COMPUTED_VALUE"""),FALSE)</f>
        <v>0</v>
      </c>
      <c r="BK51" s="22" t="b">
        <f>IFERROR(__xludf.DUMMYFUNCTION("""COMPUTED_VALUE"""),FALSE)</f>
        <v>0</v>
      </c>
      <c r="BL51" s="22"/>
      <c r="BM51" s="22">
        <f>IFERROR(__xludf.DUMMYFUNCTION("""COMPUTED_VALUE"""),0.0)</f>
        <v>0</v>
      </c>
      <c r="BN51" s="22">
        <f>IFERROR(__xludf.DUMMYFUNCTION("""COMPUTED_VALUE"""),1.0)</f>
        <v>1</v>
      </c>
      <c r="BO51" s="22">
        <f>IFERROR(__xludf.DUMMYFUNCTION("""COMPUTED_VALUE"""),0.0)</f>
        <v>0</v>
      </c>
      <c r="BP51" s="22">
        <f>IFERROR(__xludf.DUMMYFUNCTION("""COMPUTED_VALUE"""),0.0)</f>
        <v>0</v>
      </c>
      <c r="BQ51" s="22">
        <f>IFERROR(__xludf.DUMMYFUNCTION("""COMPUTED_VALUE"""),0.0)</f>
        <v>0</v>
      </c>
      <c r="BR51" s="22">
        <f>IFERROR(__xludf.DUMMYFUNCTION("""COMPUTED_VALUE"""),0.0)</f>
        <v>0</v>
      </c>
      <c r="BS51" s="22">
        <f>IFERROR(__xludf.DUMMYFUNCTION("""COMPUTED_VALUE"""),1.0)</f>
        <v>1</v>
      </c>
      <c r="BT51" s="22">
        <f>IFERROR(__xludf.DUMMYFUNCTION("""COMPUTED_VALUE"""),0.0)</f>
        <v>0</v>
      </c>
      <c r="BU51" s="22">
        <f>IFERROR(__xludf.DUMMYFUNCTION("""COMPUTED_VALUE"""),2.0)</f>
        <v>2</v>
      </c>
      <c r="BV51" s="22">
        <f>IFERROR(__xludf.DUMMYFUNCTION("""COMPUTED_VALUE"""),1.0)</f>
        <v>1</v>
      </c>
      <c r="BW51" s="22">
        <f>IFERROR(__xludf.DUMMYFUNCTION("""COMPUTED_VALUE"""),1.0)</f>
        <v>1</v>
      </c>
      <c r="BX51" s="22">
        <f>IFERROR(__xludf.DUMMYFUNCTION("""COMPUTED_VALUE"""),1.0)</f>
        <v>1</v>
      </c>
      <c r="BY51" s="22">
        <f>IFERROR(__xludf.DUMMYFUNCTION("""COMPUTED_VALUE"""),0.0)</f>
        <v>0</v>
      </c>
      <c r="BZ51" s="22">
        <f>IFERROR(__xludf.DUMMYFUNCTION("""COMPUTED_VALUE"""),0.0)</f>
        <v>0</v>
      </c>
      <c r="CA51" s="22">
        <f>IFERROR(__xludf.DUMMYFUNCTION("""COMPUTED_VALUE"""),2.0)</f>
        <v>2</v>
      </c>
      <c r="CB51" s="22">
        <f>IFERROR(__xludf.DUMMYFUNCTION("""COMPUTED_VALUE"""),5.0)</f>
        <v>5</v>
      </c>
      <c r="CC51" s="61">
        <f>IFERROR(__xludf.DUMMYFUNCTION("""COMPUTED_VALUE"""),3.125)</f>
        <v>3.125</v>
      </c>
      <c r="CD51" s="62" t="str">
        <f>IFERROR(__xludf.DUMMYFUNCTION("""COMPUTED_VALUE"""),"good")</f>
        <v>good</v>
      </c>
      <c r="CE51" s="22" t="s">
        <v>299</v>
      </c>
      <c r="CF51" s="24">
        <v>5.0</v>
      </c>
      <c r="CG51" s="22" t="b">
        <v>0</v>
      </c>
      <c r="CH51" s="22" t="b">
        <v>0</v>
      </c>
      <c r="CI51" s="22"/>
      <c r="CJ51" s="22">
        <v>0.0</v>
      </c>
      <c r="CK51" s="22">
        <v>1.0</v>
      </c>
      <c r="CL51" s="22">
        <v>0.0</v>
      </c>
      <c r="CM51" s="22">
        <v>0.0</v>
      </c>
      <c r="CN51" s="22">
        <v>0.0</v>
      </c>
      <c r="CO51" s="22">
        <v>0.0</v>
      </c>
      <c r="CP51" s="22">
        <v>1.0</v>
      </c>
      <c r="CQ51" s="22">
        <v>0.0</v>
      </c>
      <c r="CR51" s="22">
        <v>2.0</v>
      </c>
      <c r="CS51" s="22">
        <v>1.0</v>
      </c>
      <c r="CT51" s="22">
        <v>1.0</v>
      </c>
      <c r="CU51" s="22">
        <v>1.0</v>
      </c>
      <c r="CV51" s="22">
        <v>0.0</v>
      </c>
      <c r="CW51" s="22">
        <v>0.0</v>
      </c>
      <c r="CX51" s="22">
        <v>2.0</v>
      </c>
      <c r="CY51" s="22">
        <v>5.0</v>
      </c>
      <c r="CZ51" s="61">
        <v>3.125</v>
      </c>
      <c r="DA51" s="62" t="s">
        <v>561</v>
      </c>
    </row>
    <row r="52">
      <c r="A52" s="16" t="s">
        <v>136</v>
      </c>
      <c r="B52" s="16" t="s">
        <v>137</v>
      </c>
      <c r="C52" s="17" t="s">
        <v>28</v>
      </c>
      <c r="D52" s="16" t="s">
        <v>138</v>
      </c>
      <c r="E52" s="17" t="b">
        <f t="shared" ref="E52:K52" si="261">If(IFERROR(SEARCH(E$1, $D52),0) &gt;= 1, true,false)</f>
        <v>0</v>
      </c>
      <c r="F52" s="17" t="b">
        <f t="shared" si="261"/>
        <v>1</v>
      </c>
      <c r="G52" s="17" t="b">
        <f t="shared" si="261"/>
        <v>1</v>
      </c>
      <c r="H52" s="17" t="b">
        <f t="shared" si="261"/>
        <v>0</v>
      </c>
      <c r="I52" s="17" t="b">
        <f t="shared" si="261"/>
        <v>1</v>
      </c>
      <c r="J52" s="17" t="b">
        <f t="shared" si="261"/>
        <v>0</v>
      </c>
      <c r="K52" s="17" t="b">
        <f t="shared" si="261"/>
        <v>1</v>
      </c>
      <c r="L52" s="18" t="b">
        <v>1</v>
      </c>
      <c r="M52" s="18" t="b">
        <v>1</v>
      </c>
      <c r="N52" s="18" t="b">
        <v>1</v>
      </c>
      <c r="O52" s="18" t="b">
        <v>0</v>
      </c>
      <c r="P52" s="16" t="str">
        <f t="shared" si="7"/>
        <v>Texture | Museum van Vlas en Textiel</v>
      </c>
      <c r="Q52" s="19">
        <v>8.0</v>
      </c>
      <c r="R52" s="18" t="b">
        <v>0</v>
      </c>
      <c r="S52" s="18" t="b">
        <v>1</v>
      </c>
      <c r="T52" s="27">
        <v>8.0</v>
      </c>
      <c r="U52" s="21">
        <f t="shared" si="8"/>
        <v>0</v>
      </c>
      <c r="V52" s="21">
        <f t="shared" ref="V52:AB52" si="262">if(OR(AW52 = $AO$4, AW52 = $AQ$4), 1, 0)</f>
        <v>0</v>
      </c>
      <c r="W52" s="21">
        <f t="shared" si="262"/>
        <v>0</v>
      </c>
      <c r="X52" s="21">
        <f t="shared" si="262"/>
        <v>0</v>
      </c>
      <c r="Y52" s="21">
        <f t="shared" si="262"/>
        <v>0</v>
      </c>
      <c r="Z52" s="21">
        <f t="shared" si="262"/>
        <v>0</v>
      </c>
      <c r="AA52" s="21">
        <f t="shared" si="262"/>
        <v>0</v>
      </c>
      <c r="AB52" s="21">
        <f t="shared" si="262"/>
        <v>0</v>
      </c>
      <c r="AC52" s="21">
        <f t="shared" si="10"/>
        <v>0</v>
      </c>
      <c r="AD52" s="21">
        <f t="shared" si="11"/>
        <v>1</v>
      </c>
      <c r="AE52" s="21">
        <f t="shared" ref="AE52:AH52" si="263">if(OR(BD52 = $AO$6, BD52 = $AS$6, BD52 = $AT$6, BD52 = $AU$6), 1, 0)</f>
        <v>1</v>
      </c>
      <c r="AF52" s="21">
        <f t="shared" si="263"/>
        <v>1</v>
      </c>
      <c r="AG52" s="21">
        <f t="shared" si="263"/>
        <v>1</v>
      </c>
      <c r="AH52" s="21">
        <f t="shared" si="263"/>
        <v>0</v>
      </c>
      <c r="AI52" s="21">
        <f t="shared" si="13"/>
        <v>3</v>
      </c>
      <c r="AJ52" s="21">
        <f t="shared" si="14"/>
        <v>4</v>
      </c>
      <c r="AK52" s="59">
        <f t="shared" si="15"/>
        <v>2.5</v>
      </c>
      <c r="AL52" s="60" t="str">
        <f t="shared" si="16"/>
        <v>subpar</v>
      </c>
      <c r="AW52" s="22">
        <f t="shared" ref="AW52:BC52" si="264">IF(IFERROR(SEARCH(E$1, $D52),0) &gt;= 1, E$1,0)</f>
        <v>0</v>
      </c>
      <c r="AX52" s="22" t="str">
        <f t="shared" si="264"/>
        <v>Wetenschap en technologie</v>
      </c>
      <c r="AY52" s="22" t="str">
        <f t="shared" si="264"/>
        <v>Mode</v>
      </c>
      <c r="AZ52" s="22">
        <f t="shared" si="264"/>
        <v>0</v>
      </c>
      <c r="BA52" s="22" t="str">
        <f t="shared" si="264"/>
        <v>Architectuur</v>
      </c>
      <c r="BB52" s="22">
        <f t="shared" si="264"/>
        <v>0</v>
      </c>
      <c r="BC52" s="22" t="str">
        <f t="shared" si="264"/>
        <v>Toegepaste kunst en design</v>
      </c>
      <c r="BD52" s="22" t="str">
        <f t="shared" ref="BD52:BG52" si="265">IF(L52 = true, BD$1, 0)</f>
        <v>Shop</v>
      </c>
      <c r="BE52" s="22" t="str">
        <f t="shared" si="265"/>
        <v>Café</v>
      </c>
      <c r="BF52" s="22" t="str">
        <f t="shared" si="265"/>
        <v>Parking</v>
      </c>
      <c r="BG52" s="22">
        <f t="shared" si="265"/>
        <v>0</v>
      </c>
      <c r="BH52" s="22" t="str">
        <f>IFERROR(__xludf.DUMMYFUNCTION("""COMPUTED_VALUE"""),"Museum van het Waalse Leven")</f>
        <v>Museum van het Waalse Leven</v>
      </c>
      <c r="BI52" s="24">
        <f>IFERROR(__xludf.DUMMYFUNCTION("""COMPUTED_VALUE"""),0.0)</f>
        <v>0</v>
      </c>
      <c r="BJ52" s="22" t="b">
        <f>IFERROR(__xludf.DUMMYFUNCTION("""COMPUTED_VALUE"""),FALSE)</f>
        <v>0</v>
      </c>
      <c r="BK52" s="22" t="b">
        <f>IFERROR(__xludf.DUMMYFUNCTION("""COMPUTED_VALUE"""),FALSE)</f>
        <v>0</v>
      </c>
      <c r="BL52" s="22"/>
      <c r="BM52" s="22">
        <f>IFERROR(__xludf.DUMMYFUNCTION("""COMPUTED_VALUE"""),0.0)</f>
        <v>0</v>
      </c>
      <c r="BN52" s="22">
        <f>IFERROR(__xludf.DUMMYFUNCTION("""COMPUTED_VALUE"""),1.0)</f>
        <v>1</v>
      </c>
      <c r="BO52" s="22">
        <f>IFERROR(__xludf.DUMMYFUNCTION("""COMPUTED_VALUE"""),0.0)</f>
        <v>0</v>
      </c>
      <c r="BP52" s="22">
        <f>IFERROR(__xludf.DUMMYFUNCTION("""COMPUTED_VALUE"""),0.0)</f>
        <v>0</v>
      </c>
      <c r="BQ52" s="22">
        <f>IFERROR(__xludf.DUMMYFUNCTION("""COMPUTED_VALUE"""),0.0)</f>
        <v>0</v>
      </c>
      <c r="BR52" s="22">
        <f>IFERROR(__xludf.DUMMYFUNCTION("""COMPUTED_VALUE"""),0.0)</f>
        <v>0</v>
      </c>
      <c r="BS52" s="22">
        <f>IFERROR(__xludf.DUMMYFUNCTION("""COMPUTED_VALUE"""),0.0)</f>
        <v>0</v>
      </c>
      <c r="BT52" s="22">
        <f>IFERROR(__xludf.DUMMYFUNCTION("""COMPUTED_VALUE"""),0.0)</f>
        <v>0</v>
      </c>
      <c r="BU52" s="22">
        <f>IFERROR(__xludf.DUMMYFUNCTION("""COMPUTED_VALUE"""),1.0)</f>
        <v>1</v>
      </c>
      <c r="BV52" s="22">
        <f>IFERROR(__xludf.DUMMYFUNCTION("""COMPUTED_VALUE"""),1.0)</f>
        <v>1</v>
      </c>
      <c r="BW52" s="22">
        <f>IFERROR(__xludf.DUMMYFUNCTION("""COMPUTED_VALUE"""),1.0)</f>
        <v>1</v>
      </c>
      <c r="BX52" s="22">
        <f>IFERROR(__xludf.DUMMYFUNCTION("""COMPUTED_VALUE"""),0.0)</f>
        <v>0</v>
      </c>
      <c r="BY52" s="22">
        <f>IFERROR(__xludf.DUMMYFUNCTION("""COMPUTED_VALUE"""),1.0)</f>
        <v>1</v>
      </c>
      <c r="BZ52" s="22">
        <f>IFERROR(__xludf.DUMMYFUNCTION("""COMPUTED_VALUE"""),1.0)</f>
        <v>1</v>
      </c>
      <c r="CA52" s="22">
        <f>IFERROR(__xludf.DUMMYFUNCTION("""COMPUTED_VALUE"""),3.0)</f>
        <v>3</v>
      </c>
      <c r="CB52" s="22">
        <f>IFERROR(__xludf.DUMMYFUNCTION("""COMPUTED_VALUE"""),5.0)</f>
        <v>5</v>
      </c>
      <c r="CC52" s="61">
        <f>IFERROR(__xludf.DUMMYFUNCTION("""COMPUTED_VALUE"""),3.125)</f>
        <v>3.125</v>
      </c>
      <c r="CD52" s="62" t="str">
        <f>IFERROR(__xludf.DUMMYFUNCTION("""COMPUTED_VALUE"""),"good")</f>
        <v>good</v>
      </c>
      <c r="CE52" s="22" t="s">
        <v>301</v>
      </c>
      <c r="CF52" s="24">
        <v>0.0</v>
      </c>
      <c r="CG52" s="22" t="b">
        <v>0</v>
      </c>
      <c r="CH52" s="22" t="b">
        <v>0</v>
      </c>
      <c r="CI52" s="22"/>
      <c r="CJ52" s="22">
        <v>0.0</v>
      </c>
      <c r="CK52" s="22">
        <v>1.0</v>
      </c>
      <c r="CL52" s="22">
        <v>0.0</v>
      </c>
      <c r="CM52" s="22">
        <v>0.0</v>
      </c>
      <c r="CN52" s="22">
        <v>0.0</v>
      </c>
      <c r="CO52" s="22">
        <v>0.0</v>
      </c>
      <c r="CP52" s="22">
        <v>0.0</v>
      </c>
      <c r="CQ52" s="22">
        <v>0.0</v>
      </c>
      <c r="CR52" s="22">
        <v>1.0</v>
      </c>
      <c r="CS52" s="22">
        <v>1.0</v>
      </c>
      <c r="CT52" s="22">
        <v>1.0</v>
      </c>
      <c r="CU52" s="22">
        <v>0.0</v>
      </c>
      <c r="CV52" s="22">
        <v>1.0</v>
      </c>
      <c r="CW52" s="22">
        <v>1.0</v>
      </c>
      <c r="CX52" s="22">
        <v>3.0</v>
      </c>
      <c r="CY52" s="22">
        <v>5.0</v>
      </c>
      <c r="CZ52" s="61">
        <v>3.125</v>
      </c>
      <c r="DA52" s="62" t="s">
        <v>561</v>
      </c>
    </row>
    <row r="53">
      <c r="A53" s="16" t="s">
        <v>139</v>
      </c>
      <c r="B53" s="16" t="s">
        <v>140</v>
      </c>
      <c r="C53" s="17" t="s">
        <v>28</v>
      </c>
      <c r="D53" s="16" t="s">
        <v>7</v>
      </c>
      <c r="E53" s="17" t="b">
        <f t="shared" ref="E53:K53" si="266">If(IFERROR(SEARCH(E$1, $D53),0) &gt;= 1, true,false)</f>
        <v>0</v>
      </c>
      <c r="F53" s="17" t="b">
        <f t="shared" si="266"/>
        <v>0</v>
      </c>
      <c r="G53" s="17" t="b">
        <f t="shared" si="266"/>
        <v>0</v>
      </c>
      <c r="H53" s="17" t="b">
        <f t="shared" si="266"/>
        <v>1</v>
      </c>
      <c r="I53" s="17" t="b">
        <f t="shared" si="266"/>
        <v>0</v>
      </c>
      <c r="J53" s="17" t="b">
        <f t="shared" si="266"/>
        <v>0</v>
      </c>
      <c r="K53" s="17" t="b">
        <f t="shared" si="266"/>
        <v>0</v>
      </c>
      <c r="L53" s="18" t="b">
        <v>0</v>
      </c>
      <c r="M53" s="18" t="b">
        <v>0</v>
      </c>
      <c r="N53" s="18" t="b">
        <v>0</v>
      </c>
      <c r="O53" s="18" t="b">
        <v>0</v>
      </c>
      <c r="P53" s="16" t="str">
        <f t="shared" si="7"/>
        <v>Uilenspiegelmuseum</v>
      </c>
      <c r="Q53" s="19">
        <v>6.0</v>
      </c>
      <c r="R53" s="18" t="b">
        <v>0</v>
      </c>
      <c r="S53" s="18" t="b">
        <v>0</v>
      </c>
      <c r="U53" s="21">
        <f t="shared" si="8"/>
        <v>0</v>
      </c>
      <c r="V53" s="21">
        <f t="shared" ref="V53:AB53" si="267">if(OR(AW53 = $AO$4, AW53 = $AQ$4), 1, 0)</f>
        <v>0</v>
      </c>
      <c r="W53" s="21">
        <f t="shared" si="267"/>
        <v>0</v>
      </c>
      <c r="X53" s="21">
        <f t="shared" si="267"/>
        <v>0</v>
      </c>
      <c r="Y53" s="21">
        <f t="shared" si="267"/>
        <v>0</v>
      </c>
      <c r="Z53" s="21">
        <f t="shared" si="267"/>
        <v>0</v>
      </c>
      <c r="AA53" s="21">
        <f t="shared" si="267"/>
        <v>0</v>
      </c>
      <c r="AB53" s="21">
        <f t="shared" si="267"/>
        <v>0</v>
      </c>
      <c r="AC53" s="21">
        <f t="shared" si="10"/>
        <v>0</v>
      </c>
      <c r="AD53" s="21">
        <f t="shared" si="11"/>
        <v>1</v>
      </c>
      <c r="AE53" s="21">
        <f t="shared" ref="AE53:AH53" si="268">if(OR(BD53 = $AO$6, BD53 = $AS$6, BD53 = $AT$6, BD53 = $AU$6), 1, 0)</f>
        <v>0</v>
      </c>
      <c r="AF53" s="21">
        <f t="shared" si="268"/>
        <v>0</v>
      </c>
      <c r="AG53" s="21">
        <f t="shared" si="268"/>
        <v>0</v>
      </c>
      <c r="AH53" s="21">
        <f t="shared" si="268"/>
        <v>0</v>
      </c>
      <c r="AI53" s="21">
        <f t="shared" si="13"/>
        <v>0</v>
      </c>
      <c r="AJ53" s="21">
        <f t="shared" si="14"/>
        <v>1</v>
      </c>
      <c r="AK53" s="59">
        <f t="shared" si="15"/>
        <v>0.625</v>
      </c>
      <c r="AL53" s="60" t="str">
        <f t="shared" si="16"/>
        <v>no match</v>
      </c>
      <c r="AW53" s="22">
        <f t="shared" ref="AW53:BC53" si="269">IF(IFERROR(SEARCH(E$1, $D53),0) &gt;= 1, E$1,0)</f>
        <v>0</v>
      </c>
      <c r="AX53" s="22">
        <f t="shared" si="269"/>
        <v>0</v>
      </c>
      <c r="AY53" s="22">
        <f t="shared" si="269"/>
        <v>0</v>
      </c>
      <c r="AZ53" s="22" t="str">
        <f t="shared" si="269"/>
        <v>Literatuur</v>
      </c>
      <c r="BA53" s="22">
        <f t="shared" si="269"/>
        <v>0</v>
      </c>
      <c r="BB53" s="22">
        <f t="shared" si="269"/>
        <v>0</v>
      </c>
      <c r="BC53" s="22">
        <f t="shared" si="269"/>
        <v>0</v>
      </c>
      <c r="BD53" s="22">
        <f t="shared" ref="BD53:BG53" si="270">IF(L53 = true, BD$1, 0)</f>
        <v>0</v>
      </c>
      <c r="BE53" s="22">
        <f t="shared" si="270"/>
        <v>0</v>
      </c>
      <c r="BF53" s="22">
        <f t="shared" si="270"/>
        <v>0</v>
      </c>
      <c r="BG53" s="22">
        <f t="shared" si="270"/>
        <v>0</v>
      </c>
      <c r="BH53" s="22" t="str">
        <f>IFERROR(__xludf.DUMMYFUNCTION("""COMPUTED_VALUE"""),"Museum van Mijnbouw en Duurzame Ontwikkeling")</f>
        <v>Museum van Mijnbouw en Duurzame Ontwikkeling</v>
      </c>
      <c r="BI53" s="24">
        <f>IFERROR(__xludf.DUMMYFUNCTION("""COMPUTED_VALUE"""),9.0)</f>
        <v>9</v>
      </c>
      <c r="BJ53" s="22" t="b">
        <f>IFERROR(__xludf.DUMMYFUNCTION("""COMPUTED_VALUE"""),FALSE)</f>
        <v>0</v>
      </c>
      <c r="BK53" s="22" t="b">
        <f>IFERROR(__xludf.DUMMYFUNCTION("""COMPUTED_VALUE"""),TRUE)</f>
        <v>1</v>
      </c>
      <c r="BL53" s="24">
        <f>IFERROR(__xludf.DUMMYFUNCTION("""COMPUTED_VALUE"""),9.0)</f>
        <v>9</v>
      </c>
      <c r="BM53" s="22">
        <f>IFERROR(__xludf.DUMMYFUNCTION("""COMPUTED_VALUE"""),0.0)</f>
        <v>0</v>
      </c>
      <c r="BN53" s="22">
        <f>IFERROR(__xludf.DUMMYFUNCTION("""COMPUTED_VALUE"""),1.0)</f>
        <v>1</v>
      </c>
      <c r="BO53" s="22">
        <f>IFERROR(__xludf.DUMMYFUNCTION("""COMPUTED_VALUE"""),0.0)</f>
        <v>0</v>
      </c>
      <c r="BP53" s="22">
        <f>IFERROR(__xludf.DUMMYFUNCTION("""COMPUTED_VALUE"""),0.0)</f>
        <v>0</v>
      </c>
      <c r="BQ53" s="22">
        <f>IFERROR(__xludf.DUMMYFUNCTION("""COMPUTED_VALUE"""),0.0)</f>
        <v>0</v>
      </c>
      <c r="BR53" s="22">
        <f>IFERROR(__xludf.DUMMYFUNCTION("""COMPUTED_VALUE"""),0.0)</f>
        <v>0</v>
      </c>
      <c r="BS53" s="22">
        <f>IFERROR(__xludf.DUMMYFUNCTION("""COMPUTED_VALUE"""),0.0)</f>
        <v>0</v>
      </c>
      <c r="BT53" s="22">
        <f>IFERROR(__xludf.DUMMYFUNCTION("""COMPUTED_VALUE"""),0.0)</f>
        <v>0</v>
      </c>
      <c r="BU53" s="22">
        <f>IFERROR(__xludf.DUMMYFUNCTION("""COMPUTED_VALUE"""),1.0)</f>
        <v>1</v>
      </c>
      <c r="BV53" s="22">
        <f>IFERROR(__xludf.DUMMYFUNCTION("""COMPUTED_VALUE"""),1.0)</f>
        <v>1</v>
      </c>
      <c r="BW53" s="22">
        <f>IFERROR(__xludf.DUMMYFUNCTION("""COMPUTED_VALUE"""),1.0)</f>
        <v>1</v>
      </c>
      <c r="BX53" s="22">
        <f>IFERROR(__xludf.DUMMYFUNCTION("""COMPUTED_VALUE"""),1.0)</f>
        <v>1</v>
      </c>
      <c r="BY53" s="22">
        <f>IFERROR(__xludf.DUMMYFUNCTION("""COMPUTED_VALUE"""),0.0)</f>
        <v>0</v>
      </c>
      <c r="BZ53" s="22">
        <f>IFERROR(__xludf.DUMMYFUNCTION("""COMPUTED_VALUE"""),1.0)</f>
        <v>1</v>
      </c>
      <c r="CA53" s="22">
        <f>IFERROR(__xludf.DUMMYFUNCTION("""COMPUTED_VALUE"""),3.0)</f>
        <v>3</v>
      </c>
      <c r="CB53" s="22">
        <f>IFERROR(__xludf.DUMMYFUNCTION("""COMPUTED_VALUE"""),5.0)</f>
        <v>5</v>
      </c>
      <c r="CC53" s="61">
        <f>IFERROR(__xludf.DUMMYFUNCTION("""COMPUTED_VALUE"""),3.125)</f>
        <v>3.125</v>
      </c>
      <c r="CD53" s="62" t="str">
        <f>IFERROR(__xludf.DUMMYFUNCTION("""COMPUTED_VALUE"""),"good")</f>
        <v>good</v>
      </c>
      <c r="CE53" s="22" t="s">
        <v>320</v>
      </c>
      <c r="CF53" s="24">
        <v>9.0</v>
      </c>
      <c r="CG53" s="22" t="b">
        <v>0</v>
      </c>
      <c r="CH53" s="22" t="b">
        <v>1</v>
      </c>
      <c r="CI53" s="24">
        <v>9.0</v>
      </c>
      <c r="CJ53" s="22">
        <v>0.0</v>
      </c>
      <c r="CK53" s="22">
        <v>1.0</v>
      </c>
      <c r="CL53" s="22">
        <v>0.0</v>
      </c>
      <c r="CM53" s="22">
        <v>0.0</v>
      </c>
      <c r="CN53" s="22">
        <v>0.0</v>
      </c>
      <c r="CO53" s="22">
        <v>0.0</v>
      </c>
      <c r="CP53" s="22">
        <v>0.0</v>
      </c>
      <c r="CQ53" s="22">
        <v>0.0</v>
      </c>
      <c r="CR53" s="22">
        <v>1.0</v>
      </c>
      <c r="CS53" s="22">
        <v>1.0</v>
      </c>
      <c r="CT53" s="22">
        <v>1.0</v>
      </c>
      <c r="CU53" s="22">
        <v>1.0</v>
      </c>
      <c r="CV53" s="22">
        <v>0.0</v>
      </c>
      <c r="CW53" s="22">
        <v>1.0</v>
      </c>
      <c r="CX53" s="22">
        <v>3.0</v>
      </c>
      <c r="CY53" s="22">
        <v>5.0</v>
      </c>
      <c r="CZ53" s="61">
        <v>3.125</v>
      </c>
      <c r="DA53" s="62" t="s">
        <v>561</v>
      </c>
    </row>
    <row r="54">
      <c r="A54" s="16" t="s">
        <v>141</v>
      </c>
      <c r="B54" s="16" t="s">
        <v>142</v>
      </c>
      <c r="C54" s="17" t="s">
        <v>28</v>
      </c>
      <c r="D54" s="16" t="s">
        <v>4</v>
      </c>
      <c r="E54" s="17" t="b">
        <f t="shared" ref="E54:K54" si="271">If(IFERROR(SEARCH(E$1, $D54),0) &gt;= 1, true,false)</f>
        <v>1</v>
      </c>
      <c r="F54" s="17" t="b">
        <f t="shared" si="271"/>
        <v>0</v>
      </c>
      <c r="G54" s="17" t="b">
        <f t="shared" si="271"/>
        <v>0</v>
      </c>
      <c r="H54" s="17" t="b">
        <f t="shared" si="271"/>
        <v>0</v>
      </c>
      <c r="I54" s="17" t="b">
        <f t="shared" si="271"/>
        <v>0</v>
      </c>
      <c r="J54" s="17" t="b">
        <f t="shared" si="271"/>
        <v>0</v>
      </c>
      <c r="K54" s="17" t="b">
        <f t="shared" si="271"/>
        <v>0</v>
      </c>
      <c r="L54" s="18" t="b">
        <v>0</v>
      </c>
      <c r="M54" s="18" t="b">
        <v>0</v>
      </c>
      <c r="N54" s="18" t="b">
        <v>0</v>
      </c>
      <c r="O54" s="18" t="b">
        <v>0</v>
      </c>
      <c r="P54" s="16" t="str">
        <f t="shared" si="7"/>
        <v>Volkskundemuseum</v>
      </c>
      <c r="Q54" s="19">
        <v>8.0</v>
      </c>
      <c r="R54" s="18" t="b">
        <v>0</v>
      </c>
      <c r="S54" s="18" t="b">
        <v>0</v>
      </c>
      <c r="U54" s="21">
        <f t="shared" si="8"/>
        <v>0</v>
      </c>
      <c r="V54" s="21">
        <f t="shared" ref="V54:AB54" si="272">if(OR(AW54 = $AO$4, AW54 = $AQ$4), 1, 0)</f>
        <v>1</v>
      </c>
      <c r="W54" s="21">
        <f t="shared" si="272"/>
        <v>0</v>
      </c>
      <c r="X54" s="21">
        <f t="shared" si="272"/>
        <v>0</v>
      </c>
      <c r="Y54" s="21">
        <f t="shared" si="272"/>
        <v>0</v>
      </c>
      <c r="Z54" s="21">
        <f t="shared" si="272"/>
        <v>0</v>
      </c>
      <c r="AA54" s="21">
        <f t="shared" si="272"/>
        <v>0</v>
      </c>
      <c r="AB54" s="21">
        <f t="shared" si="272"/>
        <v>0</v>
      </c>
      <c r="AC54" s="21">
        <f t="shared" si="10"/>
        <v>1</v>
      </c>
      <c r="AD54" s="21">
        <f t="shared" si="11"/>
        <v>1</v>
      </c>
      <c r="AE54" s="21">
        <f t="shared" ref="AE54:AH54" si="273">if(OR(BD54 = $AO$6, BD54 = $AS$6, BD54 = $AT$6, BD54 = $AU$6), 1, 0)</f>
        <v>0</v>
      </c>
      <c r="AF54" s="21">
        <f t="shared" si="273"/>
        <v>0</v>
      </c>
      <c r="AG54" s="21">
        <f t="shared" si="273"/>
        <v>0</v>
      </c>
      <c r="AH54" s="21">
        <f t="shared" si="273"/>
        <v>0</v>
      </c>
      <c r="AI54" s="21">
        <f t="shared" si="13"/>
        <v>0</v>
      </c>
      <c r="AJ54" s="21">
        <f t="shared" si="14"/>
        <v>2</v>
      </c>
      <c r="AK54" s="59">
        <f t="shared" si="15"/>
        <v>1.25</v>
      </c>
      <c r="AL54" s="60" t="str">
        <f t="shared" si="16"/>
        <v>subpar</v>
      </c>
      <c r="AW54" s="22" t="str">
        <f t="shared" ref="AW54:BC54" si="274">IF(IFERROR(SEARCH(E$1, $D54),0) &gt;= 1, E$1,0)</f>
        <v>Geschiedenis en archeologie</v>
      </c>
      <c r="AX54" s="22">
        <f t="shared" si="274"/>
        <v>0</v>
      </c>
      <c r="AY54" s="22">
        <f t="shared" si="274"/>
        <v>0</v>
      </c>
      <c r="AZ54" s="22">
        <f t="shared" si="274"/>
        <v>0</v>
      </c>
      <c r="BA54" s="22">
        <f t="shared" si="274"/>
        <v>0</v>
      </c>
      <c r="BB54" s="22">
        <f t="shared" si="274"/>
        <v>0</v>
      </c>
      <c r="BC54" s="22">
        <f t="shared" si="274"/>
        <v>0</v>
      </c>
      <c r="BD54" s="22">
        <f t="shared" ref="BD54:BG54" si="275">IF(L54 = true, BD$1, 0)</f>
        <v>0</v>
      </c>
      <c r="BE54" s="22">
        <f t="shared" si="275"/>
        <v>0</v>
      </c>
      <c r="BF54" s="22">
        <f t="shared" si="275"/>
        <v>0</v>
      </c>
      <c r="BG54" s="22">
        <f t="shared" si="275"/>
        <v>0</v>
      </c>
      <c r="BH54" s="22" t="str">
        <f>IFERROR(__xludf.DUMMYFUNCTION("""COMPUTED_VALUE"""),"Keramis - Centrum van de Keramiek")</f>
        <v>Keramis - Centrum van de Keramiek</v>
      </c>
      <c r="BI54" s="24">
        <f>IFERROR(__xludf.DUMMYFUNCTION("""COMPUTED_VALUE"""),8.0)</f>
        <v>8</v>
      </c>
      <c r="BJ54" s="22" t="b">
        <f>IFERROR(__xludf.DUMMYFUNCTION("""COMPUTED_VALUE"""),FALSE)</f>
        <v>0</v>
      </c>
      <c r="BK54" s="22" t="b">
        <f>IFERROR(__xludf.DUMMYFUNCTION("""COMPUTED_VALUE"""),TRUE)</f>
        <v>1</v>
      </c>
      <c r="BL54" s="24">
        <f>IFERROR(__xludf.DUMMYFUNCTION("""COMPUTED_VALUE"""),8.0)</f>
        <v>8</v>
      </c>
      <c r="BM54" s="22">
        <f>IFERROR(__xludf.DUMMYFUNCTION("""COMPUTED_VALUE"""),0.0)</f>
        <v>0</v>
      </c>
      <c r="BN54" s="22">
        <f>IFERROR(__xludf.DUMMYFUNCTION("""COMPUTED_VALUE"""),1.0)</f>
        <v>1</v>
      </c>
      <c r="BO54" s="22">
        <f>IFERROR(__xludf.DUMMYFUNCTION("""COMPUTED_VALUE"""),0.0)</f>
        <v>0</v>
      </c>
      <c r="BP54" s="22">
        <f>IFERROR(__xludf.DUMMYFUNCTION("""COMPUTED_VALUE"""),0.0)</f>
        <v>0</v>
      </c>
      <c r="BQ54" s="22">
        <f>IFERROR(__xludf.DUMMYFUNCTION("""COMPUTED_VALUE"""),0.0)</f>
        <v>0</v>
      </c>
      <c r="BR54" s="22">
        <f>IFERROR(__xludf.DUMMYFUNCTION("""COMPUTED_VALUE"""),0.0)</f>
        <v>0</v>
      </c>
      <c r="BS54" s="22">
        <f>IFERROR(__xludf.DUMMYFUNCTION("""COMPUTED_VALUE"""),1.0)</f>
        <v>1</v>
      </c>
      <c r="BT54" s="22">
        <f>IFERROR(__xludf.DUMMYFUNCTION("""COMPUTED_VALUE"""),0.0)</f>
        <v>0</v>
      </c>
      <c r="BU54" s="22">
        <f>IFERROR(__xludf.DUMMYFUNCTION("""COMPUTED_VALUE"""),2.0)</f>
        <v>2</v>
      </c>
      <c r="BV54" s="22">
        <f>IFERROR(__xludf.DUMMYFUNCTION("""COMPUTED_VALUE"""),1.0)</f>
        <v>1</v>
      </c>
      <c r="BW54" s="22">
        <f>IFERROR(__xludf.DUMMYFUNCTION("""COMPUTED_VALUE"""),1.0)</f>
        <v>1</v>
      </c>
      <c r="BX54" s="22">
        <f>IFERROR(__xludf.DUMMYFUNCTION("""COMPUTED_VALUE"""),0.0)</f>
        <v>0</v>
      </c>
      <c r="BY54" s="22">
        <f>IFERROR(__xludf.DUMMYFUNCTION("""COMPUTED_VALUE"""),0.0)</f>
        <v>0</v>
      </c>
      <c r="BZ54" s="22">
        <f>IFERROR(__xludf.DUMMYFUNCTION("""COMPUTED_VALUE"""),1.0)</f>
        <v>1</v>
      </c>
      <c r="CA54" s="22">
        <f>IFERROR(__xludf.DUMMYFUNCTION("""COMPUTED_VALUE"""),2.0)</f>
        <v>2</v>
      </c>
      <c r="CB54" s="22">
        <f>IFERROR(__xludf.DUMMYFUNCTION("""COMPUTED_VALUE"""),5.0)</f>
        <v>5</v>
      </c>
      <c r="CC54" s="61">
        <f>IFERROR(__xludf.DUMMYFUNCTION("""COMPUTED_VALUE"""),3.125)</f>
        <v>3.125</v>
      </c>
      <c r="CD54" s="62" t="str">
        <f>IFERROR(__xludf.DUMMYFUNCTION("""COMPUTED_VALUE"""),"good")</f>
        <v>good</v>
      </c>
      <c r="CE54" s="22" t="s">
        <v>347</v>
      </c>
      <c r="CF54" s="24">
        <v>8.0</v>
      </c>
      <c r="CG54" s="22" t="b">
        <v>0</v>
      </c>
      <c r="CH54" s="22" t="b">
        <v>1</v>
      </c>
      <c r="CI54" s="24">
        <v>8.0</v>
      </c>
      <c r="CJ54" s="22">
        <v>0.0</v>
      </c>
      <c r="CK54" s="22">
        <v>1.0</v>
      </c>
      <c r="CL54" s="22">
        <v>0.0</v>
      </c>
      <c r="CM54" s="22">
        <v>0.0</v>
      </c>
      <c r="CN54" s="22">
        <v>0.0</v>
      </c>
      <c r="CO54" s="22">
        <v>0.0</v>
      </c>
      <c r="CP54" s="22">
        <v>1.0</v>
      </c>
      <c r="CQ54" s="22">
        <v>0.0</v>
      </c>
      <c r="CR54" s="22">
        <v>2.0</v>
      </c>
      <c r="CS54" s="22">
        <v>1.0</v>
      </c>
      <c r="CT54" s="22">
        <v>1.0</v>
      </c>
      <c r="CU54" s="22">
        <v>0.0</v>
      </c>
      <c r="CV54" s="22">
        <v>0.0</v>
      </c>
      <c r="CW54" s="22">
        <v>1.0</v>
      </c>
      <c r="CX54" s="22">
        <v>2.0</v>
      </c>
      <c r="CY54" s="22">
        <v>5.0</v>
      </c>
      <c r="CZ54" s="61">
        <v>3.125</v>
      </c>
      <c r="DA54" s="62" t="s">
        <v>561</v>
      </c>
    </row>
    <row r="55">
      <c r="A55" s="16" t="s">
        <v>143</v>
      </c>
      <c r="B55" s="16"/>
      <c r="C55" s="17" t="s">
        <v>28</v>
      </c>
      <c r="D55" s="16" t="s">
        <v>144</v>
      </c>
      <c r="E55" s="17" t="b">
        <f t="shared" ref="E55:K55" si="276">If(IFERROR(SEARCH(E$1, $D55),0) &gt;= 1, true,false)</f>
        <v>1</v>
      </c>
      <c r="F55" s="17" t="b">
        <f t="shared" si="276"/>
        <v>0</v>
      </c>
      <c r="G55" s="17" t="b">
        <f t="shared" si="276"/>
        <v>0</v>
      </c>
      <c r="H55" s="17" t="b">
        <f t="shared" si="276"/>
        <v>0</v>
      </c>
      <c r="I55" s="17" t="b">
        <f t="shared" si="276"/>
        <v>1</v>
      </c>
      <c r="J55" s="17" t="b">
        <f t="shared" si="276"/>
        <v>0</v>
      </c>
      <c r="K55" s="17" t="b">
        <f t="shared" si="276"/>
        <v>0</v>
      </c>
      <c r="L55" s="18" t="b">
        <v>1</v>
      </c>
      <c r="M55" s="18" t="b">
        <v>0</v>
      </c>
      <c r="N55" s="18" t="b">
        <v>0</v>
      </c>
      <c r="O55" s="18" t="b">
        <v>0</v>
      </c>
      <c r="P55" s="16" t="str">
        <f t="shared" si="7"/>
        <v>Westfront Nieuwpoort</v>
      </c>
      <c r="Q55" s="19">
        <v>9.5</v>
      </c>
      <c r="R55" s="18" t="b">
        <v>0</v>
      </c>
      <c r="S55" s="18" t="b">
        <v>0</v>
      </c>
      <c r="T55" s="16"/>
      <c r="U55" s="21">
        <f t="shared" si="8"/>
        <v>0</v>
      </c>
      <c r="V55" s="21">
        <f t="shared" ref="V55:AB55" si="277">if(OR(AW55 = $AO$4, AW55 = $AQ$4), 1, 0)</f>
        <v>1</v>
      </c>
      <c r="W55" s="21">
        <f t="shared" si="277"/>
        <v>0</v>
      </c>
      <c r="X55" s="21">
        <f t="shared" si="277"/>
        <v>0</v>
      </c>
      <c r="Y55" s="21">
        <f t="shared" si="277"/>
        <v>0</v>
      </c>
      <c r="Z55" s="21">
        <f t="shared" si="277"/>
        <v>0</v>
      </c>
      <c r="AA55" s="21">
        <f t="shared" si="277"/>
        <v>0</v>
      </c>
      <c r="AB55" s="21">
        <f t="shared" si="277"/>
        <v>0</v>
      </c>
      <c r="AC55" s="21">
        <f t="shared" si="10"/>
        <v>1</v>
      </c>
      <c r="AD55" s="21">
        <f t="shared" si="11"/>
        <v>1</v>
      </c>
      <c r="AE55" s="21">
        <f t="shared" ref="AE55:AH55" si="278">if(OR(BD55 = $AO$6, BD55 = $AS$6, BD55 = $AT$6, BD55 = $AU$6), 1, 0)</f>
        <v>1</v>
      </c>
      <c r="AF55" s="21">
        <f t="shared" si="278"/>
        <v>0</v>
      </c>
      <c r="AG55" s="21">
        <f t="shared" si="278"/>
        <v>0</v>
      </c>
      <c r="AH55" s="21">
        <f t="shared" si="278"/>
        <v>0</v>
      </c>
      <c r="AI55" s="21">
        <f t="shared" si="13"/>
        <v>1</v>
      </c>
      <c r="AJ55" s="21">
        <f t="shared" si="14"/>
        <v>3</v>
      </c>
      <c r="AK55" s="59">
        <f t="shared" si="15"/>
        <v>1.875</v>
      </c>
      <c r="AL55" s="60" t="str">
        <f t="shared" si="16"/>
        <v>subpar</v>
      </c>
      <c r="AW55" s="22" t="str">
        <f t="shared" ref="AW55:BC55" si="279">IF(IFERROR(SEARCH(E$1, $D55),0) &gt;= 1, E$1,0)</f>
        <v>Geschiedenis en archeologie</v>
      </c>
      <c r="AX55" s="22">
        <f t="shared" si="279"/>
        <v>0</v>
      </c>
      <c r="AY55" s="22">
        <f t="shared" si="279"/>
        <v>0</v>
      </c>
      <c r="AZ55" s="22">
        <f t="shared" si="279"/>
        <v>0</v>
      </c>
      <c r="BA55" s="22" t="str">
        <f t="shared" si="279"/>
        <v>Architectuur</v>
      </c>
      <c r="BB55" s="22">
        <f t="shared" si="279"/>
        <v>0</v>
      </c>
      <c r="BC55" s="22">
        <f t="shared" si="279"/>
        <v>0</v>
      </c>
      <c r="BD55" s="22" t="str">
        <f t="shared" ref="BD55:BG55" si="280">IF(L55 = true, BD$1, 0)</f>
        <v>Shop</v>
      </c>
      <c r="BE55" s="22">
        <f t="shared" si="280"/>
        <v>0</v>
      </c>
      <c r="BF55" s="22">
        <f t="shared" si="280"/>
        <v>0</v>
      </c>
      <c r="BG55" s="22">
        <f t="shared" si="280"/>
        <v>0</v>
      </c>
      <c r="BH55" s="22" t="str">
        <f>IFERROR(__xludf.DUMMYFUNCTION("""COMPUTED_VALUE"""),"Plugstreet 14-18 experience ")</f>
        <v>Plugstreet 14-18 experience </v>
      </c>
      <c r="BI55" s="24">
        <f>IFERROR(__xludf.DUMMYFUNCTION("""COMPUTED_VALUE"""),5.0)</f>
        <v>5</v>
      </c>
      <c r="BJ55" s="22" t="b">
        <f>IFERROR(__xludf.DUMMYFUNCTION("""COMPUTED_VALUE"""),FALSE)</f>
        <v>0</v>
      </c>
      <c r="BK55" s="22" t="b">
        <f>IFERROR(__xludf.DUMMYFUNCTION("""COMPUTED_VALUE"""),FALSE)</f>
        <v>0</v>
      </c>
      <c r="BL55" s="24">
        <f>IFERROR(__xludf.DUMMYFUNCTION("""COMPUTED_VALUE"""),5.0)</f>
        <v>5</v>
      </c>
      <c r="BM55" s="22">
        <f>IFERROR(__xludf.DUMMYFUNCTION("""COMPUTED_VALUE"""),0.0)</f>
        <v>0</v>
      </c>
      <c r="BN55" s="22">
        <f>IFERROR(__xludf.DUMMYFUNCTION("""COMPUTED_VALUE"""),1.0)</f>
        <v>1</v>
      </c>
      <c r="BO55" s="22">
        <f>IFERROR(__xludf.DUMMYFUNCTION("""COMPUTED_VALUE"""),0.0)</f>
        <v>0</v>
      </c>
      <c r="BP55" s="22">
        <f>IFERROR(__xludf.DUMMYFUNCTION("""COMPUTED_VALUE"""),0.0)</f>
        <v>0</v>
      </c>
      <c r="BQ55" s="22">
        <f>IFERROR(__xludf.DUMMYFUNCTION("""COMPUTED_VALUE"""),0.0)</f>
        <v>0</v>
      </c>
      <c r="BR55" s="22">
        <f>IFERROR(__xludf.DUMMYFUNCTION("""COMPUTED_VALUE"""),0.0)</f>
        <v>0</v>
      </c>
      <c r="BS55" s="22">
        <f>IFERROR(__xludf.DUMMYFUNCTION("""COMPUTED_VALUE"""),0.0)</f>
        <v>0</v>
      </c>
      <c r="BT55" s="22">
        <f>IFERROR(__xludf.DUMMYFUNCTION("""COMPUTED_VALUE"""),0.0)</f>
        <v>0</v>
      </c>
      <c r="BU55" s="22">
        <f>IFERROR(__xludf.DUMMYFUNCTION("""COMPUTED_VALUE"""),1.0)</f>
        <v>1</v>
      </c>
      <c r="BV55" s="22">
        <f>IFERROR(__xludf.DUMMYFUNCTION("""COMPUTED_VALUE"""),1.0)</f>
        <v>1</v>
      </c>
      <c r="BW55" s="22">
        <f>IFERROR(__xludf.DUMMYFUNCTION("""COMPUTED_VALUE"""),1.0)</f>
        <v>1</v>
      </c>
      <c r="BX55" s="22">
        <f>IFERROR(__xludf.DUMMYFUNCTION("""COMPUTED_VALUE"""),1.0)</f>
        <v>1</v>
      </c>
      <c r="BY55" s="22">
        <f>IFERROR(__xludf.DUMMYFUNCTION("""COMPUTED_VALUE"""),0.0)</f>
        <v>0</v>
      </c>
      <c r="BZ55" s="22">
        <f>IFERROR(__xludf.DUMMYFUNCTION("""COMPUTED_VALUE"""),1.0)</f>
        <v>1</v>
      </c>
      <c r="CA55" s="22">
        <f>IFERROR(__xludf.DUMMYFUNCTION("""COMPUTED_VALUE"""),3.0)</f>
        <v>3</v>
      </c>
      <c r="CB55" s="22">
        <f>IFERROR(__xludf.DUMMYFUNCTION("""COMPUTED_VALUE"""),5.0)</f>
        <v>5</v>
      </c>
      <c r="CC55" s="61">
        <f>IFERROR(__xludf.DUMMYFUNCTION("""COMPUTED_VALUE"""),3.125)</f>
        <v>3.125</v>
      </c>
      <c r="CD55" s="62" t="str">
        <f>IFERROR(__xludf.DUMMYFUNCTION("""COMPUTED_VALUE"""),"good")</f>
        <v>good</v>
      </c>
      <c r="CE55" s="22" t="s">
        <v>388</v>
      </c>
      <c r="CF55" s="24">
        <v>5.0</v>
      </c>
      <c r="CG55" s="22" t="b">
        <v>0</v>
      </c>
      <c r="CH55" s="22" t="b">
        <v>0</v>
      </c>
      <c r="CI55" s="24">
        <v>5.0</v>
      </c>
      <c r="CJ55" s="22">
        <v>0.0</v>
      </c>
      <c r="CK55" s="22">
        <v>1.0</v>
      </c>
      <c r="CL55" s="22">
        <v>0.0</v>
      </c>
      <c r="CM55" s="22">
        <v>0.0</v>
      </c>
      <c r="CN55" s="22">
        <v>0.0</v>
      </c>
      <c r="CO55" s="22">
        <v>0.0</v>
      </c>
      <c r="CP55" s="22">
        <v>0.0</v>
      </c>
      <c r="CQ55" s="22">
        <v>0.0</v>
      </c>
      <c r="CR55" s="22">
        <v>1.0</v>
      </c>
      <c r="CS55" s="22">
        <v>1.0</v>
      </c>
      <c r="CT55" s="22">
        <v>1.0</v>
      </c>
      <c r="CU55" s="22">
        <v>1.0</v>
      </c>
      <c r="CV55" s="22">
        <v>0.0</v>
      </c>
      <c r="CW55" s="22">
        <v>1.0</v>
      </c>
      <c r="CX55" s="22">
        <v>3.0</v>
      </c>
      <c r="CY55" s="22">
        <v>5.0</v>
      </c>
      <c r="CZ55" s="61">
        <v>3.125</v>
      </c>
      <c r="DA55" s="62" t="s">
        <v>561</v>
      </c>
    </row>
    <row r="56">
      <c r="A56" s="16" t="s">
        <v>145</v>
      </c>
      <c r="B56" s="16"/>
      <c r="C56" s="17" t="s">
        <v>28</v>
      </c>
      <c r="D56" s="16" t="s">
        <v>68</v>
      </c>
      <c r="E56" s="17" t="b">
        <f t="shared" ref="E56:K56" si="281">If(IFERROR(SEARCH(E$1, $D56),0) &gt;= 1, true,false)</f>
        <v>1</v>
      </c>
      <c r="F56" s="17" t="b">
        <f t="shared" si="281"/>
        <v>0</v>
      </c>
      <c r="G56" s="17" t="b">
        <f t="shared" si="281"/>
        <v>0</v>
      </c>
      <c r="H56" s="17" t="b">
        <f t="shared" si="281"/>
        <v>0</v>
      </c>
      <c r="I56" s="17" t="b">
        <f t="shared" si="281"/>
        <v>1</v>
      </c>
      <c r="J56" s="17" t="b">
        <f t="shared" si="281"/>
        <v>1</v>
      </c>
      <c r="K56" s="17" t="b">
        <f t="shared" si="281"/>
        <v>1</v>
      </c>
      <c r="L56" s="18" t="b">
        <v>0</v>
      </c>
      <c r="M56" s="18" t="b">
        <v>1</v>
      </c>
      <c r="N56" s="18" t="b">
        <v>0</v>
      </c>
      <c r="O56" s="18" t="b">
        <v>0</v>
      </c>
      <c r="P56" s="16" t="str">
        <f t="shared" si="7"/>
        <v>Yper Museum</v>
      </c>
      <c r="Q56" s="19">
        <v>8.5</v>
      </c>
      <c r="R56" s="18" t="b">
        <v>0</v>
      </c>
      <c r="S56" s="18" t="b">
        <v>0</v>
      </c>
      <c r="T56" s="16"/>
      <c r="U56" s="21">
        <f t="shared" si="8"/>
        <v>0</v>
      </c>
      <c r="V56" s="21">
        <f t="shared" ref="V56:AB56" si="282">if(OR(AW56 = $AO$4, AW56 = $AQ$4), 1, 0)</f>
        <v>1</v>
      </c>
      <c r="W56" s="21">
        <f t="shared" si="282"/>
        <v>0</v>
      </c>
      <c r="X56" s="21">
        <f t="shared" si="282"/>
        <v>0</v>
      </c>
      <c r="Y56" s="21">
        <f t="shared" si="282"/>
        <v>0</v>
      </c>
      <c r="Z56" s="21">
        <f t="shared" si="282"/>
        <v>0</v>
      </c>
      <c r="AA56" s="21">
        <f t="shared" si="282"/>
        <v>1</v>
      </c>
      <c r="AB56" s="21">
        <f t="shared" si="282"/>
        <v>0</v>
      </c>
      <c r="AC56" s="21">
        <f t="shared" si="10"/>
        <v>2</v>
      </c>
      <c r="AD56" s="21">
        <f t="shared" si="11"/>
        <v>1</v>
      </c>
      <c r="AE56" s="21">
        <f t="shared" ref="AE56:AH56" si="283">if(OR(BD56 = $AO$6, BD56 = $AS$6, BD56 = $AT$6, BD56 = $AU$6), 1, 0)</f>
        <v>0</v>
      </c>
      <c r="AF56" s="21">
        <f t="shared" si="283"/>
        <v>1</v>
      </c>
      <c r="AG56" s="21">
        <f t="shared" si="283"/>
        <v>0</v>
      </c>
      <c r="AH56" s="21">
        <f t="shared" si="283"/>
        <v>0</v>
      </c>
      <c r="AI56" s="21">
        <f t="shared" si="13"/>
        <v>1</v>
      </c>
      <c r="AJ56" s="21">
        <f t="shared" si="14"/>
        <v>4</v>
      </c>
      <c r="AK56" s="59">
        <f t="shared" si="15"/>
        <v>2.5</v>
      </c>
      <c r="AL56" s="60" t="str">
        <f t="shared" si="16"/>
        <v>subpar</v>
      </c>
      <c r="AW56" s="22" t="str">
        <f t="shared" ref="AW56:BC56" si="284">IF(IFERROR(SEARCH(E$1, $D56),0) &gt;= 1, E$1,0)</f>
        <v>Geschiedenis en archeologie</v>
      </c>
      <c r="AX56" s="22">
        <f t="shared" si="284"/>
        <v>0</v>
      </c>
      <c r="AY56" s="22">
        <f t="shared" si="284"/>
        <v>0</v>
      </c>
      <c r="AZ56" s="22">
        <f t="shared" si="284"/>
        <v>0</v>
      </c>
      <c r="BA56" s="22" t="str">
        <f t="shared" si="284"/>
        <v>Architectuur</v>
      </c>
      <c r="BB56" s="22" t="str">
        <f t="shared" si="284"/>
        <v>Beeldende kunst</v>
      </c>
      <c r="BC56" s="22" t="str">
        <f t="shared" si="284"/>
        <v>Toegepaste kunst en design</v>
      </c>
      <c r="BD56" s="22">
        <f t="shared" ref="BD56:BG56" si="285">IF(L56 = true, BD$1, 0)</f>
        <v>0</v>
      </c>
      <c r="BE56" s="22" t="str">
        <f t="shared" si="285"/>
        <v>Café</v>
      </c>
      <c r="BF56" s="22">
        <f t="shared" si="285"/>
        <v>0</v>
      </c>
      <c r="BG56" s="22">
        <f t="shared" si="285"/>
        <v>0</v>
      </c>
      <c r="BH56" s="22" t="str">
        <f>IFERROR(__xludf.DUMMYFUNCTION("""COMPUTED_VALUE"""),"Megalietenhuis")</f>
        <v>Megalietenhuis</v>
      </c>
      <c r="BI56" s="24">
        <f>IFERROR(__xludf.DUMMYFUNCTION("""COMPUTED_VALUE"""),4.0)</f>
        <v>4</v>
      </c>
      <c r="BJ56" s="22" t="b">
        <f>IFERROR(__xludf.DUMMYFUNCTION("""COMPUTED_VALUE"""),FALSE)</f>
        <v>0</v>
      </c>
      <c r="BK56" s="22" t="b">
        <f>IFERROR(__xludf.DUMMYFUNCTION("""COMPUTED_VALUE"""),TRUE)</f>
        <v>1</v>
      </c>
      <c r="BL56" s="24">
        <f>IFERROR(__xludf.DUMMYFUNCTION("""COMPUTED_VALUE"""),4.0)</f>
        <v>4</v>
      </c>
      <c r="BM56" s="22">
        <f>IFERROR(__xludf.DUMMYFUNCTION("""COMPUTED_VALUE"""),0.0)</f>
        <v>0</v>
      </c>
      <c r="BN56" s="22">
        <f>IFERROR(__xludf.DUMMYFUNCTION("""COMPUTED_VALUE"""),1.0)</f>
        <v>1</v>
      </c>
      <c r="BO56" s="22">
        <f>IFERROR(__xludf.DUMMYFUNCTION("""COMPUTED_VALUE"""),0.0)</f>
        <v>0</v>
      </c>
      <c r="BP56" s="22">
        <f>IFERROR(__xludf.DUMMYFUNCTION("""COMPUTED_VALUE"""),0.0)</f>
        <v>0</v>
      </c>
      <c r="BQ56" s="22">
        <f>IFERROR(__xludf.DUMMYFUNCTION("""COMPUTED_VALUE"""),0.0)</f>
        <v>0</v>
      </c>
      <c r="BR56" s="22">
        <f>IFERROR(__xludf.DUMMYFUNCTION("""COMPUTED_VALUE"""),0.0)</f>
        <v>0</v>
      </c>
      <c r="BS56" s="22">
        <f>IFERROR(__xludf.DUMMYFUNCTION("""COMPUTED_VALUE"""),0.0)</f>
        <v>0</v>
      </c>
      <c r="BT56" s="22">
        <f>IFERROR(__xludf.DUMMYFUNCTION("""COMPUTED_VALUE"""),0.0)</f>
        <v>0</v>
      </c>
      <c r="BU56" s="22">
        <f>IFERROR(__xludf.DUMMYFUNCTION("""COMPUTED_VALUE"""),1.0)</f>
        <v>1</v>
      </c>
      <c r="BV56" s="22">
        <f>IFERROR(__xludf.DUMMYFUNCTION("""COMPUTED_VALUE"""),1.0)</f>
        <v>1</v>
      </c>
      <c r="BW56" s="22">
        <f>IFERROR(__xludf.DUMMYFUNCTION("""COMPUTED_VALUE"""),1.0)</f>
        <v>1</v>
      </c>
      <c r="BX56" s="22">
        <f>IFERROR(__xludf.DUMMYFUNCTION("""COMPUTED_VALUE"""),0.0)</f>
        <v>0</v>
      </c>
      <c r="BY56" s="22">
        <f>IFERROR(__xludf.DUMMYFUNCTION("""COMPUTED_VALUE"""),1.0)</f>
        <v>1</v>
      </c>
      <c r="BZ56" s="22">
        <f>IFERROR(__xludf.DUMMYFUNCTION("""COMPUTED_VALUE"""),1.0)</f>
        <v>1</v>
      </c>
      <c r="CA56" s="22">
        <f>IFERROR(__xludf.DUMMYFUNCTION("""COMPUTED_VALUE"""),3.0)</f>
        <v>3</v>
      </c>
      <c r="CB56" s="22">
        <f>IFERROR(__xludf.DUMMYFUNCTION("""COMPUTED_VALUE"""),5.0)</f>
        <v>5</v>
      </c>
      <c r="CC56" s="61">
        <f>IFERROR(__xludf.DUMMYFUNCTION("""COMPUTED_VALUE"""),3.125)</f>
        <v>3.125</v>
      </c>
      <c r="CD56" s="62" t="str">
        <f>IFERROR(__xludf.DUMMYFUNCTION("""COMPUTED_VALUE"""),"good")</f>
        <v>good</v>
      </c>
      <c r="CE56" s="22" t="s">
        <v>397</v>
      </c>
      <c r="CF56" s="24">
        <v>4.0</v>
      </c>
      <c r="CG56" s="22" t="b">
        <v>0</v>
      </c>
      <c r="CH56" s="22" t="b">
        <v>1</v>
      </c>
      <c r="CI56" s="24">
        <v>4.0</v>
      </c>
      <c r="CJ56" s="22">
        <v>0.0</v>
      </c>
      <c r="CK56" s="22">
        <v>1.0</v>
      </c>
      <c r="CL56" s="22">
        <v>0.0</v>
      </c>
      <c r="CM56" s="22">
        <v>0.0</v>
      </c>
      <c r="CN56" s="22">
        <v>0.0</v>
      </c>
      <c r="CO56" s="22">
        <v>0.0</v>
      </c>
      <c r="CP56" s="22">
        <v>0.0</v>
      </c>
      <c r="CQ56" s="22">
        <v>0.0</v>
      </c>
      <c r="CR56" s="22">
        <v>1.0</v>
      </c>
      <c r="CS56" s="22">
        <v>1.0</v>
      </c>
      <c r="CT56" s="22">
        <v>1.0</v>
      </c>
      <c r="CU56" s="22">
        <v>0.0</v>
      </c>
      <c r="CV56" s="22">
        <v>1.0</v>
      </c>
      <c r="CW56" s="22">
        <v>1.0</v>
      </c>
      <c r="CX56" s="22">
        <v>3.0</v>
      </c>
      <c r="CY56" s="22">
        <v>5.0</v>
      </c>
      <c r="CZ56" s="61">
        <v>3.125</v>
      </c>
      <c r="DA56" s="62" t="s">
        <v>561</v>
      </c>
    </row>
    <row r="57">
      <c r="A57" s="16" t="s">
        <v>146</v>
      </c>
      <c r="B57" s="16" t="s">
        <v>147</v>
      </c>
      <c r="C57" s="17" t="s">
        <v>28</v>
      </c>
      <c r="D57" s="16" t="s">
        <v>107</v>
      </c>
      <c r="E57" s="17" t="b">
        <f t="shared" ref="E57:K57" si="286">If(IFERROR(SEARCH(E$1, $D57),0) &gt;= 1, true,false)</f>
        <v>1</v>
      </c>
      <c r="F57" s="17" t="b">
        <f t="shared" si="286"/>
        <v>1</v>
      </c>
      <c r="G57" s="17" t="b">
        <f t="shared" si="286"/>
        <v>0</v>
      </c>
      <c r="H57" s="17" t="b">
        <f t="shared" si="286"/>
        <v>0</v>
      </c>
      <c r="I57" s="17" t="b">
        <f t="shared" si="286"/>
        <v>0</v>
      </c>
      <c r="J57" s="17" t="b">
        <f t="shared" si="286"/>
        <v>0</v>
      </c>
      <c r="K57" s="17" t="b">
        <f t="shared" si="286"/>
        <v>0</v>
      </c>
      <c r="L57" s="18" t="b">
        <v>1</v>
      </c>
      <c r="M57" s="18" t="b">
        <v>1</v>
      </c>
      <c r="N57" s="18" t="b">
        <v>1</v>
      </c>
      <c r="O57" s="18" t="b">
        <v>1</v>
      </c>
      <c r="P57" s="16" t="str">
        <f t="shared" si="7"/>
        <v>Zwin Natuur Park</v>
      </c>
      <c r="Q57" s="19">
        <v>12.0</v>
      </c>
      <c r="R57" s="18" t="b">
        <v>0</v>
      </c>
      <c r="S57" s="18" t="b">
        <v>1</v>
      </c>
      <c r="T57" s="29">
        <v>14.0</v>
      </c>
      <c r="U57" s="21">
        <f t="shared" si="8"/>
        <v>0</v>
      </c>
      <c r="V57" s="21">
        <f t="shared" ref="V57:AB57" si="287">if(OR(AW57 = $AO$4, AW57 = $AQ$4), 1, 0)</f>
        <v>1</v>
      </c>
      <c r="W57" s="21">
        <f t="shared" si="287"/>
        <v>0</v>
      </c>
      <c r="X57" s="21">
        <f t="shared" si="287"/>
        <v>0</v>
      </c>
      <c r="Y57" s="21">
        <f t="shared" si="287"/>
        <v>0</v>
      </c>
      <c r="Z57" s="21">
        <f t="shared" si="287"/>
        <v>0</v>
      </c>
      <c r="AA57" s="21">
        <f t="shared" si="287"/>
        <v>0</v>
      </c>
      <c r="AB57" s="21">
        <f t="shared" si="287"/>
        <v>0</v>
      </c>
      <c r="AC57" s="21">
        <f t="shared" si="10"/>
        <v>1</v>
      </c>
      <c r="AD57" s="21">
        <f t="shared" si="11"/>
        <v>0</v>
      </c>
      <c r="AE57" s="21">
        <f t="shared" ref="AE57:AH57" si="288">if(OR(BD57 = $AO$6, BD57 = $AS$6, BD57 = $AT$6, BD57 = $AU$6), 1, 0)</f>
        <v>1</v>
      </c>
      <c r="AF57" s="21">
        <f t="shared" si="288"/>
        <v>1</v>
      </c>
      <c r="AG57" s="21">
        <f t="shared" si="288"/>
        <v>1</v>
      </c>
      <c r="AH57" s="21">
        <f t="shared" si="288"/>
        <v>1</v>
      </c>
      <c r="AI57" s="21">
        <f t="shared" si="13"/>
        <v>4</v>
      </c>
      <c r="AJ57" s="21">
        <f t="shared" si="14"/>
        <v>5</v>
      </c>
      <c r="AK57" s="59">
        <f t="shared" si="15"/>
        <v>3.125</v>
      </c>
      <c r="AL57" s="60" t="str">
        <f t="shared" si="16"/>
        <v>good</v>
      </c>
      <c r="AW57" s="22" t="str">
        <f t="shared" ref="AW57:BC57" si="289">IF(IFERROR(SEARCH(E$1, $D57),0) &gt;= 1, E$1,0)</f>
        <v>Geschiedenis en archeologie</v>
      </c>
      <c r="AX57" s="22" t="str">
        <f t="shared" si="289"/>
        <v>Wetenschap en technologie</v>
      </c>
      <c r="AY57" s="22">
        <f t="shared" si="289"/>
        <v>0</v>
      </c>
      <c r="AZ57" s="22">
        <f t="shared" si="289"/>
        <v>0</v>
      </c>
      <c r="BA57" s="22">
        <f t="shared" si="289"/>
        <v>0</v>
      </c>
      <c r="BB57" s="22">
        <f t="shared" si="289"/>
        <v>0</v>
      </c>
      <c r="BC57" s="22">
        <f t="shared" si="289"/>
        <v>0</v>
      </c>
      <c r="BD57" s="22" t="str">
        <f t="shared" ref="BD57:BG57" si="290">IF(L57 = true, BD$1, 0)</f>
        <v>Shop</v>
      </c>
      <c r="BE57" s="22" t="str">
        <f t="shared" si="290"/>
        <v>Café</v>
      </c>
      <c r="BF57" s="22" t="str">
        <f t="shared" si="290"/>
        <v>Parking</v>
      </c>
      <c r="BG57" s="22" t="str">
        <f t="shared" si="290"/>
        <v>Restaurant</v>
      </c>
      <c r="BH57" s="22" t="str">
        <f>IFERROR(__xludf.DUMMYFUNCTION("""COMPUTED_VALUE"""),"KANAL | Centre Pompidou")</f>
        <v>KANAL | Centre Pompidou</v>
      </c>
      <c r="BI57" s="24">
        <f>IFERROR(__xludf.DUMMYFUNCTION("""COMPUTED_VALUE"""),0.0)</f>
        <v>0</v>
      </c>
      <c r="BJ57" s="22" t="b">
        <f>IFERROR(__xludf.DUMMYFUNCTION("""COMPUTED_VALUE"""),TRUE)</f>
        <v>1</v>
      </c>
      <c r="BK57" s="22" t="b">
        <f>IFERROR(__xludf.DUMMYFUNCTION("""COMPUTED_VALUE"""),FALSE)</f>
        <v>0</v>
      </c>
      <c r="BL57" s="22"/>
      <c r="BM57" s="22">
        <f>IFERROR(__xludf.DUMMYFUNCTION("""COMPUTED_VALUE"""),0.0)</f>
        <v>0</v>
      </c>
      <c r="BN57" s="22">
        <f>IFERROR(__xludf.DUMMYFUNCTION("""COMPUTED_VALUE"""),0.0)</f>
        <v>0</v>
      </c>
      <c r="BO57" s="22">
        <f>IFERROR(__xludf.DUMMYFUNCTION("""COMPUTED_VALUE"""),0.0)</f>
        <v>0</v>
      </c>
      <c r="BP57" s="22">
        <f>IFERROR(__xludf.DUMMYFUNCTION("""COMPUTED_VALUE"""),0.0)</f>
        <v>0</v>
      </c>
      <c r="BQ57" s="22">
        <f>IFERROR(__xludf.DUMMYFUNCTION("""COMPUTED_VALUE"""),0.0)</f>
        <v>0</v>
      </c>
      <c r="BR57" s="22">
        <f>IFERROR(__xludf.DUMMYFUNCTION("""COMPUTED_VALUE"""),0.0)</f>
        <v>0</v>
      </c>
      <c r="BS57" s="22">
        <f>IFERROR(__xludf.DUMMYFUNCTION("""COMPUTED_VALUE"""),1.0)</f>
        <v>1</v>
      </c>
      <c r="BT57" s="22">
        <f>IFERROR(__xludf.DUMMYFUNCTION("""COMPUTED_VALUE"""),0.0)</f>
        <v>0</v>
      </c>
      <c r="BU57" s="22">
        <f>IFERROR(__xludf.DUMMYFUNCTION("""COMPUTED_VALUE"""),1.0)</f>
        <v>1</v>
      </c>
      <c r="BV57" s="22">
        <f>IFERROR(__xludf.DUMMYFUNCTION("""COMPUTED_VALUE"""),1.0)</f>
        <v>1</v>
      </c>
      <c r="BW57" s="22">
        <f>IFERROR(__xludf.DUMMYFUNCTION("""COMPUTED_VALUE"""),1.0)</f>
        <v>1</v>
      </c>
      <c r="BX57" s="22">
        <f>IFERROR(__xludf.DUMMYFUNCTION("""COMPUTED_VALUE"""),1.0)</f>
        <v>1</v>
      </c>
      <c r="BY57" s="22">
        <f>IFERROR(__xludf.DUMMYFUNCTION("""COMPUTED_VALUE"""),0.0)</f>
        <v>0</v>
      </c>
      <c r="BZ57" s="22">
        <f>IFERROR(__xludf.DUMMYFUNCTION("""COMPUTED_VALUE"""),1.0)</f>
        <v>1</v>
      </c>
      <c r="CA57" s="22">
        <f>IFERROR(__xludf.DUMMYFUNCTION("""COMPUTED_VALUE"""),3.0)</f>
        <v>3</v>
      </c>
      <c r="CB57" s="22">
        <f>IFERROR(__xludf.DUMMYFUNCTION("""COMPUTED_VALUE"""),5.0)</f>
        <v>5</v>
      </c>
      <c r="CC57" s="61">
        <f>IFERROR(__xludf.DUMMYFUNCTION("""COMPUTED_VALUE"""),3.125)</f>
        <v>3.125</v>
      </c>
      <c r="CD57" s="62" t="str">
        <f>IFERROR(__xludf.DUMMYFUNCTION("""COMPUTED_VALUE"""),"good")</f>
        <v>good</v>
      </c>
      <c r="CE57" s="22" t="s">
        <v>431</v>
      </c>
      <c r="CF57" s="24">
        <v>0.0</v>
      </c>
      <c r="CG57" s="22" t="b">
        <v>1</v>
      </c>
      <c r="CH57" s="22" t="b">
        <v>0</v>
      </c>
      <c r="CI57" s="22"/>
      <c r="CJ57" s="22">
        <v>0.0</v>
      </c>
      <c r="CK57" s="22">
        <v>0.0</v>
      </c>
      <c r="CL57" s="22">
        <v>0.0</v>
      </c>
      <c r="CM57" s="22">
        <v>0.0</v>
      </c>
      <c r="CN57" s="22">
        <v>0.0</v>
      </c>
      <c r="CO57" s="22">
        <v>0.0</v>
      </c>
      <c r="CP57" s="22">
        <v>1.0</v>
      </c>
      <c r="CQ57" s="22">
        <v>0.0</v>
      </c>
      <c r="CR57" s="22">
        <v>1.0</v>
      </c>
      <c r="CS57" s="22">
        <v>1.0</v>
      </c>
      <c r="CT57" s="22">
        <v>1.0</v>
      </c>
      <c r="CU57" s="22">
        <v>1.0</v>
      </c>
      <c r="CV57" s="22">
        <v>0.0</v>
      </c>
      <c r="CW57" s="22">
        <v>1.0</v>
      </c>
      <c r="CX57" s="22">
        <v>3.0</v>
      </c>
      <c r="CY57" s="22">
        <v>5.0</v>
      </c>
      <c r="CZ57" s="61">
        <v>3.125</v>
      </c>
      <c r="DA57" s="62" t="s">
        <v>561</v>
      </c>
    </row>
    <row r="58">
      <c r="A58" s="16" t="s">
        <v>148</v>
      </c>
      <c r="B58" s="16"/>
      <c r="C58" s="34" t="s">
        <v>31</v>
      </c>
      <c r="D58" s="16" t="s">
        <v>5</v>
      </c>
      <c r="E58" s="17" t="b">
        <f t="shared" ref="E58:K58" si="291">If(IFERROR(SEARCH(E$1, $D58),0) &gt;= 1, true,false)</f>
        <v>0</v>
      </c>
      <c r="F58" s="17" t="b">
        <f t="shared" si="291"/>
        <v>1</v>
      </c>
      <c r="G58" s="17" t="b">
        <f t="shared" si="291"/>
        <v>0</v>
      </c>
      <c r="H58" s="17" t="b">
        <f t="shared" si="291"/>
        <v>0</v>
      </c>
      <c r="I58" s="17" t="b">
        <f t="shared" si="291"/>
        <v>0</v>
      </c>
      <c r="J58" s="17" t="b">
        <f t="shared" si="291"/>
        <v>0</v>
      </c>
      <c r="K58" s="17" t="b">
        <f t="shared" si="291"/>
        <v>0</v>
      </c>
      <c r="L58" s="18" t="b">
        <v>1</v>
      </c>
      <c r="M58" s="18" t="b">
        <v>1</v>
      </c>
      <c r="N58" s="18" t="b">
        <v>1</v>
      </c>
      <c r="O58" s="18" t="b">
        <v>1</v>
      </c>
      <c r="P58" s="16" t="str">
        <f t="shared" si="7"/>
        <v>Arboretum Kalmtout</v>
      </c>
      <c r="Q58" s="19">
        <v>8.0</v>
      </c>
      <c r="R58" s="18" t="b">
        <v>0</v>
      </c>
      <c r="S58" s="18" t="b">
        <v>1</v>
      </c>
      <c r="T58" s="29">
        <v>9.5</v>
      </c>
      <c r="U58" s="21">
        <f t="shared" si="8"/>
        <v>0</v>
      </c>
      <c r="V58" s="21">
        <f t="shared" ref="V58:AB58" si="292">if(OR(AW58 = $AO$4, AW58 = $AQ$4), 1, 0)</f>
        <v>0</v>
      </c>
      <c r="W58" s="21">
        <f t="shared" si="292"/>
        <v>0</v>
      </c>
      <c r="X58" s="21">
        <f t="shared" si="292"/>
        <v>0</v>
      </c>
      <c r="Y58" s="21">
        <f t="shared" si="292"/>
        <v>0</v>
      </c>
      <c r="Z58" s="21">
        <f t="shared" si="292"/>
        <v>0</v>
      </c>
      <c r="AA58" s="21">
        <f t="shared" si="292"/>
        <v>0</v>
      </c>
      <c r="AB58" s="21">
        <f t="shared" si="292"/>
        <v>0</v>
      </c>
      <c r="AC58" s="21">
        <f t="shared" si="10"/>
        <v>0</v>
      </c>
      <c r="AD58" s="21">
        <f t="shared" si="11"/>
        <v>1</v>
      </c>
      <c r="AE58" s="21">
        <f t="shared" ref="AE58:AH58" si="293">if(OR(BD58 = $AO$6, BD58 = $AS$6, BD58 = $AT$6, BD58 = $AU$6), 1, 0)</f>
        <v>1</v>
      </c>
      <c r="AF58" s="21">
        <f t="shared" si="293"/>
        <v>1</v>
      </c>
      <c r="AG58" s="21">
        <f t="shared" si="293"/>
        <v>1</v>
      </c>
      <c r="AH58" s="21">
        <f t="shared" si="293"/>
        <v>1</v>
      </c>
      <c r="AI58" s="21">
        <f t="shared" si="13"/>
        <v>4</v>
      </c>
      <c r="AJ58" s="21">
        <f t="shared" si="14"/>
        <v>5</v>
      </c>
      <c r="AK58" s="59">
        <f t="shared" si="15"/>
        <v>3.125</v>
      </c>
      <c r="AL58" s="60" t="str">
        <f t="shared" si="16"/>
        <v>good</v>
      </c>
      <c r="AW58" s="22">
        <f t="shared" ref="AW58:BC58" si="294">IF(IFERROR(SEARCH(E$1, $D58),0) &gt;= 1, E$1,0)</f>
        <v>0</v>
      </c>
      <c r="AX58" s="22" t="str">
        <f t="shared" si="294"/>
        <v>Wetenschap en technologie</v>
      </c>
      <c r="AY58" s="22">
        <f t="shared" si="294"/>
        <v>0</v>
      </c>
      <c r="AZ58" s="22">
        <f t="shared" si="294"/>
        <v>0</v>
      </c>
      <c r="BA58" s="22">
        <f t="shared" si="294"/>
        <v>0</v>
      </c>
      <c r="BB58" s="22">
        <f t="shared" si="294"/>
        <v>0</v>
      </c>
      <c r="BC58" s="22">
        <f t="shared" si="294"/>
        <v>0</v>
      </c>
      <c r="BD58" s="22" t="str">
        <f t="shared" ref="BD58:BG58" si="295">IF(L58 = true, BD$1, 0)</f>
        <v>Shop</v>
      </c>
      <c r="BE58" s="22" t="str">
        <f t="shared" si="295"/>
        <v>Café</v>
      </c>
      <c r="BF58" s="22" t="str">
        <f t="shared" si="295"/>
        <v>Parking</v>
      </c>
      <c r="BG58" s="22" t="str">
        <f t="shared" si="295"/>
        <v>Restaurant</v>
      </c>
      <c r="BH58" s="22" t="str">
        <f>IFERROR(__xludf.DUMMYFUNCTION("""COMPUTED_VALUE"""),"KBR museum")</f>
        <v>KBR museum</v>
      </c>
      <c r="BI58" s="24">
        <f>IFERROR(__xludf.DUMMYFUNCTION("""COMPUTED_VALUE"""),11.0)</f>
        <v>11</v>
      </c>
      <c r="BJ58" s="22" t="b">
        <f>IFERROR(__xludf.DUMMYFUNCTION("""COMPUTED_VALUE"""),FALSE)</f>
        <v>0</v>
      </c>
      <c r="BK58" s="22" t="b">
        <f>IFERROR(__xludf.DUMMYFUNCTION("""COMPUTED_VALUE"""),FALSE)</f>
        <v>0</v>
      </c>
      <c r="BL58" s="22"/>
      <c r="BM58" s="22">
        <f>IFERROR(__xludf.DUMMYFUNCTION("""COMPUTED_VALUE"""),0.0)</f>
        <v>0</v>
      </c>
      <c r="BN58" s="22">
        <f>IFERROR(__xludf.DUMMYFUNCTION("""COMPUTED_VALUE"""),1.0)</f>
        <v>1</v>
      </c>
      <c r="BO58" s="22">
        <f>IFERROR(__xludf.DUMMYFUNCTION("""COMPUTED_VALUE"""),0.0)</f>
        <v>0</v>
      </c>
      <c r="BP58" s="22">
        <f>IFERROR(__xludf.DUMMYFUNCTION("""COMPUTED_VALUE"""),0.0)</f>
        <v>0</v>
      </c>
      <c r="BQ58" s="22">
        <f>IFERROR(__xludf.DUMMYFUNCTION("""COMPUTED_VALUE"""),0.0)</f>
        <v>0</v>
      </c>
      <c r="BR58" s="22">
        <f>IFERROR(__xludf.DUMMYFUNCTION("""COMPUTED_VALUE"""),0.0)</f>
        <v>0</v>
      </c>
      <c r="BS58" s="22">
        <f>IFERROR(__xludf.DUMMYFUNCTION("""COMPUTED_VALUE"""),1.0)</f>
        <v>1</v>
      </c>
      <c r="BT58" s="22">
        <f>IFERROR(__xludf.DUMMYFUNCTION("""COMPUTED_VALUE"""),0.0)</f>
        <v>0</v>
      </c>
      <c r="BU58" s="22">
        <f>IFERROR(__xludf.DUMMYFUNCTION("""COMPUTED_VALUE"""),2.0)</f>
        <v>2</v>
      </c>
      <c r="BV58" s="22">
        <f>IFERROR(__xludf.DUMMYFUNCTION("""COMPUTED_VALUE"""),0.0)</f>
        <v>0</v>
      </c>
      <c r="BW58" s="22">
        <f>IFERROR(__xludf.DUMMYFUNCTION("""COMPUTED_VALUE"""),1.0)</f>
        <v>1</v>
      </c>
      <c r="BX58" s="22">
        <f>IFERROR(__xludf.DUMMYFUNCTION("""COMPUTED_VALUE"""),1.0)</f>
        <v>1</v>
      </c>
      <c r="BY58" s="22">
        <f>IFERROR(__xludf.DUMMYFUNCTION("""COMPUTED_VALUE"""),0.0)</f>
        <v>0</v>
      </c>
      <c r="BZ58" s="22">
        <f>IFERROR(__xludf.DUMMYFUNCTION("""COMPUTED_VALUE"""),1.0)</f>
        <v>1</v>
      </c>
      <c r="CA58" s="22">
        <f>IFERROR(__xludf.DUMMYFUNCTION("""COMPUTED_VALUE"""),3.0)</f>
        <v>3</v>
      </c>
      <c r="CB58" s="22">
        <f>IFERROR(__xludf.DUMMYFUNCTION("""COMPUTED_VALUE"""),5.0)</f>
        <v>5</v>
      </c>
      <c r="CC58" s="61">
        <f>IFERROR(__xludf.DUMMYFUNCTION("""COMPUTED_VALUE"""),3.125)</f>
        <v>3.125</v>
      </c>
      <c r="CD58" s="62" t="str">
        <f>IFERROR(__xludf.DUMMYFUNCTION("""COMPUTED_VALUE"""),"good")</f>
        <v>good</v>
      </c>
      <c r="CE58" s="22" t="s">
        <v>433</v>
      </c>
      <c r="CF58" s="24">
        <v>11.0</v>
      </c>
      <c r="CG58" s="22" t="b">
        <v>0</v>
      </c>
      <c r="CH58" s="22" t="b">
        <v>0</v>
      </c>
      <c r="CI58" s="22"/>
      <c r="CJ58" s="22">
        <v>0.0</v>
      </c>
      <c r="CK58" s="22">
        <v>1.0</v>
      </c>
      <c r="CL58" s="22">
        <v>0.0</v>
      </c>
      <c r="CM58" s="22">
        <v>0.0</v>
      </c>
      <c r="CN58" s="22">
        <v>0.0</v>
      </c>
      <c r="CO58" s="22">
        <v>0.0</v>
      </c>
      <c r="CP58" s="22">
        <v>1.0</v>
      </c>
      <c r="CQ58" s="22">
        <v>0.0</v>
      </c>
      <c r="CR58" s="22">
        <v>2.0</v>
      </c>
      <c r="CS58" s="22">
        <v>0.0</v>
      </c>
      <c r="CT58" s="22">
        <v>1.0</v>
      </c>
      <c r="CU58" s="22">
        <v>1.0</v>
      </c>
      <c r="CV58" s="22">
        <v>0.0</v>
      </c>
      <c r="CW58" s="22">
        <v>1.0</v>
      </c>
      <c r="CX58" s="22">
        <v>3.0</v>
      </c>
      <c r="CY58" s="22">
        <v>5.0</v>
      </c>
      <c r="CZ58" s="61">
        <v>3.125</v>
      </c>
      <c r="DA58" s="62" t="s">
        <v>561</v>
      </c>
    </row>
    <row r="59">
      <c r="A59" s="16" t="s">
        <v>149</v>
      </c>
      <c r="B59" s="16" t="s">
        <v>150</v>
      </c>
      <c r="C59" s="34" t="s">
        <v>31</v>
      </c>
      <c r="D59" s="16" t="s">
        <v>95</v>
      </c>
      <c r="E59" s="17" t="b">
        <f t="shared" ref="E59:K59" si="296">If(IFERROR(SEARCH(E$1, $D59),0) &gt;= 1, true,false)</f>
        <v>1</v>
      </c>
      <c r="F59" s="17" t="b">
        <f t="shared" si="296"/>
        <v>0</v>
      </c>
      <c r="G59" s="17" t="b">
        <f t="shared" si="296"/>
        <v>0</v>
      </c>
      <c r="H59" s="17" t="b">
        <f t="shared" si="296"/>
        <v>0</v>
      </c>
      <c r="I59" s="17" t="b">
        <f t="shared" si="296"/>
        <v>0</v>
      </c>
      <c r="J59" s="17" t="b">
        <f t="shared" si="296"/>
        <v>1</v>
      </c>
      <c r="K59" s="17" t="b">
        <f t="shared" si="296"/>
        <v>0</v>
      </c>
      <c r="L59" s="18" t="b">
        <v>1</v>
      </c>
      <c r="M59" s="18" t="b">
        <v>0</v>
      </c>
      <c r="N59" s="18" t="b">
        <v>0</v>
      </c>
      <c r="O59" s="18" t="b">
        <v>0</v>
      </c>
      <c r="P59" s="16" t="str">
        <f t="shared" si="7"/>
        <v>Begijnhofmuseum Turnhout</v>
      </c>
      <c r="Q59" s="19">
        <v>5.0</v>
      </c>
      <c r="R59" s="18" t="b">
        <v>0</v>
      </c>
      <c r="S59" s="18" t="b">
        <v>0</v>
      </c>
      <c r="T59" s="16"/>
      <c r="U59" s="21">
        <f t="shared" si="8"/>
        <v>0</v>
      </c>
      <c r="V59" s="21">
        <f t="shared" ref="V59:AB59" si="297">if(OR(AW59 = $AO$4, AW59 = $AQ$4), 1, 0)</f>
        <v>1</v>
      </c>
      <c r="W59" s="21">
        <f t="shared" si="297"/>
        <v>0</v>
      </c>
      <c r="X59" s="21">
        <f t="shared" si="297"/>
        <v>0</v>
      </c>
      <c r="Y59" s="21">
        <f t="shared" si="297"/>
        <v>0</v>
      </c>
      <c r="Z59" s="21">
        <f t="shared" si="297"/>
        <v>0</v>
      </c>
      <c r="AA59" s="21">
        <f t="shared" si="297"/>
        <v>1</v>
      </c>
      <c r="AB59" s="21">
        <f t="shared" si="297"/>
        <v>0</v>
      </c>
      <c r="AC59" s="21">
        <f t="shared" si="10"/>
        <v>2</v>
      </c>
      <c r="AD59" s="21">
        <f t="shared" si="11"/>
        <v>1</v>
      </c>
      <c r="AE59" s="21">
        <f t="shared" ref="AE59:AH59" si="298">if(OR(BD59 = $AO$6, BD59 = $AS$6, BD59 = $AT$6, BD59 = $AU$6), 1, 0)</f>
        <v>1</v>
      </c>
      <c r="AF59" s="21">
        <f t="shared" si="298"/>
        <v>0</v>
      </c>
      <c r="AG59" s="21">
        <f t="shared" si="298"/>
        <v>0</v>
      </c>
      <c r="AH59" s="21">
        <f t="shared" si="298"/>
        <v>0</v>
      </c>
      <c r="AI59" s="21">
        <f t="shared" si="13"/>
        <v>1</v>
      </c>
      <c r="AJ59" s="21">
        <f t="shared" si="14"/>
        <v>4</v>
      </c>
      <c r="AK59" s="59">
        <f t="shared" si="15"/>
        <v>2.5</v>
      </c>
      <c r="AL59" s="60" t="str">
        <f t="shared" si="16"/>
        <v>subpar</v>
      </c>
      <c r="AW59" s="22" t="str">
        <f t="shared" ref="AW59:BC59" si="299">IF(IFERROR(SEARCH(E$1, $D59),0) &gt;= 1, E$1,0)</f>
        <v>Geschiedenis en archeologie</v>
      </c>
      <c r="AX59" s="22">
        <f t="shared" si="299"/>
        <v>0</v>
      </c>
      <c r="AY59" s="22">
        <f t="shared" si="299"/>
        <v>0</v>
      </c>
      <c r="AZ59" s="22">
        <f t="shared" si="299"/>
        <v>0</v>
      </c>
      <c r="BA59" s="22">
        <f t="shared" si="299"/>
        <v>0</v>
      </c>
      <c r="BB59" s="22" t="str">
        <f t="shared" si="299"/>
        <v>Beeldende kunst</v>
      </c>
      <c r="BC59" s="22">
        <f t="shared" si="299"/>
        <v>0</v>
      </c>
      <c r="BD59" s="22" t="str">
        <f t="shared" ref="BD59:BG59" si="300">IF(L59 = true, BD$1, 0)</f>
        <v>Shop</v>
      </c>
      <c r="BE59" s="22">
        <f t="shared" si="300"/>
        <v>0</v>
      </c>
      <c r="BF59" s="22">
        <f t="shared" si="300"/>
        <v>0</v>
      </c>
      <c r="BG59" s="22">
        <f t="shared" si="300"/>
        <v>0</v>
      </c>
      <c r="BH59" s="22" t="str">
        <f>IFERROR(__xludf.DUMMYFUNCTION("""COMPUTED_VALUE"""),"BELvue museum")</f>
        <v>BELvue museum</v>
      </c>
      <c r="BI59" s="24">
        <f>IFERROR(__xludf.DUMMYFUNCTION("""COMPUTED_VALUE"""),10.0)</f>
        <v>10</v>
      </c>
      <c r="BJ59" s="22" t="b">
        <f>IFERROR(__xludf.DUMMYFUNCTION("""COMPUTED_VALUE"""),FALSE)</f>
        <v>0</v>
      </c>
      <c r="BK59" s="22" t="b">
        <f>IFERROR(__xludf.DUMMYFUNCTION("""COMPUTED_VALUE"""),TRUE)</f>
        <v>1</v>
      </c>
      <c r="BL59" s="24">
        <f>IFERROR(__xludf.DUMMYFUNCTION("""COMPUTED_VALUE"""),0.0)</f>
        <v>0</v>
      </c>
      <c r="BM59" s="22">
        <f>IFERROR(__xludf.DUMMYFUNCTION("""COMPUTED_VALUE"""),0.0)</f>
        <v>0</v>
      </c>
      <c r="BN59" s="22">
        <f>IFERROR(__xludf.DUMMYFUNCTION("""COMPUTED_VALUE"""),1.0)</f>
        <v>1</v>
      </c>
      <c r="BO59" s="22">
        <f>IFERROR(__xludf.DUMMYFUNCTION("""COMPUTED_VALUE"""),0.0)</f>
        <v>0</v>
      </c>
      <c r="BP59" s="22">
        <f>IFERROR(__xludf.DUMMYFUNCTION("""COMPUTED_VALUE"""),0.0)</f>
        <v>0</v>
      </c>
      <c r="BQ59" s="22">
        <f>IFERROR(__xludf.DUMMYFUNCTION("""COMPUTED_VALUE"""),0.0)</f>
        <v>0</v>
      </c>
      <c r="BR59" s="22">
        <f>IFERROR(__xludf.DUMMYFUNCTION("""COMPUTED_VALUE"""),0.0)</f>
        <v>0</v>
      </c>
      <c r="BS59" s="22">
        <f>IFERROR(__xludf.DUMMYFUNCTION("""COMPUTED_VALUE"""),0.0)</f>
        <v>0</v>
      </c>
      <c r="BT59" s="22">
        <f>IFERROR(__xludf.DUMMYFUNCTION("""COMPUTED_VALUE"""),0.0)</f>
        <v>0</v>
      </c>
      <c r="BU59" s="22">
        <f>IFERROR(__xludf.DUMMYFUNCTION("""COMPUTED_VALUE"""),1.0)</f>
        <v>1</v>
      </c>
      <c r="BV59" s="22">
        <f>IFERROR(__xludf.DUMMYFUNCTION("""COMPUTED_VALUE"""),1.0)</f>
        <v>1</v>
      </c>
      <c r="BW59" s="22">
        <f>IFERROR(__xludf.DUMMYFUNCTION("""COMPUTED_VALUE"""),1.0)</f>
        <v>1</v>
      </c>
      <c r="BX59" s="22">
        <f>IFERROR(__xludf.DUMMYFUNCTION("""COMPUTED_VALUE"""),1.0)</f>
        <v>1</v>
      </c>
      <c r="BY59" s="22">
        <f>IFERROR(__xludf.DUMMYFUNCTION("""COMPUTED_VALUE"""),0.0)</f>
        <v>0</v>
      </c>
      <c r="BZ59" s="22">
        <f>IFERROR(__xludf.DUMMYFUNCTION("""COMPUTED_VALUE"""),1.0)</f>
        <v>1</v>
      </c>
      <c r="CA59" s="22">
        <f>IFERROR(__xludf.DUMMYFUNCTION("""COMPUTED_VALUE"""),3.0)</f>
        <v>3</v>
      </c>
      <c r="CB59" s="22">
        <f>IFERROR(__xludf.DUMMYFUNCTION("""COMPUTED_VALUE"""),5.0)</f>
        <v>5</v>
      </c>
      <c r="CC59" s="61">
        <f>IFERROR(__xludf.DUMMYFUNCTION("""COMPUTED_VALUE"""),3.125)</f>
        <v>3.125</v>
      </c>
      <c r="CD59" s="62" t="str">
        <f>IFERROR(__xludf.DUMMYFUNCTION("""COMPUTED_VALUE"""),"good")</f>
        <v>good</v>
      </c>
      <c r="CE59" s="22" t="s">
        <v>459</v>
      </c>
      <c r="CF59" s="24">
        <v>10.0</v>
      </c>
      <c r="CG59" s="22" t="b">
        <v>0</v>
      </c>
      <c r="CH59" s="22" t="b">
        <v>1</v>
      </c>
      <c r="CI59" s="24">
        <v>0.0</v>
      </c>
      <c r="CJ59" s="22">
        <v>0.0</v>
      </c>
      <c r="CK59" s="22">
        <v>1.0</v>
      </c>
      <c r="CL59" s="22">
        <v>0.0</v>
      </c>
      <c r="CM59" s="22">
        <v>0.0</v>
      </c>
      <c r="CN59" s="22">
        <v>0.0</v>
      </c>
      <c r="CO59" s="22">
        <v>0.0</v>
      </c>
      <c r="CP59" s="22">
        <v>0.0</v>
      </c>
      <c r="CQ59" s="22">
        <v>0.0</v>
      </c>
      <c r="CR59" s="22">
        <v>1.0</v>
      </c>
      <c r="CS59" s="22">
        <v>1.0</v>
      </c>
      <c r="CT59" s="22">
        <v>1.0</v>
      </c>
      <c r="CU59" s="22">
        <v>1.0</v>
      </c>
      <c r="CV59" s="22">
        <v>0.0</v>
      </c>
      <c r="CW59" s="22">
        <v>1.0</v>
      </c>
      <c r="CX59" s="22">
        <v>3.0</v>
      </c>
      <c r="CY59" s="22">
        <v>5.0</v>
      </c>
      <c r="CZ59" s="61">
        <v>3.125</v>
      </c>
      <c r="DA59" s="62" t="s">
        <v>561</v>
      </c>
    </row>
    <row r="60">
      <c r="A60" s="16" t="s">
        <v>151</v>
      </c>
      <c r="B60" s="16" t="s">
        <v>152</v>
      </c>
      <c r="C60" s="34" t="s">
        <v>31</v>
      </c>
      <c r="D60" s="16" t="s">
        <v>153</v>
      </c>
      <c r="E60" s="17" t="b">
        <f t="shared" ref="E60:K60" si="301">If(IFERROR(SEARCH(E$1, $D60),0) &gt;= 1, true,false)</f>
        <v>1</v>
      </c>
      <c r="F60" s="17" t="b">
        <f t="shared" si="301"/>
        <v>1</v>
      </c>
      <c r="G60" s="17" t="b">
        <f t="shared" si="301"/>
        <v>0</v>
      </c>
      <c r="H60" s="17" t="b">
        <f t="shared" si="301"/>
        <v>0</v>
      </c>
      <c r="I60" s="17" t="b">
        <f t="shared" si="301"/>
        <v>0</v>
      </c>
      <c r="J60" s="17" t="b">
        <f t="shared" si="301"/>
        <v>0</v>
      </c>
      <c r="K60" s="17" t="b">
        <f t="shared" si="301"/>
        <v>1</v>
      </c>
      <c r="L60" s="18" t="b">
        <v>1</v>
      </c>
      <c r="M60" s="18" t="b">
        <v>0</v>
      </c>
      <c r="N60" s="18" t="b">
        <v>0</v>
      </c>
      <c r="O60" s="18" t="b">
        <v>0</v>
      </c>
      <c r="P60" s="16" t="str">
        <f t="shared" si="7"/>
        <v>DIVA | museum voor diamant juwelen en zilver</v>
      </c>
      <c r="Q60" s="19">
        <v>12.0</v>
      </c>
      <c r="R60" s="18" t="b">
        <v>0</v>
      </c>
      <c r="S60" s="18" t="b">
        <v>0</v>
      </c>
      <c r="T60" s="16"/>
      <c r="U60" s="21">
        <f t="shared" si="8"/>
        <v>0</v>
      </c>
      <c r="V60" s="21">
        <f t="shared" ref="V60:AB60" si="302">if(OR(AW60 = $AO$4, AW60 = $AQ$4), 1, 0)</f>
        <v>1</v>
      </c>
      <c r="W60" s="21">
        <f t="shared" si="302"/>
        <v>0</v>
      </c>
      <c r="X60" s="21">
        <f t="shared" si="302"/>
        <v>0</v>
      </c>
      <c r="Y60" s="21">
        <f t="shared" si="302"/>
        <v>0</v>
      </c>
      <c r="Z60" s="21">
        <f t="shared" si="302"/>
        <v>0</v>
      </c>
      <c r="AA60" s="21">
        <f t="shared" si="302"/>
        <v>0</v>
      </c>
      <c r="AB60" s="21">
        <f t="shared" si="302"/>
        <v>0</v>
      </c>
      <c r="AC60" s="21">
        <f t="shared" si="10"/>
        <v>1</v>
      </c>
      <c r="AD60" s="21">
        <f t="shared" si="11"/>
        <v>0</v>
      </c>
      <c r="AE60" s="21">
        <f t="shared" ref="AE60:AH60" si="303">if(OR(BD60 = $AO$6, BD60 = $AS$6, BD60 = $AT$6, BD60 = $AU$6), 1, 0)</f>
        <v>1</v>
      </c>
      <c r="AF60" s="21">
        <f t="shared" si="303"/>
        <v>0</v>
      </c>
      <c r="AG60" s="21">
        <f t="shared" si="303"/>
        <v>0</v>
      </c>
      <c r="AH60" s="21">
        <f t="shared" si="303"/>
        <v>0</v>
      </c>
      <c r="AI60" s="21">
        <f t="shared" si="13"/>
        <v>1</v>
      </c>
      <c r="AJ60" s="21">
        <f t="shared" si="14"/>
        <v>2</v>
      </c>
      <c r="AK60" s="59">
        <f t="shared" si="15"/>
        <v>1.25</v>
      </c>
      <c r="AL60" s="60" t="str">
        <f t="shared" si="16"/>
        <v>subpar</v>
      </c>
      <c r="AW60" s="22" t="str">
        <f t="shared" ref="AW60:BC60" si="304">IF(IFERROR(SEARCH(E$1, $D60),0) &gt;= 1, E$1,0)</f>
        <v>Geschiedenis en archeologie</v>
      </c>
      <c r="AX60" s="22" t="str">
        <f t="shared" si="304"/>
        <v>Wetenschap en technologie</v>
      </c>
      <c r="AY60" s="22">
        <f t="shared" si="304"/>
        <v>0</v>
      </c>
      <c r="AZ60" s="22">
        <f t="shared" si="304"/>
        <v>0</v>
      </c>
      <c r="BA60" s="22">
        <f t="shared" si="304"/>
        <v>0</v>
      </c>
      <c r="BB60" s="22">
        <f t="shared" si="304"/>
        <v>0</v>
      </c>
      <c r="BC60" s="22" t="str">
        <f t="shared" si="304"/>
        <v>Toegepaste kunst en design</v>
      </c>
      <c r="BD60" s="22" t="str">
        <f t="shared" ref="BD60:BG60" si="305">IF(L60 = true, BD$1, 0)</f>
        <v>Shop</v>
      </c>
      <c r="BE60" s="22">
        <f t="shared" si="305"/>
        <v>0</v>
      </c>
      <c r="BF60" s="22">
        <f t="shared" si="305"/>
        <v>0</v>
      </c>
      <c r="BG60" s="22">
        <f t="shared" si="305"/>
        <v>0</v>
      </c>
      <c r="BH60" s="22" t="str">
        <f>IFERROR(__xludf.DUMMYFUNCTION("""COMPUTED_VALUE"""),"Centrum voor Hedendaagse Kunst")</f>
        <v>Centrum voor Hedendaagse Kunst</v>
      </c>
      <c r="BI60" s="24">
        <f>IFERROR(__xludf.DUMMYFUNCTION("""COMPUTED_VALUE"""),12.0)</f>
        <v>12</v>
      </c>
      <c r="BJ60" s="22" t="b">
        <f>IFERROR(__xludf.DUMMYFUNCTION("""COMPUTED_VALUE"""),FALSE)</f>
        <v>0</v>
      </c>
      <c r="BK60" s="22" t="b">
        <f>IFERROR(__xludf.DUMMYFUNCTION("""COMPUTED_VALUE"""),TRUE)</f>
        <v>1</v>
      </c>
      <c r="BL60" s="24">
        <f>IFERROR(__xludf.DUMMYFUNCTION("""COMPUTED_VALUE"""),12.0)</f>
        <v>12</v>
      </c>
      <c r="BM60" s="22">
        <f>IFERROR(__xludf.DUMMYFUNCTION("""COMPUTED_VALUE"""),0.0)</f>
        <v>0</v>
      </c>
      <c r="BN60" s="22">
        <f>IFERROR(__xludf.DUMMYFUNCTION("""COMPUTED_VALUE"""),0.0)</f>
        <v>0</v>
      </c>
      <c r="BO60" s="22">
        <f>IFERROR(__xludf.DUMMYFUNCTION("""COMPUTED_VALUE"""),0.0)</f>
        <v>0</v>
      </c>
      <c r="BP60" s="22">
        <f>IFERROR(__xludf.DUMMYFUNCTION("""COMPUTED_VALUE"""),0.0)</f>
        <v>0</v>
      </c>
      <c r="BQ60" s="22">
        <f>IFERROR(__xludf.DUMMYFUNCTION("""COMPUTED_VALUE"""),0.0)</f>
        <v>0</v>
      </c>
      <c r="BR60" s="22">
        <f>IFERROR(__xludf.DUMMYFUNCTION("""COMPUTED_VALUE"""),0.0)</f>
        <v>0</v>
      </c>
      <c r="BS60" s="22">
        <f>IFERROR(__xludf.DUMMYFUNCTION("""COMPUTED_VALUE"""),1.0)</f>
        <v>1</v>
      </c>
      <c r="BT60" s="22">
        <f>IFERROR(__xludf.DUMMYFUNCTION("""COMPUTED_VALUE"""),0.0)</f>
        <v>0</v>
      </c>
      <c r="BU60" s="22">
        <f>IFERROR(__xludf.DUMMYFUNCTION("""COMPUTED_VALUE"""),1.0)</f>
        <v>1</v>
      </c>
      <c r="BV60" s="22">
        <f>IFERROR(__xludf.DUMMYFUNCTION("""COMPUTED_VALUE"""),0.0)</f>
        <v>0</v>
      </c>
      <c r="BW60" s="22">
        <f>IFERROR(__xludf.DUMMYFUNCTION("""COMPUTED_VALUE"""),1.0)</f>
        <v>1</v>
      </c>
      <c r="BX60" s="22">
        <f>IFERROR(__xludf.DUMMYFUNCTION("""COMPUTED_VALUE"""),1.0)</f>
        <v>1</v>
      </c>
      <c r="BY60" s="22">
        <f>IFERROR(__xludf.DUMMYFUNCTION("""COMPUTED_VALUE"""),1.0)</f>
        <v>1</v>
      </c>
      <c r="BZ60" s="22">
        <f>IFERROR(__xludf.DUMMYFUNCTION("""COMPUTED_VALUE"""),1.0)</f>
        <v>1</v>
      </c>
      <c r="CA60" s="22">
        <f>IFERROR(__xludf.DUMMYFUNCTION("""COMPUTED_VALUE"""),4.0)</f>
        <v>4</v>
      </c>
      <c r="CB60" s="22">
        <f>IFERROR(__xludf.DUMMYFUNCTION("""COMPUTED_VALUE"""),5.0)</f>
        <v>5</v>
      </c>
      <c r="CC60" s="61">
        <f>IFERROR(__xludf.DUMMYFUNCTION("""COMPUTED_VALUE"""),3.125)</f>
        <v>3.125</v>
      </c>
      <c r="CD60" s="62" t="str">
        <f>IFERROR(__xludf.DUMMYFUNCTION("""COMPUTED_VALUE"""),"good")</f>
        <v>good</v>
      </c>
      <c r="CE60" s="22" t="s">
        <v>496</v>
      </c>
      <c r="CF60" s="24">
        <v>12.0</v>
      </c>
      <c r="CG60" s="22" t="b">
        <v>0</v>
      </c>
      <c r="CH60" s="22" t="b">
        <v>1</v>
      </c>
      <c r="CI60" s="24">
        <v>12.0</v>
      </c>
      <c r="CJ60" s="22">
        <v>0.0</v>
      </c>
      <c r="CK60" s="22">
        <v>0.0</v>
      </c>
      <c r="CL60" s="22">
        <v>0.0</v>
      </c>
      <c r="CM60" s="22">
        <v>0.0</v>
      </c>
      <c r="CN60" s="22">
        <v>0.0</v>
      </c>
      <c r="CO60" s="22">
        <v>0.0</v>
      </c>
      <c r="CP60" s="22">
        <v>1.0</v>
      </c>
      <c r="CQ60" s="22">
        <v>0.0</v>
      </c>
      <c r="CR60" s="22">
        <v>1.0</v>
      </c>
      <c r="CS60" s="22">
        <v>0.0</v>
      </c>
      <c r="CT60" s="22">
        <v>1.0</v>
      </c>
      <c r="CU60" s="22">
        <v>1.0</v>
      </c>
      <c r="CV60" s="22">
        <v>1.0</v>
      </c>
      <c r="CW60" s="22">
        <v>1.0</v>
      </c>
      <c r="CX60" s="22">
        <v>4.0</v>
      </c>
      <c r="CY60" s="22">
        <v>5.0</v>
      </c>
      <c r="CZ60" s="61">
        <v>3.125</v>
      </c>
      <c r="DA60" s="62" t="s">
        <v>561</v>
      </c>
    </row>
    <row r="61">
      <c r="A61" s="16" t="s">
        <v>154</v>
      </c>
      <c r="B61" s="16" t="s">
        <v>155</v>
      </c>
      <c r="C61" s="34" t="s">
        <v>31</v>
      </c>
      <c r="D61" s="16" t="s">
        <v>156</v>
      </c>
      <c r="E61" s="17" t="b">
        <f t="shared" ref="E61:K61" si="306">If(IFERROR(SEARCH(E$1, $D61),0) &gt;= 1, true,false)</f>
        <v>1</v>
      </c>
      <c r="F61" s="17" t="b">
        <f t="shared" si="306"/>
        <v>0</v>
      </c>
      <c r="G61" s="17" t="b">
        <f t="shared" si="306"/>
        <v>0</v>
      </c>
      <c r="H61" s="17" t="b">
        <f t="shared" si="306"/>
        <v>1</v>
      </c>
      <c r="I61" s="17" t="b">
        <f t="shared" si="306"/>
        <v>0</v>
      </c>
      <c r="J61" s="17" t="b">
        <f t="shared" si="306"/>
        <v>0</v>
      </c>
      <c r="K61" s="17" t="b">
        <f t="shared" si="306"/>
        <v>0</v>
      </c>
      <c r="L61" s="18" t="b">
        <v>0</v>
      </c>
      <c r="M61" s="18" t="b">
        <v>0</v>
      </c>
      <c r="N61" s="18" t="b">
        <v>0</v>
      </c>
      <c r="O61" s="18" t="b">
        <v>0</v>
      </c>
      <c r="P61" s="16" t="str">
        <f t="shared" si="7"/>
        <v>Erfgoedbibliotheek Hendrik Conscience - Nottebohmzaal</v>
      </c>
      <c r="Q61" s="19">
        <v>0.0</v>
      </c>
      <c r="R61" s="18" t="b">
        <v>0</v>
      </c>
      <c r="S61" s="18" t="b">
        <v>0</v>
      </c>
      <c r="T61" s="21"/>
      <c r="U61" s="21">
        <f t="shared" si="8"/>
        <v>0</v>
      </c>
      <c r="V61" s="21">
        <f t="shared" ref="V61:AB61" si="307">if(OR(AW61 = $AO$4, AW61 = $AQ$4), 1, 0)</f>
        <v>1</v>
      </c>
      <c r="W61" s="21">
        <f t="shared" si="307"/>
        <v>0</v>
      </c>
      <c r="X61" s="21">
        <f t="shared" si="307"/>
        <v>0</v>
      </c>
      <c r="Y61" s="21">
        <f t="shared" si="307"/>
        <v>0</v>
      </c>
      <c r="Z61" s="21">
        <f t="shared" si="307"/>
        <v>0</v>
      </c>
      <c r="AA61" s="21">
        <f t="shared" si="307"/>
        <v>0</v>
      </c>
      <c r="AB61" s="21">
        <f t="shared" si="307"/>
        <v>0</v>
      </c>
      <c r="AC61" s="21">
        <f t="shared" si="10"/>
        <v>1</v>
      </c>
      <c r="AD61" s="21">
        <f t="shared" si="11"/>
        <v>1</v>
      </c>
      <c r="AE61" s="21">
        <f t="shared" ref="AE61:AH61" si="308">if(OR(BD61 = $AO$6, BD61 = $AS$6, BD61 = $AT$6, BD61 = $AU$6), 1, 0)</f>
        <v>0</v>
      </c>
      <c r="AF61" s="21">
        <f t="shared" si="308"/>
        <v>0</v>
      </c>
      <c r="AG61" s="21">
        <f t="shared" si="308"/>
        <v>0</v>
      </c>
      <c r="AH61" s="21">
        <f t="shared" si="308"/>
        <v>0</v>
      </c>
      <c r="AI61" s="21">
        <f t="shared" si="13"/>
        <v>0</v>
      </c>
      <c r="AJ61" s="21">
        <f t="shared" si="14"/>
        <v>2</v>
      </c>
      <c r="AK61" s="59">
        <f t="shared" si="15"/>
        <v>1.25</v>
      </c>
      <c r="AL61" s="60" t="str">
        <f t="shared" si="16"/>
        <v>subpar</v>
      </c>
      <c r="AW61" s="22" t="str">
        <f t="shared" ref="AW61:BC61" si="309">IF(IFERROR(SEARCH(E$1, $D61),0) &gt;= 1, E$1,0)</f>
        <v>Geschiedenis en archeologie</v>
      </c>
      <c r="AX61" s="22">
        <f t="shared" si="309"/>
        <v>0</v>
      </c>
      <c r="AY61" s="22">
        <f t="shared" si="309"/>
        <v>0</v>
      </c>
      <c r="AZ61" s="22" t="str">
        <f t="shared" si="309"/>
        <v>Literatuur</v>
      </c>
      <c r="BA61" s="22">
        <f t="shared" si="309"/>
        <v>0</v>
      </c>
      <c r="BB61" s="22">
        <f t="shared" si="309"/>
        <v>0</v>
      </c>
      <c r="BC61" s="22">
        <f t="shared" si="309"/>
        <v>0</v>
      </c>
      <c r="BD61" s="22">
        <f t="shared" ref="BD61:BG61" si="310">IF(L61 = true, BD$1, 0)</f>
        <v>0</v>
      </c>
      <c r="BE61" s="22">
        <f t="shared" si="310"/>
        <v>0</v>
      </c>
      <c r="BF61" s="22">
        <f t="shared" si="310"/>
        <v>0</v>
      </c>
      <c r="BG61" s="22">
        <f t="shared" si="310"/>
        <v>0</v>
      </c>
      <c r="BH61" s="22" t="str">
        <f>IFERROR(__xludf.DUMMYFUNCTION("""COMPUTED_VALUE"""),"Huis van Alijn")</f>
        <v>Huis van Alijn</v>
      </c>
      <c r="BI61" s="24">
        <f>IFERROR(__xludf.DUMMYFUNCTION("""COMPUTED_VALUE"""),9.0)</f>
        <v>9</v>
      </c>
      <c r="BJ61" s="22" t="b">
        <f>IFERROR(__xludf.DUMMYFUNCTION("""COMPUTED_VALUE"""),FALSE)</f>
        <v>0</v>
      </c>
      <c r="BK61" s="22" t="b">
        <f>IFERROR(__xludf.DUMMYFUNCTION("""COMPUTED_VALUE"""),TRUE)</f>
        <v>1</v>
      </c>
      <c r="BL61" s="24">
        <f>IFERROR(__xludf.DUMMYFUNCTION("""COMPUTED_VALUE"""),9.0)</f>
        <v>9</v>
      </c>
      <c r="BM61" s="22">
        <f>IFERROR(__xludf.DUMMYFUNCTION("""COMPUTED_VALUE"""),1.0)</f>
        <v>1</v>
      </c>
      <c r="BN61" s="22">
        <f>IFERROR(__xludf.DUMMYFUNCTION("""COMPUTED_VALUE"""),1.0)</f>
        <v>1</v>
      </c>
      <c r="BO61" s="22">
        <f>IFERROR(__xludf.DUMMYFUNCTION("""COMPUTED_VALUE"""),0.0)</f>
        <v>0</v>
      </c>
      <c r="BP61" s="22">
        <f>IFERROR(__xludf.DUMMYFUNCTION("""COMPUTED_VALUE"""),0.0)</f>
        <v>0</v>
      </c>
      <c r="BQ61" s="22">
        <f>IFERROR(__xludf.DUMMYFUNCTION("""COMPUTED_VALUE"""),0.0)</f>
        <v>0</v>
      </c>
      <c r="BR61" s="22">
        <f>IFERROR(__xludf.DUMMYFUNCTION("""COMPUTED_VALUE"""),0.0)</f>
        <v>0</v>
      </c>
      <c r="BS61" s="22">
        <f>IFERROR(__xludf.DUMMYFUNCTION("""COMPUTED_VALUE"""),0.0)</f>
        <v>0</v>
      </c>
      <c r="BT61" s="22">
        <f>IFERROR(__xludf.DUMMYFUNCTION("""COMPUTED_VALUE"""),0.0)</f>
        <v>0</v>
      </c>
      <c r="BU61" s="22">
        <f>IFERROR(__xludf.DUMMYFUNCTION("""COMPUTED_VALUE"""),1.0)</f>
        <v>1</v>
      </c>
      <c r="BV61" s="22">
        <f>IFERROR(__xludf.DUMMYFUNCTION("""COMPUTED_VALUE"""),1.0)</f>
        <v>1</v>
      </c>
      <c r="BW61" s="22">
        <f>IFERROR(__xludf.DUMMYFUNCTION("""COMPUTED_VALUE"""),1.0)</f>
        <v>1</v>
      </c>
      <c r="BX61" s="22">
        <f>IFERROR(__xludf.DUMMYFUNCTION("""COMPUTED_VALUE"""),1.0)</f>
        <v>1</v>
      </c>
      <c r="BY61" s="22">
        <f>IFERROR(__xludf.DUMMYFUNCTION("""COMPUTED_VALUE"""),0.0)</f>
        <v>0</v>
      </c>
      <c r="BZ61" s="22">
        <f>IFERROR(__xludf.DUMMYFUNCTION("""COMPUTED_VALUE"""),0.0)</f>
        <v>0</v>
      </c>
      <c r="CA61" s="22">
        <f>IFERROR(__xludf.DUMMYFUNCTION("""COMPUTED_VALUE"""),2.0)</f>
        <v>2</v>
      </c>
      <c r="CB61" s="22">
        <f>IFERROR(__xludf.DUMMYFUNCTION("""COMPUTED_VALUE"""),5.0)</f>
        <v>5</v>
      </c>
      <c r="CC61" s="61">
        <f>IFERROR(__xludf.DUMMYFUNCTION("""COMPUTED_VALUE"""),3.125)</f>
        <v>3.125</v>
      </c>
      <c r="CD61" s="62" t="str">
        <f>IFERROR(__xludf.DUMMYFUNCTION("""COMPUTED_VALUE"""),"good")</f>
        <v>good</v>
      </c>
      <c r="CE61" s="22" t="s">
        <v>509</v>
      </c>
      <c r="CF61" s="24">
        <v>9.0</v>
      </c>
      <c r="CG61" s="22" t="b">
        <v>0</v>
      </c>
      <c r="CH61" s="22" t="b">
        <v>1</v>
      </c>
      <c r="CI61" s="24">
        <v>9.0</v>
      </c>
      <c r="CJ61" s="22">
        <v>1.0</v>
      </c>
      <c r="CK61" s="22">
        <v>1.0</v>
      </c>
      <c r="CL61" s="22">
        <v>0.0</v>
      </c>
      <c r="CM61" s="22">
        <v>0.0</v>
      </c>
      <c r="CN61" s="22">
        <v>0.0</v>
      </c>
      <c r="CO61" s="22">
        <v>0.0</v>
      </c>
      <c r="CP61" s="22">
        <v>0.0</v>
      </c>
      <c r="CQ61" s="22">
        <v>0.0</v>
      </c>
      <c r="CR61" s="22">
        <v>1.0</v>
      </c>
      <c r="CS61" s="22">
        <v>1.0</v>
      </c>
      <c r="CT61" s="22">
        <v>1.0</v>
      </c>
      <c r="CU61" s="22">
        <v>1.0</v>
      </c>
      <c r="CV61" s="22">
        <v>0.0</v>
      </c>
      <c r="CW61" s="22">
        <v>0.0</v>
      </c>
      <c r="CX61" s="22">
        <v>2.0</v>
      </c>
      <c r="CY61" s="22">
        <v>5.0</v>
      </c>
      <c r="CZ61" s="61">
        <v>3.125</v>
      </c>
      <c r="DA61" s="62" t="s">
        <v>561</v>
      </c>
    </row>
    <row r="62">
      <c r="A62" s="16" t="s">
        <v>157</v>
      </c>
      <c r="B62" s="16" t="s">
        <v>158</v>
      </c>
      <c r="C62" s="34" t="s">
        <v>31</v>
      </c>
      <c r="D62" s="16" t="s">
        <v>9</v>
      </c>
      <c r="E62" s="17" t="b">
        <f t="shared" ref="E62:K62" si="311">If(IFERROR(SEARCH(E$1, $D62),0) &gt;= 1, true,false)</f>
        <v>0</v>
      </c>
      <c r="F62" s="17" t="b">
        <f t="shared" si="311"/>
        <v>0</v>
      </c>
      <c r="G62" s="17" t="b">
        <f t="shared" si="311"/>
        <v>0</v>
      </c>
      <c r="H62" s="17" t="b">
        <f t="shared" si="311"/>
        <v>0</v>
      </c>
      <c r="I62" s="17" t="b">
        <f t="shared" si="311"/>
        <v>0</v>
      </c>
      <c r="J62" s="17" t="b">
        <f t="shared" si="311"/>
        <v>1</v>
      </c>
      <c r="K62" s="17" t="b">
        <f t="shared" si="311"/>
        <v>0</v>
      </c>
      <c r="L62" s="18" t="b">
        <v>1</v>
      </c>
      <c r="M62" s="18" t="b">
        <v>1</v>
      </c>
      <c r="N62" s="18" t="b">
        <v>1</v>
      </c>
      <c r="O62" s="18" t="b">
        <v>0</v>
      </c>
      <c r="P62" s="16" t="str">
        <f t="shared" si="7"/>
        <v>FOMU | Fotomuseum Antwerpen</v>
      </c>
      <c r="Q62" s="19">
        <v>12.0</v>
      </c>
      <c r="R62" s="18" t="b">
        <v>0</v>
      </c>
      <c r="S62" s="18" t="b">
        <v>1</v>
      </c>
      <c r="T62" s="30">
        <v>12.0</v>
      </c>
      <c r="U62" s="21">
        <f t="shared" si="8"/>
        <v>0</v>
      </c>
      <c r="V62" s="21">
        <f t="shared" ref="V62:AB62" si="312">if(OR(AW62 = $AO$4, AW62 = $AQ$4), 1, 0)</f>
        <v>0</v>
      </c>
      <c r="W62" s="21">
        <f t="shared" si="312"/>
        <v>0</v>
      </c>
      <c r="X62" s="21">
        <f t="shared" si="312"/>
        <v>0</v>
      </c>
      <c r="Y62" s="21">
        <f t="shared" si="312"/>
        <v>0</v>
      </c>
      <c r="Z62" s="21">
        <f t="shared" si="312"/>
        <v>0</v>
      </c>
      <c r="AA62" s="21">
        <f t="shared" si="312"/>
        <v>1</v>
      </c>
      <c r="AB62" s="21">
        <f t="shared" si="312"/>
        <v>0</v>
      </c>
      <c r="AC62" s="21">
        <f t="shared" si="10"/>
        <v>1</v>
      </c>
      <c r="AD62" s="21">
        <f t="shared" si="11"/>
        <v>0</v>
      </c>
      <c r="AE62" s="21">
        <f t="shared" ref="AE62:AH62" si="313">if(OR(BD62 = $AO$6, BD62 = $AS$6, BD62 = $AT$6, BD62 = $AU$6), 1, 0)</f>
        <v>1</v>
      </c>
      <c r="AF62" s="21">
        <f t="shared" si="313"/>
        <v>1</v>
      </c>
      <c r="AG62" s="21">
        <f t="shared" si="313"/>
        <v>1</v>
      </c>
      <c r="AH62" s="21">
        <f t="shared" si="313"/>
        <v>0</v>
      </c>
      <c r="AI62" s="21">
        <f t="shared" si="13"/>
        <v>3</v>
      </c>
      <c r="AJ62" s="21">
        <f t="shared" si="14"/>
        <v>4</v>
      </c>
      <c r="AK62" s="59">
        <f t="shared" si="15"/>
        <v>2.5</v>
      </c>
      <c r="AL62" s="60" t="str">
        <f t="shared" si="16"/>
        <v>subpar</v>
      </c>
      <c r="AW62" s="22">
        <f t="shared" ref="AW62:BC62" si="314">IF(IFERROR(SEARCH(E$1, $D62),0) &gt;= 1, E$1,0)</f>
        <v>0</v>
      </c>
      <c r="AX62" s="22">
        <f t="shared" si="314"/>
        <v>0</v>
      </c>
      <c r="AY62" s="22">
        <f t="shared" si="314"/>
        <v>0</v>
      </c>
      <c r="AZ62" s="22">
        <f t="shared" si="314"/>
        <v>0</v>
      </c>
      <c r="BA62" s="22">
        <f t="shared" si="314"/>
        <v>0</v>
      </c>
      <c r="BB62" s="22" t="str">
        <f t="shared" si="314"/>
        <v>Beeldende kunst</v>
      </c>
      <c r="BC62" s="22">
        <f t="shared" si="314"/>
        <v>0</v>
      </c>
      <c r="BD62" s="22" t="str">
        <f t="shared" ref="BD62:BG62" si="315">IF(L62 = true, BD$1, 0)</f>
        <v>Shop</v>
      </c>
      <c r="BE62" s="22" t="str">
        <f t="shared" si="315"/>
        <v>Café</v>
      </c>
      <c r="BF62" s="22" t="str">
        <f t="shared" si="315"/>
        <v>Parking</v>
      </c>
      <c r="BG62" s="22">
        <f t="shared" si="315"/>
        <v>0</v>
      </c>
      <c r="BH62" s="22" t="str">
        <f>IFERROR(__xludf.DUMMYFUNCTION("""COMPUTED_VALUE"""),"Mercatormuseum")</f>
        <v>Mercatormuseum</v>
      </c>
      <c r="BI62" s="24">
        <f>IFERROR(__xludf.DUMMYFUNCTION("""COMPUTED_VALUE"""),8.0)</f>
        <v>8</v>
      </c>
      <c r="BJ62" s="22" t="b">
        <f>IFERROR(__xludf.DUMMYFUNCTION("""COMPUTED_VALUE"""),TRUE)</f>
        <v>1</v>
      </c>
      <c r="BK62" s="22" t="b">
        <f>IFERROR(__xludf.DUMMYFUNCTION("""COMPUTED_VALUE"""),FALSE)</f>
        <v>0</v>
      </c>
      <c r="BL62" s="22"/>
      <c r="BM62" s="22">
        <f>IFERROR(__xludf.DUMMYFUNCTION("""COMPUTED_VALUE"""),1.0)</f>
        <v>1</v>
      </c>
      <c r="BN62" s="22">
        <f>IFERROR(__xludf.DUMMYFUNCTION("""COMPUTED_VALUE"""),1.0)</f>
        <v>1</v>
      </c>
      <c r="BO62" s="22">
        <f>IFERROR(__xludf.DUMMYFUNCTION("""COMPUTED_VALUE"""),0.0)</f>
        <v>0</v>
      </c>
      <c r="BP62" s="22">
        <f>IFERROR(__xludf.DUMMYFUNCTION("""COMPUTED_VALUE"""),0.0)</f>
        <v>0</v>
      </c>
      <c r="BQ62" s="22">
        <f>IFERROR(__xludf.DUMMYFUNCTION("""COMPUTED_VALUE"""),0.0)</f>
        <v>0</v>
      </c>
      <c r="BR62" s="22">
        <f>IFERROR(__xludf.DUMMYFUNCTION("""COMPUTED_VALUE"""),0.0)</f>
        <v>0</v>
      </c>
      <c r="BS62" s="22">
        <f>IFERROR(__xludf.DUMMYFUNCTION("""COMPUTED_VALUE"""),0.0)</f>
        <v>0</v>
      </c>
      <c r="BT62" s="22">
        <f>IFERROR(__xludf.DUMMYFUNCTION("""COMPUTED_VALUE"""),0.0)</f>
        <v>0</v>
      </c>
      <c r="BU62" s="22">
        <f>IFERROR(__xludf.DUMMYFUNCTION("""COMPUTED_VALUE"""),1.0)</f>
        <v>1</v>
      </c>
      <c r="BV62" s="22">
        <f>IFERROR(__xludf.DUMMYFUNCTION("""COMPUTED_VALUE"""),1.0)</f>
        <v>1</v>
      </c>
      <c r="BW62" s="22">
        <f>IFERROR(__xludf.DUMMYFUNCTION("""COMPUTED_VALUE"""),1.0)</f>
        <v>1</v>
      </c>
      <c r="BX62" s="22">
        <f>IFERROR(__xludf.DUMMYFUNCTION("""COMPUTED_VALUE"""),0.0)</f>
        <v>0</v>
      </c>
      <c r="BY62" s="22">
        <f>IFERROR(__xludf.DUMMYFUNCTION("""COMPUTED_VALUE"""),1.0)</f>
        <v>1</v>
      </c>
      <c r="BZ62" s="22">
        <f>IFERROR(__xludf.DUMMYFUNCTION("""COMPUTED_VALUE"""),0.0)</f>
        <v>0</v>
      </c>
      <c r="CA62" s="22">
        <f>IFERROR(__xludf.DUMMYFUNCTION("""COMPUTED_VALUE"""),2.0)</f>
        <v>2</v>
      </c>
      <c r="CB62" s="22">
        <f>IFERROR(__xludf.DUMMYFUNCTION("""COMPUTED_VALUE"""),5.0)</f>
        <v>5</v>
      </c>
      <c r="CC62" s="61">
        <f>IFERROR(__xludf.DUMMYFUNCTION("""COMPUTED_VALUE"""),3.125)</f>
        <v>3.125</v>
      </c>
      <c r="CD62" s="62" t="str">
        <f>IFERROR(__xludf.DUMMYFUNCTION("""COMPUTED_VALUE"""),"good")</f>
        <v>good</v>
      </c>
      <c r="CE62" s="22" t="s">
        <v>513</v>
      </c>
      <c r="CF62" s="24">
        <v>8.0</v>
      </c>
      <c r="CG62" s="22" t="b">
        <v>1</v>
      </c>
      <c r="CH62" s="22" t="b">
        <v>0</v>
      </c>
      <c r="CI62" s="22"/>
      <c r="CJ62" s="22">
        <v>1.0</v>
      </c>
      <c r="CK62" s="22">
        <v>1.0</v>
      </c>
      <c r="CL62" s="22">
        <v>0.0</v>
      </c>
      <c r="CM62" s="22">
        <v>0.0</v>
      </c>
      <c r="CN62" s="22">
        <v>0.0</v>
      </c>
      <c r="CO62" s="22">
        <v>0.0</v>
      </c>
      <c r="CP62" s="22">
        <v>0.0</v>
      </c>
      <c r="CQ62" s="22">
        <v>0.0</v>
      </c>
      <c r="CR62" s="22">
        <v>1.0</v>
      </c>
      <c r="CS62" s="22">
        <v>1.0</v>
      </c>
      <c r="CT62" s="22">
        <v>1.0</v>
      </c>
      <c r="CU62" s="22">
        <v>0.0</v>
      </c>
      <c r="CV62" s="22">
        <v>1.0</v>
      </c>
      <c r="CW62" s="22">
        <v>0.0</v>
      </c>
      <c r="CX62" s="22">
        <v>2.0</v>
      </c>
      <c r="CY62" s="22">
        <v>5.0</v>
      </c>
      <c r="CZ62" s="61">
        <v>3.125</v>
      </c>
      <c r="DA62" s="62" t="s">
        <v>561</v>
      </c>
    </row>
    <row r="63">
      <c r="A63" s="16" t="s">
        <v>159</v>
      </c>
      <c r="B63" s="16" t="s">
        <v>160</v>
      </c>
      <c r="C63" s="34" t="s">
        <v>31</v>
      </c>
      <c r="D63" s="16" t="s">
        <v>4</v>
      </c>
      <c r="E63" s="17" t="b">
        <f t="shared" ref="E63:K63" si="316">If(IFERROR(SEARCH(E$1, $D63),0) &gt;= 1, true,false)</f>
        <v>1</v>
      </c>
      <c r="F63" s="17" t="b">
        <f t="shared" si="316"/>
        <v>0</v>
      </c>
      <c r="G63" s="17" t="b">
        <f t="shared" si="316"/>
        <v>0</v>
      </c>
      <c r="H63" s="17" t="b">
        <f t="shared" si="316"/>
        <v>0</v>
      </c>
      <c r="I63" s="17" t="b">
        <f t="shared" si="316"/>
        <v>0</v>
      </c>
      <c r="J63" s="17" t="b">
        <f t="shared" si="316"/>
        <v>0</v>
      </c>
      <c r="K63" s="17" t="b">
        <f t="shared" si="316"/>
        <v>0</v>
      </c>
      <c r="L63" s="18" t="b">
        <v>0</v>
      </c>
      <c r="M63" s="18" t="b">
        <v>0</v>
      </c>
      <c r="N63" s="18" t="b">
        <v>1</v>
      </c>
      <c r="O63" s="18" t="b">
        <v>0</v>
      </c>
      <c r="P63" s="16" t="str">
        <f t="shared" si="7"/>
        <v>Fort van Breendonk</v>
      </c>
      <c r="Q63" s="19">
        <v>12.0</v>
      </c>
      <c r="R63" s="18" t="b">
        <v>0</v>
      </c>
      <c r="S63" s="18" t="b">
        <v>0</v>
      </c>
      <c r="T63" s="21"/>
      <c r="U63" s="21">
        <f t="shared" si="8"/>
        <v>0</v>
      </c>
      <c r="V63" s="21">
        <f t="shared" ref="V63:AB63" si="317">if(OR(AW63 = $AO$4, AW63 = $AQ$4), 1, 0)</f>
        <v>1</v>
      </c>
      <c r="W63" s="21">
        <f t="shared" si="317"/>
        <v>0</v>
      </c>
      <c r="X63" s="21">
        <f t="shared" si="317"/>
        <v>0</v>
      </c>
      <c r="Y63" s="21">
        <f t="shared" si="317"/>
        <v>0</v>
      </c>
      <c r="Z63" s="21">
        <f t="shared" si="317"/>
        <v>0</v>
      </c>
      <c r="AA63" s="21">
        <f t="shared" si="317"/>
        <v>0</v>
      </c>
      <c r="AB63" s="21">
        <f t="shared" si="317"/>
        <v>0</v>
      </c>
      <c r="AC63" s="21">
        <f t="shared" si="10"/>
        <v>1</v>
      </c>
      <c r="AD63" s="21">
        <f t="shared" si="11"/>
        <v>0</v>
      </c>
      <c r="AE63" s="21">
        <f t="shared" ref="AE63:AH63" si="318">if(OR(BD63 = $AO$6, BD63 = $AS$6, BD63 = $AT$6, BD63 = $AU$6), 1, 0)</f>
        <v>0</v>
      </c>
      <c r="AF63" s="21">
        <f t="shared" si="318"/>
        <v>0</v>
      </c>
      <c r="AG63" s="21">
        <f t="shared" si="318"/>
        <v>1</v>
      </c>
      <c r="AH63" s="21">
        <f t="shared" si="318"/>
        <v>0</v>
      </c>
      <c r="AI63" s="21">
        <f t="shared" si="13"/>
        <v>1</v>
      </c>
      <c r="AJ63" s="21">
        <f t="shared" si="14"/>
        <v>2</v>
      </c>
      <c r="AK63" s="59">
        <f t="shared" si="15"/>
        <v>1.25</v>
      </c>
      <c r="AL63" s="60" t="str">
        <f t="shared" si="16"/>
        <v>subpar</v>
      </c>
      <c r="AW63" s="22" t="str">
        <f t="shared" ref="AW63:BC63" si="319">IF(IFERROR(SEARCH(E$1, $D63),0) &gt;= 1, E$1,0)</f>
        <v>Geschiedenis en archeologie</v>
      </c>
      <c r="AX63" s="22">
        <f t="shared" si="319"/>
        <v>0</v>
      </c>
      <c r="AY63" s="22">
        <f t="shared" si="319"/>
        <v>0</v>
      </c>
      <c r="AZ63" s="22">
        <f t="shared" si="319"/>
        <v>0</v>
      </c>
      <c r="BA63" s="22">
        <f t="shared" si="319"/>
        <v>0</v>
      </c>
      <c r="BB63" s="22">
        <f t="shared" si="319"/>
        <v>0</v>
      </c>
      <c r="BC63" s="22">
        <f t="shared" si="319"/>
        <v>0</v>
      </c>
      <c r="BD63" s="22">
        <f t="shared" ref="BD63:BG63" si="320">IF(L63 = true, BD$1, 0)</f>
        <v>0</v>
      </c>
      <c r="BE63" s="22">
        <f t="shared" si="320"/>
        <v>0</v>
      </c>
      <c r="BF63" s="22" t="str">
        <f t="shared" si="320"/>
        <v>Parking</v>
      </c>
      <c r="BG63" s="22">
        <f t="shared" si="320"/>
        <v>0</v>
      </c>
      <c r="BH63" s="22" t="str">
        <f>IFERROR(__xludf.DUMMYFUNCTION("""COMPUTED_VALUE"""),"MSK | Museum voor Schone Kunsten Gent")</f>
        <v>MSK | Museum voor Schone Kunsten Gent</v>
      </c>
      <c r="BI63" s="24">
        <f>IFERROR(__xludf.DUMMYFUNCTION("""COMPUTED_VALUE"""),22.0)</f>
        <v>22</v>
      </c>
      <c r="BJ63" s="22" t="b">
        <f>IFERROR(__xludf.DUMMYFUNCTION("""COMPUTED_VALUE"""),FALSE)</f>
        <v>0</v>
      </c>
      <c r="BK63" s="22" t="b">
        <f>IFERROR(__xludf.DUMMYFUNCTION("""COMPUTED_VALUE"""),TRUE)</f>
        <v>1</v>
      </c>
      <c r="BL63" s="24">
        <f>IFERROR(__xludf.DUMMYFUNCTION("""COMPUTED_VALUE"""),13.0)</f>
        <v>13</v>
      </c>
      <c r="BM63" s="22">
        <f>IFERROR(__xludf.DUMMYFUNCTION("""COMPUTED_VALUE"""),1.0)</f>
        <v>1</v>
      </c>
      <c r="BN63" s="22">
        <f>IFERROR(__xludf.DUMMYFUNCTION("""COMPUTED_VALUE"""),0.0)</f>
        <v>0</v>
      </c>
      <c r="BO63" s="22">
        <f>IFERROR(__xludf.DUMMYFUNCTION("""COMPUTED_VALUE"""),0.0)</f>
        <v>0</v>
      </c>
      <c r="BP63" s="22">
        <f>IFERROR(__xludf.DUMMYFUNCTION("""COMPUTED_VALUE"""),0.0)</f>
        <v>0</v>
      </c>
      <c r="BQ63" s="22">
        <f>IFERROR(__xludf.DUMMYFUNCTION("""COMPUTED_VALUE"""),0.0)</f>
        <v>0</v>
      </c>
      <c r="BR63" s="22">
        <f>IFERROR(__xludf.DUMMYFUNCTION("""COMPUTED_VALUE"""),0.0)</f>
        <v>0</v>
      </c>
      <c r="BS63" s="22">
        <f>IFERROR(__xludf.DUMMYFUNCTION("""COMPUTED_VALUE"""),1.0)</f>
        <v>1</v>
      </c>
      <c r="BT63" s="22">
        <f>IFERROR(__xludf.DUMMYFUNCTION("""COMPUTED_VALUE"""),0.0)</f>
        <v>0</v>
      </c>
      <c r="BU63" s="22">
        <f>IFERROR(__xludf.DUMMYFUNCTION("""COMPUTED_VALUE"""),1.0)</f>
        <v>1</v>
      </c>
      <c r="BV63" s="22">
        <f>IFERROR(__xludf.DUMMYFUNCTION("""COMPUTED_VALUE"""),0.0)</f>
        <v>0</v>
      </c>
      <c r="BW63" s="22">
        <f>IFERROR(__xludf.DUMMYFUNCTION("""COMPUTED_VALUE"""),1.0)</f>
        <v>1</v>
      </c>
      <c r="BX63" s="22">
        <f>IFERROR(__xludf.DUMMYFUNCTION("""COMPUTED_VALUE"""),1.0)</f>
        <v>1</v>
      </c>
      <c r="BY63" s="22">
        <f>IFERROR(__xludf.DUMMYFUNCTION("""COMPUTED_VALUE"""),0.0)</f>
        <v>0</v>
      </c>
      <c r="BZ63" s="22">
        <f>IFERROR(__xludf.DUMMYFUNCTION("""COMPUTED_VALUE"""),1.0)</f>
        <v>1</v>
      </c>
      <c r="CA63" s="22">
        <f>IFERROR(__xludf.DUMMYFUNCTION("""COMPUTED_VALUE"""),3.0)</f>
        <v>3</v>
      </c>
      <c r="CB63" s="22">
        <f>IFERROR(__xludf.DUMMYFUNCTION("""COMPUTED_VALUE"""),5.0)</f>
        <v>5</v>
      </c>
      <c r="CC63" s="61">
        <f>IFERROR(__xludf.DUMMYFUNCTION("""COMPUTED_VALUE"""),3.125)</f>
        <v>3.125</v>
      </c>
      <c r="CD63" s="62" t="str">
        <f>IFERROR(__xludf.DUMMYFUNCTION("""COMPUTED_VALUE"""),"good")</f>
        <v>good</v>
      </c>
      <c r="CE63" s="22" t="s">
        <v>517</v>
      </c>
      <c r="CF63" s="24">
        <v>22.0</v>
      </c>
      <c r="CG63" s="22" t="b">
        <v>0</v>
      </c>
      <c r="CH63" s="22" t="b">
        <v>1</v>
      </c>
      <c r="CI63" s="24">
        <v>13.0</v>
      </c>
      <c r="CJ63" s="22">
        <v>1.0</v>
      </c>
      <c r="CK63" s="22">
        <v>0.0</v>
      </c>
      <c r="CL63" s="22">
        <v>0.0</v>
      </c>
      <c r="CM63" s="22">
        <v>0.0</v>
      </c>
      <c r="CN63" s="22">
        <v>0.0</v>
      </c>
      <c r="CO63" s="22">
        <v>0.0</v>
      </c>
      <c r="CP63" s="22">
        <v>1.0</v>
      </c>
      <c r="CQ63" s="22">
        <v>0.0</v>
      </c>
      <c r="CR63" s="22">
        <v>1.0</v>
      </c>
      <c r="CS63" s="22">
        <v>0.0</v>
      </c>
      <c r="CT63" s="22">
        <v>1.0</v>
      </c>
      <c r="CU63" s="22">
        <v>1.0</v>
      </c>
      <c r="CV63" s="22">
        <v>0.0</v>
      </c>
      <c r="CW63" s="22">
        <v>1.0</v>
      </c>
      <c r="CX63" s="22">
        <v>3.0</v>
      </c>
      <c r="CY63" s="22">
        <v>5.0</v>
      </c>
      <c r="CZ63" s="61">
        <v>3.125</v>
      </c>
      <c r="DA63" s="62" t="s">
        <v>561</v>
      </c>
    </row>
    <row r="64">
      <c r="A64" s="16" t="s">
        <v>161</v>
      </c>
      <c r="B64" s="16" t="s">
        <v>162</v>
      </c>
      <c r="C64" s="34" t="s">
        <v>31</v>
      </c>
      <c r="D64" s="16" t="s">
        <v>163</v>
      </c>
      <c r="E64" s="17" t="b">
        <f t="shared" ref="E64:K64" si="321">If(IFERROR(SEARCH(E$1, $D64),0) &gt;= 1, true,false)</f>
        <v>1</v>
      </c>
      <c r="F64" s="17" t="b">
        <f t="shared" si="321"/>
        <v>1</v>
      </c>
      <c r="G64" s="17" t="b">
        <f t="shared" si="321"/>
        <v>0</v>
      </c>
      <c r="H64" s="17" t="b">
        <f t="shared" si="321"/>
        <v>0</v>
      </c>
      <c r="I64" s="17" t="b">
        <f t="shared" si="321"/>
        <v>1</v>
      </c>
      <c r="J64" s="17" t="b">
        <f t="shared" si="321"/>
        <v>1</v>
      </c>
      <c r="K64" s="17" t="b">
        <f t="shared" si="321"/>
        <v>0</v>
      </c>
      <c r="L64" s="18" t="b">
        <v>1</v>
      </c>
      <c r="M64" s="18" t="b">
        <v>0</v>
      </c>
      <c r="N64" s="18" t="b">
        <v>1</v>
      </c>
      <c r="O64" s="18" t="b">
        <v>0</v>
      </c>
      <c r="P64" s="16" t="str">
        <f t="shared" si="7"/>
        <v>Gasthuismuseum Geel</v>
      </c>
      <c r="Q64" s="19">
        <v>12.0</v>
      </c>
      <c r="R64" s="18" t="b">
        <v>0</v>
      </c>
      <c r="S64" s="18" t="b">
        <v>1</v>
      </c>
      <c r="T64" s="30">
        <v>6.0</v>
      </c>
      <c r="U64" s="21">
        <f t="shared" si="8"/>
        <v>0</v>
      </c>
      <c r="V64" s="21">
        <f t="shared" ref="V64:AB64" si="322">if(OR(AW64 = $AO$4, AW64 = $AQ$4), 1, 0)</f>
        <v>1</v>
      </c>
      <c r="W64" s="21">
        <f t="shared" si="322"/>
        <v>0</v>
      </c>
      <c r="X64" s="21">
        <f t="shared" si="322"/>
        <v>0</v>
      </c>
      <c r="Y64" s="21">
        <f t="shared" si="322"/>
        <v>0</v>
      </c>
      <c r="Z64" s="21">
        <f t="shared" si="322"/>
        <v>0</v>
      </c>
      <c r="AA64" s="21">
        <f t="shared" si="322"/>
        <v>1</v>
      </c>
      <c r="AB64" s="21">
        <f t="shared" si="322"/>
        <v>0</v>
      </c>
      <c r="AC64" s="21">
        <f t="shared" si="10"/>
        <v>2</v>
      </c>
      <c r="AD64" s="21">
        <f t="shared" si="11"/>
        <v>0</v>
      </c>
      <c r="AE64" s="21">
        <f t="shared" ref="AE64:AH64" si="323">if(OR(BD64 = $AO$6, BD64 = $AS$6, BD64 = $AT$6, BD64 = $AU$6), 1, 0)</f>
        <v>1</v>
      </c>
      <c r="AF64" s="21">
        <f t="shared" si="323"/>
        <v>0</v>
      </c>
      <c r="AG64" s="21">
        <f t="shared" si="323"/>
        <v>1</v>
      </c>
      <c r="AH64" s="21">
        <f t="shared" si="323"/>
        <v>0</v>
      </c>
      <c r="AI64" s="21">
        <f t="shared" si="13"/>
        <v>2</v>
      </c>
      <c r="AJ64" s="21">
        <f t="shared" si="14"/>
        <v>4</v>
      </c>
      <c r="AK64" s="59">
        <f t="shared" si="15"/>
        <v>2.5</v>
      </c>
      <c r="AL64" s="60" t="str">
        <f t="shared" si="16"/>
        <v>subpar</v>
      </c>
      <c r="AW64" s="22" t="str">
        <f t="shared" ref="AW64:BC64" si="324">IF(IFERROR(SEARCH(E$1, $D64),0) &gt;= 1, E$1,0)</f>
        <v>Geschiedenis en archeologie</v>
      </c>
      <c r="AX64" s="22" t="str">
        <f t="shared" si="324"/>
        <v>Wetenschap en technologie</v>
      </c>
      <c r="AY64" s="22">
        <f t="shared" si="324"/>
        <v>0</v>
      </c>
      <c r="AZ64" s="22">
        <f t="shared" si="324"/>
        <v>0</v>
      </c>
      <c r="BA64" s="22" t="str">
        <f t="shared" si="324"/>
        <v>Architectuur</v>
      </c>
      <c r="BB64" s="22" t="str">
        <f t="shared" si="324"/>
        <v>Beeldende kunst</v>
      </c>
      <c r="BC64" s="22">
        <f t="shared" si="324"/>
        <v>0</v>
      </c>
      <c r="BD64" s="22" t="str">
        <f t="shared" ref="BD64:BG64" si="325">IF(L64 = true, BD$1, 0)</f>
        <v>Shop</v>
      </c>
      <c r="BE64" s="22">
        <f t="shared" si="325"/>
        <v>0</v>
      </c>
      <c r="BF64" s="22" t="str">
        <f t="shared" si="325"/>
        <v>Parking</v>
      </c>
      <c r="BG64" s="22">
        <f t="shared" si="325"/>
        <v>0</v>
      </c>
      <c r="BH64" s="22" t="str">
        <f>IFERROR(__xludf.DUMMYFUNCTION("""COMPUTED_VALUE"""),"Provinciale Erfgoedsite Scheepswerven Baasrode")</f>
        <v>Provinciale Erfgoedsite Scheepswerven Baasrode</v>
      </c>
      <c r="BI64" s="24">
        <f>IFERROR(__xludf.DUMMYFUNCTION("""COMPUTED_VALUE"""),8.0)</f>
        <v>8</v>
      </c>
      <c r="BJ64" s="22" t="b">
        <f>IFERROR(__xludf.DUMMYFUNCTION("""COMPUTED_VALUE"""),FALSE)</f>
        <v>0</v>
      </c>
      <c r="BK64" s="22" t="b">
        <f>IFERROR(__xludf.DUMMYFUNCTION("""COMPUTED_VALUE"""),FALSE)</f>
        <v>0</v>
      </c>
      <c r="BL64" s="22"/>
      <c r="BM64" s="22">
        <f>IFERROR(__xludf.DUMMYFUNCTION("""COMPUTED_VALUE"""),1.0)</f>
        <v>1</v>
      </c>
      <c r="BN64" s="22">
        <f>IFERROR(__xludf.DUMMYFUNCTION("""COMPUTED_VALUE"""),1.0)</f>
        <v>1</v>
      </c>
      <c r="BO64" s="22">
        <f>IFERROR(__xludf.DUMMYFUNCTION("""COMPUTED_VALUE"""),0.0)</f>
        <v>0</v>
      </c>
      <c r="BP64" s="22">
        <f>IFERROR(__xludf.DUMMYFUNCTION("""COMPUTED_VALUE"""),0.0)</f>
        <v>0</v>
      </c>
      <c r="BQ64" s="22">
        <f>IFERROR(__xludf.DUMMYFUNCTION("""COMPUTED_VALUE"""),0.0)</f>
        <v>0</v>
      </c>
      <c r="BR64" s="22">
        <f>IFERROR(__xludf.DUMMYFUNCTION("""COMPUTED_VALUE"""),0.0)</f>
        <v>0</v>
      </c>
      <c r="BS64" s="22">
        <f>IFERROR(__xludf.DUMMYFUNCTION("""COMPUTED_VALUE"""),0.0)</f>
        <v>0</v>
      </c>
      <c r="BT64" s="22">
        <f>IFERROR(__xludf.DUMMYFUNCTION("""COMPUTED_VALUE"""),0.0)</f>
        <v>0</v>
      </c>
      <c r="BU64" s="22">
        <f>IFERROR(__xludf.DUMMYFUNCTION("""COMPUTED_VALUE"""),1.0)</f>
        <v>1</v>
      </c>
      <c r="BV64" s="22">
        <f>IFERROR(__xludf.DUMMYFUNCTION("""COMPUTED_VALUE"""),1.0)</f>
        <v>1</v>
      </c>
      <c r="BW64" s="22">
        <f>IFERROR(__xludf.DUMMYFUNCTION("""COMPUTED_VALUE"""),0.0)</f>
        <v>0</v>
      </c>
      <c r="BX64" s="22">
        <f>IFERROR(__xludf.DUMMYFUNCTION("""COMPUTED_VALUE"""),1.0)</f>
        <v>1</v>
      </c>
      <c r="BY64" s="22">
        <f>IFERROR(__xludf.DUMMYFUNCTION("""COMPUTED_VALUE"""),1.0)</f>
        <v>1</v>
      </c>
      <c r="BZ64" s="22">
        <f>IFERROR(__xludf.DUMMYFUNCTION("""COMPUTED_VALUE"""),0.0)</f>
        <v>0</v>
      </c>
      <c r="CA64" s="22">
        <f>IFERROR(__xludf.DUMMYFUNCTION("""COMPUTED_VALUE"""),2.0)</f>
        <v>2</v>
      </c>
      <c r="CB64" s="22">
        <f>IFERROR(__xludf.DUMMYFUNCTION("""COMPUTED_VALUE"""),5.0)</f>
        <v>5</v>
      </c>
      <c r="CC64" s="61">
        <f>IFERROR(__xludf.DUMMYFUNCTION("""COMPUTED_VALUE"""),3.125)</f>
        <v>3.125</v>
      </c>
      <c r="CD64" s="62" t="str">
        <f>IFERROR(__xludf.DUMMYFUNCTION("""COMPUTED_VALUE"""),"good")</f>
        <v>good</v>
      </c>
      <c r="CE64" s="22" t="s">
        <v>531</v>
      </c>
      <c r="CF64" s="24">
        <v>8.0</v>
      </c>
      <c r="CG64" s="22" t="b">
        <v>0</v>
      </c>
      <c r="CH64" s="22" t="b">
        <v>0</v>
      </c>
      <c r="CI64" s="22"/>
      <c r="CJ64" s="22">
        <v>1.0</v>
      </c>
      <c r="CK64" s="22">
        <v>1.0</v>
      </c>
      <c r="CL64" s="22">
        <v>0.0</v>
      </c>
      <c r="CM64" s="22">
        <v>0.0</v>
      </c>
      <c r="CN64" s="22">
        <v>0.0</v>
      </c>
      <c r="CO64" s="22">
        <v>0.0</v>
      </c>
      <c r="CP64" s="22">
        <v>0.0</v>
      </c>
      <c r="CQ64" s="22">
        <v>0.0</v>
      </c>
      <c r="CR64" s="22">
        <v>1.0</v>
      </c>
      <c r="CS64" s="22">
        <v>1.0</v>
      </c>
      <c r="CT64" s="22">
        <v>0.0</v>
      </c>
      <c r="CU64" s="22">
        <v>1.0</v>
      </c>
      <c r="CV64" s="22">
        <v>1.0</v>
      </c>
      <c r="CW64" s="22">
        <v>0.0</v>
      </c>
      <c r="CX64" s="22">
        <v>2.0</v>
      </c>
      <c r="CY64" s="22">
        <v>5.0</v>
      </c>
      <c r="CZ64" s="61">
        <v>3.125</v>
      </c>
      <c r="DA64" s="62" t="s">
        <v>561</v>
      </c>
    </row>
    <row r="65">
      <c r="A65" s="16" t="s">
        <v>164</v>
      </c>
      <c r="B65" s="16" t="s">
        <v>165</v>
      </c>
      <c r="C65" s="34" t="s">
        <v>31</v>
      </c>
      <c r="D65" s="16" t="s">
        <v>4</v>
      </c>
      <c r="E65" s="17" t="b">
        <f t="shared" ref="E65:K65" si="326">If(IFERROR(SEARCH(E$1, $D65),0) &gt;= 1, true,false)</f>
        <v>1</v>
      </c>
      <c r="F65" s="17" t="b">
        <f t="shared" si="326"/>
        <v>0</v>
      </c>
      <c r="G65" s="17" t="b">
        <f t="shared" si="326"/>
        <v>0</v>
      </c>
      <c r="H65" s="17" t="b">
        <f t="shared" si="326"/>
        <v>0</v>
      </c>
      <c r="I65" s="17" t="b">
        <f t="shared" si="326"/>
        <v>0</v>
      </c>
      <c r="J65" s="17" t="b">
        <f t="shared" si="326"/>
        <v>0</v>
      </c>
      <c r="K65" s="17" t="b">
        <f t="shared" si="326"/>
        <v>0</v>
      </c>
      <c r="L65" s="18" t="b">
        <v>1</v>
      </c>
      <c r="M65" s="18" t="b">
        <v>0</v>
      </c>
      <c r="N65" s="18" t="b">
        <v>0</v>
      </c>
      <c r="O65" s="18" t="b">
        <v>0</v>
      </c>
      <c r="P65" s="16" t="str">
        <f t="shared" si="7"/>
        <v>Het Snijders&amp;Rockoxhuis</v>
      </c>
      <c r="Q65" s="19">
        <v>10.0</v>
      </c>
      <c r="R65" s="18" t="b">
        <v>0</v>
      </c>
      <c r="S65" s="18" t="b">
        <v>1</v>
      </c>
      <c r="T65" s="30">
        <v>10.0</v>
      </c>
      <c r="U65" s="21">
        <f t="shared" si="8"/>
        <v>0</v>
      </c>
      <c r="V65" s="21">
        <f t="shared" ref="V65:AB65" si="327">if(OR(AW65 = $AO$4, AW65 = $AQ$4), 1, 0)</f>
        <v>1</v>
      </c>
      <c r="W65" s="21">
        <f t="shared" si="327"/>
        <v>0</v>
      </c>
      <c r="X65" s="21">
        <f t="shared" si="327"/>
        <v>0</v>
      </c>
      <c r="Y65" s="21">
        <f t="shared" si="327"/>
        <v>0</v>
      </c>
      <c r="Z65" s="21">
        <f t="shared" si="327"/>
        <v>0</v>
      </c>
      <c r="AA65" s="21">
        <f t="shared" si="327"/>
        <v>0</v>
      </c>
      <c r="AB65" s="21">
        <f t="shared" si="327"/>
        <v>0</v>
      </c>
      <c r="AC65" s="21">
        <f t="shared" si="10"/>
        <v>1</v>
      </c>
      <c r="AD65" s="21">
        <f t="shared" si="11"/>
        <v>1</v>
      </c>
      <c r="AE65" s="21">
        <f t="shared" ref="AE65:AH65" si="328">if(OR(BD65 = $AO$6, BD65 = $AS$6, BD65 = $AT$6, BD65 = $AU$6), 1, 0)</f>
        <v>1</v>
      </c>
      <c r="AF65" s="21">
        <f t="shared" si="328"/>
        <v>0</v>
      </c>
      <c r="AG65" s="21">
        <f t="shared" si="328"/>
        <v>0</v>
      </c>
      <c r="AH65" s="21">
        <f t="shared" si="328"/>
        <v>0</v>
      </c>
      <c r="AI65" s="21">
        <f t="shared" si="13"/>
        <v>1</v>
      </c>
      <c r="AJ65" s="21">
        <f t="shared" si="14"/>
        <v>3</v>
      </c>
      <c r="AK65" s="59">
        <f t="shared" si="15"/>
        <v>1.875</v>
      </c>
      <c r="AL65" s="60" t="str">
        <f t="shared" si="16"/>
        <v>subpar</v>
      </c>
      <c r="AW65" s="22" t="str">
        <f t="shared" ref="AW65:BC65" si="329">IF(IFERROR(SEARCH(E$1, $D65),0) &gt;= 1, E$1,0)</f>
        <v>Geschiedenis en archeologie</v>
      </c>
      <c r="AX65" s="22">
        <f t="shared" si="329"/>
        <v>0</v>
      </c>
      <c r="AY65" s="22">
        <f t="shared" si="329"/>
        <v>0</v>
      </c>
      <c r="AZ65" s="22">
        <f t="shared" si="329"/>
        <v>0</v>
      </c>
      <c r="BA65" s="22">
        <f t="shared" si="329"/>
        <v>0</v>
      </c>
      <c r="BB65" s="22">
        <f t="shared" si="329"/>
        <v>0</v>
      </c>
      <c r="BC65" s="22">
        <f t="shared" si="329"/>
        <v>0</v>
      </c>
      <c r="BD65" s="22" t="str">
        <f t="shared" ref="BD65:BG65" si="330">IF(L65 = true, BD$1, 0)</f>
        <v>Shop</v>
      </c>
      <c r="BE65" s="22">
        <f t="shared" si="330"/>
        <v>0</v>
      </c>
      <c r="BF65" s="22">
        <f t="shared" si="330"/>
        <v>0</v>
      </c>
      <c r="BG65" s="22">
        <f t="shared" si="330"/>
        <v>0</v>
      </c>
      <c r="BH65" s="22" t="str">
        <f>IFERROR(__xludf.DUMMYFUNCTION("""COMPUTED_VALUE"""),"Roger Raveelmuseum")</f>
        <v>Roger Raveelmuseum</v>
      </c>
      <c r="BI65" s="24">
        <f>IFERROR(__xludf.DUMMYFUNCTION("""COMPUTED_VALUE"""),10.0)</f>
        <v>10</v>
      </c>
      <c r="BJ65" s="22" t="b">
        <f>IFERROR(__xludf.DUMMYFUNCTION("""COMPUTED_VALUE"""),TRUE)</f>
        <v>1</v>
      </c>
      <c r="BK65" s="22" t="b">
        <f>IFERROR(__xludf.DUMMYFUNCTION("""COMPUTED_VALUE"""),FALSE)</f>
        <v>0</v>
      </c>
      <c r="BL65" s="22"/>
      <c r="BM65" s="22">
        <f>IFERROR(__xludf.DUMMYFUNCTION("""COMPUTED_VALUE"""),1.0)</f>
        <v>1</v>
      </c>
      <c r="BN65" s="22">
        <f>IFERROR(__xludf.DUMMYFUNCTION("""COMPUTED_VALUE"""),0.0)</f>
        <v>0</v>
      </c>
      <c r="BO65" s="22">
        <f>IFERROR(__xludf.DUMMYFUNCTION("""COMPUTED_VALUE"""),0.0)</f>
        <v>0</v>
      </c>
      <c r="BP65" s="22">
        <f>IFERROR(__xludf.DUMMYFUNCTION("""COMPUTED_VALUE"""),0.0)</f>
        <v>0</v>
      </c>
      <c r="BQ65" s="22">
        <f>IFERROR(__xludf.DUMMYFUNCTION("""COMPUTED_VALUE"""),0.0)</f>
        <v>0</v>
      </c>
      <c r="BR65" s="22">
        <f>IFERROR(__xludf.DUMMYFUNCTION("""COMPUTED_VALUE"""),0.0)</f>
        <v>0</v>
      </c>
      <c r="BS65" s="22">
        <f>IFERROR(__xludf.DUMMYFUNCTION("""COMPUTED_VALUE"""),1.0)</f>
        <v>1</v>
      </c>
      <c r="BT65" s="22">
        <f>IFERROR(__xludf.DUMMYFUNCTION("""COMPUTED_VALUE"""),0.0)</f>
        <v>0</v>
      </c>
      <c r="BU65" s="22">
        <f>IFERROR(__xludf.DUMMYFUNCTION("""COMPUTED_VALUE"""),1.0)</f>
        <v>1</v>
      </c>
      <c r="BV65" s="22">
        <f>IFERROR(__xludf.DUMMYFUNCTION("""COMPUTED_VALUE"""),1.0)</f>
        <v>1</v>
      </c>
      <c r="BW65" s="22">
        <f>IFERROR(__xludf.DUMMYFUNCTION("""COMPUTED_VALUE"""),1.0)</f>
        <v>1</v>
      </c>
      <c r="BX65" s="22">
        <f>IFERROR(__xludf.DUMMYFUNCTION("""COMPUTED_VALUE"""),0.0)</f>
        <v>0</v>
      </c>
      <c r="BY65" s="22">
        <f>IFERROR(__xludf.DUMMYFUNCTION("""COMPUTED_VALUE"""),1.0)</f>
        <v>1</v>
      </c>
      <c r="BZ65" s="22">
        <f>IFERROR(__xludf.DUMMYFUNCTION("""COMPUTED_VALUE"""),0.0)</f>
        <v>0</v>
      </c>
      <c r="CA65" s="22">
        <f>IFERROR(__xludf.DUMMYFUNCTION("""COMPUTED_VALUE"""),2.0)</f>
        <v>2</v>
      </c>
      <c r="CB65" s="22">
        <f>IFERROR(__xludf.DUMMYFUNCTION("""COMPUTED_VALUE"""),5.0)</f>
        <v>5</v>
      </c>
      <c r="CC65" s="61">
        <f>IFERROR(__xludf.DUMMYFUNCTION("""COMPUTED_VALUE"""),3.125)</f>
        <v>3.125</v>
      </c>
      <c r="CD65" s="62" t="str">
        <f>IFERROR(__xludf.DUMMYFUNCTION("""COMPUTED_VALUE"""),"good")</f>
        <v>good</v>
      </c>
      <c r="CE65" s="22" t="s">
        <v>535</v>
      </c>
      <c r="CF65" s="24">
        <v>10.0</v>
      </c>
      <c r="CG65" s="22" t="b">
        <v>1</v>
      </c>
      <c r="CH65" s="22" t="b">
        <v>0</v>
      </c>
      <c r="CI65" s="22"/>
      <c r="CJ65" s="22">
        <v>1.0</v>
      </c>
      <c r="CK65" s="22">
        <v>0.0</v>
      </c>
      <c r="CL65" s="22">
        <v>0.0</v>
      </c>
      <c r="CM65" s="22">
        <v>0.0</v>
      </c>
      <c r="CN65" s="22">
        <v>0.0</v>
      </c>
      <c r="CO65" s="22">
        <v>0.0</v>
      </c>
      <c r="CP65" s="22">
        <v>1.0</v>
      </c>
      <c r="CQ65" s="22">
        <v>0.0</v>
      </c>
      <c r="CR65" s="22">
        <v>1.0</v>
      </c>
      <c r="CS65" s="22">
        <v>1.0</v>
      </c>
      <c r="CT65" s="22">
        <v>1.0</v>
      </c>
      <c r="CU65" s="22">
        <v>0.0</v>
      </c>
      <c r="CV65" s="22">
        <v>1.0</v>
      </c>
      <c r="CW65" s="22">
        <v>0.0</v>
      </c>
      <c r="CX65" s="22">
        <v>2.0</v>
      </c>
      <c r="CY65" s="22">
        <v>5.0</v>
      </c>
      <c r="CZ65" s="61">
        <v>3.125</v>
      </c>
      <c r="DA65" s="62" t="s">
        <v>561</v>
      </c>
    </row>
    <row r="66">
      <c r="A66" s="16" t="s">
        <v>166</v>
      </c>
      <c r="B66" s="16" t="s">
        <v>167</v>
      </c>
      <c r="C66" s="34" t="s">
        <v>31</v>
      </c>
      <c r="D66" s="16" t="s">
        <v>9</v>
      </c>
      <c r="E66" s="17" t="b">
        <f t="shared" ref="E66:K66" si="331">If(IFERROR(SEARCH(E$1, $D66),0) &gt;= 1, true,false)</f>
        <v>0</v>
      </c>
      <c r="F66" s="17" t="b">
        <f t="shared" si="331"/>
        <v>0</v>
      </c>
      <c r="G66" s="17" t="b">
        <f t="shared" si="331"/>
        <v>0</v>
      </c>
      <c r="H66" s="17" t="b">
        <f t="shared" si="331"/>
        <v>0</v>
      </c>
      <c r="I66" s="17" t="b">
        <f t="shared" si="331"/>
        <v>0</v>
      </c>
      <c r="J66" s="17" t="b">
        <f t="shared" si="331"/>
        <v>1</v>
      </c>
      <c r="K66" s="17" t="b">
        <f t="shared" si="331"/>
        <v>0</v>
      </c>
      <c r="L66" s="18" t="b">
        <v>1</v>
      </c>
      <c r="M66" s="18" t="b">
        <v>0</v>
      </c>
      <c r="N66" s="18" t="b">
        <v>1</v>
      </c>
      <c r="O66" s="18" t="b">
        <v>0</v>
      </c>
      <c r="P66" s="16" t="str">
        <f t="shared" si="7"/>
        <v>Jakob Smitsmuseum</v>
      </c>
      <c r="Q66" s="19">
        <v>5.0</v>
      </c>
      <c r="R66" s="18" t="b">
        <v>0</v>
      </c>
      <c r="S66" s="18" t="b">
        <v>1</v>
      </c>
      <c r="T66" s="35">
        <v>5.0</v>
      </c>
      <c r="U66" s="21">
        <f t="shared" si="8"/>
        <v>0</v>
      </c>
      <c r="V66" s="21">
        <f t="shared" ref="V66:AB66" si="332">if(OR(AW66 = $AO$4, AW66 = $AQ$4), 1, 0)</f>
        <v>0</v>
      </c>
      <c r="W66" s="21">
        <f t="shared" si="332"/>
        <v>0</v>
      </c>
      <c r="X66" s="21">
        <f t="shared" si="332"/>
        <v>0</v>
      </c>
      <c r="Y66" s="21">
        <f t="shared" si="332"/>
        <v>0</v>
      </c>
      <c r="Z66" s="21">
        <f t="shared" si="332"/>
        <v>0</v>
      </c>
      <c r="AA66" s="21">
        <f t="shared" si="332"/>
        <v>1</v>
      </c>
      <c r="AB66" s="21">
        <f t="shared" si="332"/>
        <v>0</v>
      </c>
      <c r="AC66" s="21">
        <f t="shared" si="10"/>
        <v>1</v>
      </c>
      <c r="AD66" s="21">
        <f t="shared" si="11"/>
        <v>1</v>
      </c>
      <c r="AE66" s="21">
        <f t="shared" ref="AE66:AH66" si="333">if(OR(BD66 = $AO$6, BD66 = $AS$6, BD66 = $AT$6, BD66 = $AU$6), 1, 0)</f>
        <v>1</v>
      </c>
      <c r="AF66" s="21">
        <f t="shared" si="333"/>
        <v>0</v>
      </c>
      <c r="AG66" s="21">
        <f t="shared" si="333"/>
        <v>1</v>
      </c>
      <c r="AH66" s="21">
        <f t="shared" si="333"/>
        <v>0</v>
      </c>
      <c r="AI66" s="21">
        <f t="shared" si="13"/>
        <v>2</v>
      </c>
      <c r="AJ66" s="21">
        <f t="shared" si="14"/>
        <v>4</v>
      </c>
      <c r="AK66" s="59">
        <f t="shared" si="15"/>
        <v>2.5</v>
      </c>
      <c r="AL66" s="60" t="str">
        <f t="shared" si="16"/>
        <v>subpar</v>
      </c>
      <c r="AW66" s="22">
        <f t="shared" ref="AW66:BC66" si="334">IF(IFERROR(SEARCH(E$1, $D66),0) &gt;= 1, E$1,0)</f>
        <v>0</v>
      </c>
      <c r="AX66" s="22">
        <f t="shared" si="334"/>
        <v>0</v>
      </c>
      <c r="AY66" s="22">
        <f t="shared" si="334"/>
        <v>0</v>
      </c>
      <c r="AZ66" s="22">
        <f t="shared" si="334"/>
        <v>0</v>
      </c>
      <c r="BA66" s="22">
        <f t="shared" si="334"/>
        <v>0</v>
      </c>
      <c r="BB66" s="22" t="str">
        <f t="shared" si="334"/>
        <v>Beeldende kunst</v>
      </c>
      <c r="BC66" s="22">
        <f t="shared" si="334"/>
        <v>0</v>
      </c>
      <c r="BD66" s="22" t="str">
        <f t="shared" ref="BD66:BG66" si="335">IF(L66 = true, BD$1, 0)</f>
        <v>Shop</v>
      </c>
      <c r="BE66" s="22">
        <f t="shared" si="335"/>
        <v>0</v>
      </c>
      <c r="BF66" s="22" t="str">
        <f t="shared" si="335"/>
        <v>Parking</v>
      </c>
      <c r="BG66" s="22">
        <f t="shared" si="335"/>
        <v>0</v>
      </c>
      <c r="BH66" s="22" t="str">
        <f>IFERROR(__xludf.DUMMYFUNCTION("""COMPUTED_VALUE"""),"STAM | Stadsmuseum Gent")</f>
        <v>STAM | Stadsmuseum Gent</v>
      </c>
      <c r="BI66" s="24">
        <f>IFERROR(__xludf.DUMMYFUNCTION("""COMPUTED_VALUE"""),11.0)</f>
        <v>11</v>
      </c>
      <c r="BJ66" s="22" t="b">
        <f>IFERROR(__xludf.DUMMYFUNCTION("""COMPUTED_VALUE"""),FALSE)</f>
        <v>0</v>
      </c>
      <c r="BK66" s="22" t="b">
        <f>IFERROR(__xludf.DUMMYFUNCTION("""COMPUTED_VALUE"""),TRUE)</f>
        <v>1</v>
      </c>
      <c r="BL66" s="24">
        <f>IFERROR(__xludf.DUMMYFUNCTION("""COMPUTED_VALUE"""),11.0)</f>
        <v>11</v>
      </c>
      <c r="BM66" s="22">
        <f>IFERROR(__xludf.DUMMYFUNCTION("""COMPUTED_VALUE"""),1.0)</f>
        <v>1</v>
      </c>
      <c r="BN66" s="22">
        <f>IFERROR(__xludf.DUMMYFUNCTION("""COMPUTED_VALUE"""),1.0)</f>
        <v>1</v>
      </c>
      <c r="BO66" s="22">
        <f>IFERROR(__xludf.DUMMYFUNCTION("""COMPUTED_VALUE"""),0.0)</f>
        <v>0</v>
      </c>
      <c r="BP66" s="22">
        <f>IFERROR(__xludf.DUMMYFUNCTION("""COMPUTED_VALUE"""),0.0)</f>
        <v>0</v>
      </c>
      <c r="BQ66" s="22">
        <f>IFERROR(__xludf.DUMMYFUNCTION("""COMPUTED_VALUE"""),0.0)</f>
        <v>0</v>
      </c>
      <c r="BR66" s="22">
        <f>IFERROR(__xludf.DUMMYFUNCTION("""COMPUTED_VALUE"""),0.0)</f>
        <v>0</v>
      </c>
      <c r="BS66" s="22">
        <f>IFERROR(__xludf.DUMMYFUNCTION("""COMPUTED_VALUE"""),0.0)</f>
        <v>0</v>
      </c>
      <c r="BT66" s="22">
        <f>IFERROR(__xludf.DUMMYFUNCTION("""COMPUTED_VALUE"""),0.0)</f>
        <v>0</v>
      </c>
      <c r="BU66" s="22">
        <f>IFERROR(__xludf.DUMMYFUNCTION("""COMPUTED_VALUE"""),1.0)</f>
        <v>1</v>
      </c>
      <c r="BV66" s="22">
        <f>IFERROR(__xludf.DUMMYFUNCTION("""COMPUTED_VALUE"""),0.0)</f>
        <v>0</v>
      </c>
      <c r="BW66" s="22">
        <f>IFERROR(__xludf.DUMMYFUNCTION("""COMPUTED_VALUE"""),1.0)</f>
        <v>1</v>
      </c>
      <c r="BX66" s="22">
        <f>IFERROR(__xludf.DUMMYFUNCTION("""COMPUTED_VALUE"""),1.0)</f>
        <v>1</v>
      </c>
      <c r="BY66" s="22">
        <f>IFERROR(__xludf.DUMMYFUNCTION("""COMPUTED_VALUE"""),0.0)</f>
        <v>0</v>
      </c>
      <c r="BZ66" s="22">
        <f>IFERROR(__xludf.DUMMYFUNCTION("""COMPUTED_VALUE"""),1.0)</f>
        <v>1</v>
      </c>
      <c r="CA66" s="22">
        <f>IFERROR(__xludf.DUMMYFUNCTION("""COMPUTED_VALUE"""),3.0)</f>
        <v>3</v>
      </c>
      <c r="CB66" s="22">
        <f>IFERROR(__xludf.DUMMYFUNCTION("""COMPUTED_VALUE"""),5.0)</f>
        <v>5</v>
      </c>
      <c r="CC66" s="61">
        <f>IFERROR(__xludf.DUMMYFUNCTION("""COMPUTED_VALUE"""),3.125)</f>
        <v>3.125</v>
      </c>
      <c r="CD66" s="62" t="str">
        <f>IFERROR(__xludf.DUMMYFUNCTION("""COMPUTED_VALUE"""),"good")</f>
        <v>good</v>
      </c>
      <c r="CE66" s="22" t="s">
        <v>540</v>
      </c>
      <c r="CF66" s="24">
        <v>11.0</v>
      </c>
      <c r="CG66" s="22" t="b">
        <v>0</v>
      </c>
      <c r="CH66" s="22" t="b">
        <v>1</v>
      </c>
      <c r="CI66" s="24">
        <v>11.0</v>
      </c>
      <c r="CJ66" s="22">
        <v>1.0</v>
      </c>
      <c r="CK66" s="22">
        <v>1.0</v>
      </c>
      <c r="CL66" s="22">
        <v>0.0</v>
      </c>
      <c r="CM66" s="22">
        <v>0.0</v>
      </c>
      <c r="CN66" s="22">
        <v>0.0</v>
      </c>
      <c r="CO66" s="22">
        <v>0.0</v>
      </c>
      <c r="CP66" s="22">
        <v>0.0</v>
      </c>
      <c r="CQ66" s="22">
        <v>0.0</v>
      </c>
      <c r="CR66" s="22">
        <v>1.0</v>
      </c>
      <c r="CS66" s="22">
        <v>0.0</v>
      </c>
      <c r="CT66" s="22">
        <v>1.0</v>
      </c>
      <c r="CU66" s="22">
        <v>1.0</v>
      </c>
      <c r="CV66" s="22">
        <v>0.0</v>
      </c>
      <c r="CW66" s="22">
        <v>1.0</v>
      </c>
      <c r="CX66" s="22">
        <v>3.0</v>
      </c>
      <c r="CY66" s="22">
        <v>5.0</v>
      </c>
      <c r="CZ66" s="61">
        <v>3.125</v>
      </c>
      <c r="DA66" s="62" t="s">
        <v>561</v>
      </c>
    </row>
    <row r="67">
      <c r="A67" s="16" t="s">
        <v>168</v>
      </c>
      <c r="B67" s="16" t="s">
        <v>169</v>
      </c>
      <c r="C67" s="34" t="s">
        <v>31</v>
      </c>
      <c r="D67" s="16" t="s">
        <v>107</v>
      </c>
      <c r="E67" s="17" t="b">
        <f t="shared" ref="E67:K67" si="336">If(IFERROR(SEARCH(E$1, $D67),0) &gt;= 1, true,false)</f>
        <v>1</v>
      </c>
      <c r="F67" s="17" t="b">
        <f t="shared" si="336"/>
        <v>1</v>
      </c>
      <c r="G67" s="17" t="b">
        <f t="shared" si="336"/>
        <v>0</v>
      </c>
      <c r="H67" s="17" t="b">
        <f t="shared" si="336"/>
        <v>0</v>
      </c>
      <c r="I67" s="17" t="b">
        <f t="shared" si="336"/>
        <v>0</v>
      </c>
      <c r="J67" s="17" t="b">
        <f t="shared" si="336"/>
        <v>0</v>
      </c>
      <c r="K67" s="17" t="b">
        <f t="shared" si="336"/>
        <v>0</v>
      </c>
      <c r="L67" s="18" t="b">
        <v>1</v>
      </c>
      <c r="M67" s="18" t="b">
        <v>1</v>
      </c>
      <c r="N67" s="18" t="b">
        <v>1</v>
      </c>
      <c r="O67" s="18" t="b">
        <v>1</v>
      </c>
      <c r="P67" s="16" t="str">
        <f t="shared" si="7"/>
        <v>Karrenmuseum Essen</v>
      </c>
      <c r="Q67" s="19">
        <v>6.0</v>
      </c>
      <c r="R67" s="18" t="b">
        <v>0</v>
      </c>
      <c r="S67" s="18" t="b">
        <v>0</v>
      </c>
      <c r="T67" s="32"/>
      <c r="U67" s="21">
        <f t="shared" si="8"/>
        <v>0</v>
      </c>
      <c r="V67" s="21">
        <f t="shared" ref="V67:AB67" si="337">if(OR(AW67 = $AO$4, AW67 = $AQ$4), 1, 0)</f>
        <v>1</v>
      </c>
      <c r="W67" s="21">
        <f t="shared" si="337"/>
        <v>0</v>
      </c>
      <c r="X67" s="21">
        <f t="shared" si="337"/>
        <v>0</v>
      </c>
      <c r="Y67" s="21">
        <f t="shared" si="337"/>
        <v>0</v>
      </c>
      <c r="Z67" s="21">
        <f t="shared" si="337"/>
        <v>0</v>
      </c>
      <c r="AA67" s="21">
        <f t="shared" si="337"/>
        <v>0</v>
      </c>
      <c r="AB67" s="21">
        <f t="shared" si="337"/>
        <v>0</v>
      </c>
      <c r="AC67" s="21">
        <f t="shared" si="10"/>
        <v>1</v>
      </c>
      <c r="AD67" s="21">
        <f t="shared" si="11"/>
        <v>1</v>
      </c>
      <c r="AE67" s="21">
        <f t="shared" ref="AE67:AH67" si="338">if(OR(BD67 = $AO$6, BD67 = $AS$6, BD67 = $AT$6, BD67 = $AU$6), 1, 0)</f>
        <v>1</v>
      </c>
      <c r="AF67" s="21">
        <f t="shared" si="338"/>
        <v>1</v>
      </c>
      <c r="AG67" s="21">
        <f t="shared" si="338"/>
        <v>1</v>
      </c>
      <c r="AH67" s="21">
        <f t="shared" si="338"/>
        <v>1</v>
      </c>
      <c r="AI67" s="21">
        <f t="shared" si="13"/>
        <v>4</v>
      </c>
      <c r="AJ67" s="21">
        <f t="shared" si="14"/>
        <v>6</v>
      </c>
      <c r="AK67" s="59">
        <f t="shared" si="15"/>
        <v>3.75</v>
      </c>
      <c r="AL67" s="60" t="str">
        <f t="shared" si="16"/>
        <v>good</v>
      </c>
      <c r="AW67" s="22" t="str">
        <f t="shared" ref="AW67:BC67" si="339">IF(IFERROR(SEARCH(E$1, $D67),0) &gt;= 1, E$1,0)</f>
        <v>Geschiedenis en archeologie</v>
      </c>
      <c r="AX67" s="22" t="str">
        <f t="shared" si="339"/>
        <v>Wetenschap en technologie</v>
      </c>
      <c r="AY67" s="22">
        <f t="shared" si="339"/>
        <v>0</v>
      </c>
      <c r="AZ67" s="22">
        <f t="shared" si="339"/>
        <v>0</v>
      </c>
      <c r="BA67" s="22">
        <f t="shared" si="339"/>
        <v>0</v>
      </c>
      <c r="BB67" s="22">
        <f t="shared" si="339"/>
        <v>0</v>
      </c>
      <c r="BC67" s="22">
        <f t="shared" si="339"/>
        <v>0</v>
      </c>
      <c r="BD67" s="22" t="str">
        <f t="shared" ref="BD67:BG67" si="340">IF(L67 = true, BD$1, 0)</f>
        <v>Shop</v>
      </c>
      <c r="BE67" s="22" t="str">
        <f t="shared" si="340"/>
        <v>Café</v>
      </c>
      <c r="BF67" s="22" t="str">
        <f t="shared" si="340"/>
        <v>Parking</v>
      </c>
      <c r="BG67" s="22" t="str">
        <f t="shared" si="340"/>
        <v>Restaurant</v>
      </c>
      <c r="BH67" s="22" t="str">
        <f>IFERROR(__xludf.DUMMYFUNCTION("""COMPUTED_VALUE"""),"Archeologisch museum van de Boven-Maas")</f>
        <v>Archeologisch museum van de Boven-Maas</v>
      </c>
      <c r="BI67" s="24">
        <f>IFERROR(__xludf.DUMMYFUNCTION("""COMPUTED_VALUE"""),3.5)</f>
        <v>3.5</v>
      </c>
      <c r="BJ67" s="22" t="b">
        <f>IFERROR(__xludf.DUMMYFUNCTION("""COMPUTED_VALUE"""),FALSE)</f>
        <v>0</v>
      </c>
      <c r="BK67" s="22" t="b">
        <f>IFERROR(__xludf.DUMMYFUNCTION("""COMPUTED_VALUE"""),FALSE)</f>
        <v>0</v>
      </c>
      <c r="BL67" s="22"/>
      <c r="BM67" s="22">
        <f>IFERROR(__xludf.DUMMYFUNCTION("""COMPUTED_VALUE"""),0.0)</f>
        <v>0</v>
      </c>
      <c r="BN67" s="22">
        <f>IFERROR(__xludf.DUMMYFUNCTION("""COMPUTED_VALUE"""),1.0)</f>
        <v>1</v>
      </c>
      <c r="BO67" s="22">
        <f>IFERROR(__xludf.DUMMYFUNCTION("""COMPUTED_VALUE"""),0.0)</f>
        <v>0</v>
      </c>
      <c r="BP67" s="22">
        <f>IFERROR(__xludf.DUMMYFUNCTION("""COMPUTED_VALUE"""),0.0)</f>
        <v>0</v>
      </c>
      <c r="BQ67" s="22">
        <f>IFERROR(__xludf.DUMMYFUNCTION("""COMPUTED_VALUE"""),0.0)</f>
        <v>0</v>
      </c>
      <c r="BR67" s="22">
        <f>IFERROR(__xludf.DUMMYFUNCTION("""COMPUTED_VALUE"""),0.0)</f>
        <v>0</v>
      </c>
      <c r="BS67" s="22">
        <f>IFERROR(__xludf.DUMMYFUNCTION("""COMPUTED_VALUE"""),0.0)</f>
        <v>0</v>
      </c>
      <c r="BT67" s="22">
        <f>IFERROR(__xludf.DUMMYFUNCTION("""COMPUTED_VALUE"""),0.0)</f>
        <v>0</v>
      </c>
      <c r="BU67" s="22">
        <f>IFERROR(__xludf.DUMMYFUNCTION("""COMPUTED_VALUE"""),1.0)</f>
        <v>1</v>
      </c>
      <c r="BV67" s="22">
        <f>IFERROR(__xludf.DUMMYFUNCTION("""COMPUTED_VALUE"""),1.0)</f>
        <v>1</v>
      </c>
      <c r="BW67" s="22">
        <f>IFERROR(__xludf.DUMMYFUNCTION("""COMPUTED_VALUE"""),1.0)</f>
        <v>1</v>
      </c>
      <c r="BX67" s="22">
        <f>IFERROR(__xludf.DUMMYFUNCTION("""COMPUTED_VALUE"""),0.0)</f>
        <v>0</v>
      </c>
      <c r="BY67" s="22">
        <f>IFERROR(__xludf.DUMMYFUNCTION("""COMPUTED_VALUE"""),1.0)</f>
        <v>1</v>
      </c>
      <c r="BZ67" s="22">
        <f>IFERROR(__xludf.DUMMYFUNCTION("""COMPUTED_VALUE"""),0.0)</f>
        <v>0</v>
      </c>
      <c r="CA67" s="22">
        <f>IFERROR(__xludf.DUMMYFUNCTION("""COMPUTED_VALUE"""),2.0)</f>
        <v>2</v>
      </c>
      <c r="CB67" s="22">
        <f>IFERROR(__xludf.DUMMYFUNCTION("""COMPUTED_VALUE"""),4.0)</f>
        <v>4</v>
      </c>
      <c r="CC67" s="61">
        <f>IFERROR(__xludf.DUMMYFUNCTION("""COMPUTED_VALUE"""),2.5)</f>
        <v>2.5</v>
      </c>
      <c r="CD67" s="62" t="str">
        <f>IFERROR(__xludf.DUMMYFUNCTION("""COMPUTED_VALUE"""),"subpar")</f>
        <v>subpar</v>
      </c>
      <c r="CE67" s="22" t="s">
        <v>24</v>
      </c>
      <c r="CF67" s="24">
        <v>3.5</v>
      </c>
      <c r="CG67" s="22" t="b">
        <v>0</v>
      </c>
      <c r="CH67" s="22" t="b">
        <v>0</v>
      </c>
      <c r="CI67" s="22"/>
      <c r="CJ67" s="22">
        <v>0.0</v>
      </c>
      <c r="CK67" s="22">
        <v>1.0</v>
      </c>
      <c r="CL67" s="22">
        <v>0.0</v>
      </c>
      <c r="CM67" s="22">
        <v>0.0</v>
      </c>
      <c r="CN67" s="22">
        <v>0.0</v>
      </c>
      <c r="CO67" s="22">
        <v>0.0</v>
      </c>
      <c r="CP67" s="22">
        <v>0.0</v>
      </c>
      <c r="CQ67" s="22">
        <v>0.0</v>
      </c>
      <c r="CR67" s="22">
        <v>1.0</v>
      </c>
      <c r="CS67" s="22">
        <v>1.0</v>
      </c>
      <c r="CT67" s="22">
        <v>1.0</v>
      </c>
      <c r="CU67" s="22">
        <v>0.0</v>
      </c>
      <c r="CV67" s="22">
        <v>1.0</v>
      </c>
      <c r="CW67" s="22">
        <v>0.0</v>
      </c>
      <c r="CX67" s="22">
        <v>2.0</v>
      </c>
      <c r="CY67" s="22">
        <v>4.0</v>
      </c>
      <c r="CZ67" s="61">
        <v>2.5</v>
      </c>
      <c r="DA67" s="62" t="s">
        <v>568</v>
      </c>
    </row>
    <row r="68">
      <c r="A68" s="16" t="s">
        <v>170</v>
      </c>
      <c r="B68" s="16" t="s">
        <v>171</v>
      </c>
      <c r="C68" s="34" t="s">
        <v>31</v>
      </c>
      <c r="D68" s="16" t="s">
        <v>4</v>
      </c>
      <c r="E68" s="17" t="b">
        <f t="shared" ref="E68:K68" si="341">If(IFERROR(SEARCH(E$1, $D68),0) &gt;= 1, true,false)</f>
        <v>1</v>
      </c>
      <c r="F68" s="17" t="b">
        <f t="shared" si="341"/>
        <v>0</v>
      </c>
      <c r="G68" s="17" t="b">
        <f t="shared" si="341"/>
        <v>0</v>
      </c>
      <c r="H68" s="17" t="b">
        <f t="shared" si="341"/>
        <v>0</v>
      </c>
      <c r="I68" s="17" t="b">
        <f t="shared" si="341"/>
        <v>0</v>
      </c>
      <c r="J68" s="17" t="b">
        <f t="shared" si="341"/>
        <v>0</v>
      </c>
      <c r="K68" s="17" t="b">
        <f t="shared" si="341"/>
        <v>0</v>
      </c>
      <c r="L68" s="18" t="b">
        <v>1</v>
      </c>
      <c r="M68" s="18" t="b">
        <v>0</v>
      </c>
      <c r="N68" s="18" t="b">
        <v>1</v>
      </c>
      <c r="O68" s="18" t="b">
        <v>0</v>
      </c>
      <c r="P68" s="16" t="str">
        <f t="shared" si="7"/>
        <v>Kazerne Dossin</v>
      </c>
      <c r="Q68" s="19">
        <v>12.0</v>
      </c>
      <c r="R68" s="18" t="b">
        <v>0</v>
      </c>
      <c r="S68" s="18" t="b">
        <v>1</v>
      </c>
      <c r="T68" s="31">
        <v>10.0</v>
      </c>
      <c r="U68" s="21">
        <f t="shared" si="8"/>
        <v>0</v>
      </c>
      <c r="V68" s="21">
        <f t="shared" ref="V68:AB68" si="342">if(OR(AW68 = $AO$4, AW68 = $AQ$4), 1, 0)</f>
        <v>1</v>
      </c>
      <c r="W68" s="21">
        <f t="shared" si="342"/>
        <v>0</v>
      </c>
      <c r="X68" s="21">
        <f t="shared" si="342"/>
        <v>0</v>
      </c>
      <c r="Y68" s="21">
        <f t="shared" si="342"/>
        <v>0</v>
      </c>
      <c r="Z68" s="21">
        <f t="shared" si="342"/>
        <v>0</v>
      </c>
      <c r="AA68" s="21">
        <f t="shared" si="342"/>
        <v>0</v>
      </c>
      <c r="AB68" s="21">
        <f t="shared" si="342"/>
        <v>0</v>
      </c>
      <c r="AC68" s="21">
        <f t="shared" si="10"/>
        <v>1</v>
      </c>
      <c r="AD68" s="21">
        <f t="shared" si="11"/>
        <v>0</v>
      </c>
      <c r="AE68" s="21">
        <f t="shared" ref="AE68:AH68" si="343">if(OR(BD68 = $AO$6, BD68 = $AS$6, BD68 = $AT$6, BD68 = $AU$6), 1, 0)</f>
        <v>1</v>
      </c>
      <c r="AF68" s="21">
        <f t="shared" si="343"/>
        <v>0</v>
      </c>
      <c r="AG68" s="21">
        <f t="shared" si="343"/>
        <v>1</v>
      </c>
      <c r="AH68" s="21">
        <f t="shared" si="343"/>
        <v>0</v>
      </c>
      <c r="AI68" s="21">
        <f t="shared" si="13"/>
        <v>2</v>
      </c>
      <c r="AJ68" s="21">
        <f t="shared" si="14"/>
        <v>3</v>
      </c>
      <c r="AK68" s="59">
        <f t="shared" si="15"/>
        <v>1.875</v>
      </c>
      <c r="AL68" s="60" t="str">
        <f t="shared" si="16"/>
        <v>subpar</v>
      </c>
      <c r="AW68" s="22" t="str">
        <f t="shared" ref="AW68:BC68" si="344">IF(IFERROR(SEARCH(E$1, $D68),0) &gt;= 1, E$1,0)</f>
        <v>Geschiedenis en archeologie</v>
      </c>
      <c r="AX68" s="22">
        <f t="shared" si="344"/>
        <v>0</v>
      </c>
      <c r="AY68" s="22">
        <f t="shared" si="344"/>
        <v>0</v>
      </c>
      <c r="AZ68" s="22">
        <f t="shared" si="344"/>
        <v>0</v>
      </c>
      <c r="BA68" s="22">
        <f t="shared" si="344"/>
        <v>0</v>
      </c>
      <c r="BB68" s="22">
        <f t="shared" si="344"/>
        <v>0</v>
      </c>
      <c r="BC68" s="22">
        <f t="shared" si="344"/>
        <v>0</v>
      </c>
      <c r="BD68" s="22" t="str">
        <f t="shared" ref="BD68:BG68" si="345">IF(L68 = true, BD$1, 0)</f>
        <v>Shop</v>
      </c>
      <c r="BE68" s="22">
        <f t="shared" si="345"/>
        <v>0</v>
      </c>
      <c r="BF68" s="22" t="str">
        <f t="shared" si="345"/>
        <v>Parking</v>
      </c>
      <c r="BG68" s="22">
        <f t="shared" si="345"/>
        <v>0</v>
      </c>
      <c r="BH68" s="22" t="str">
        <f>IFERROR(__xludf.DUMMYFUNCTION("""COMPUTED_VALUE"""),"Citadel van Namen / Bezoekerscentrum Terra Nova en toeristentreintje")</f>
        <v>Citadel van Namen / Bezoekerscentrum Terra Nova en toeristentreintje</v>
      </c>
      <c r="BI68" s="24">
        <f>IFERROR(__xludf.DUMMYFUNCTION("""COMPUTED_VALUE"""),6.0)</f>
        <v>6</v>
      </c>
      <c r="BJ68" s="22" t="b">
        <f>IFERROR(__xludf.DUMMYFUNCTION("""COMPUTED_VALUE"""),FALSE)</f>
        <v>0</v>
      </c>
      <c r="BK68" s="22" t="b">
        <f>IFERROR(__xludf.DUMMYFUNCTION("""COMPUTED_VALUE"""),FALSE)</f>
        <v>0</v>
      </c>
      <c r="BL68" s="22"/>
      <c r="BM68" s="22">
        <f>IFERROR(__xludf.DUMMYFUNCTION("""COMPUTED_VALUE"""),0.0)</f>
        <v>0</v>
      </c>
      <c r="BN68" s="22">
        <f>IFERROR(__xludf.DUMMYFUNCTION("""COMPUTED_VALUE"""),1.0)</f>
        <v>1</v>
      </c>
      <c r="BO68" s="22">
        <f>IFERROR(__xludf.DUMMYFUNCTION("""COMPUTED_VALUE"""),0.0)</f>
        <v>0</v>
      </c>
      <c r="BP68" s="22">
        <f>IFERROR(__xludf.DUMMYFUNCTION("""COMPUTED_VALUE"""),0.0)</f>
        <v>0</v>
      </c>
      <c r="BQ68" s="22">
        <f>IFERROR(__xludf.DUMMYFUNCTION("""COMPUTED_VALUE"""),0.0)</f>
        <v>0</v>
      </c>
      <c r="BR68" s="22">
        <f>IFERROR(__xludf.DUMMYFUNCTION("""COMPUTED_VALUE"""),0.0)</f>
        <v>0</v>
      </c>
      <c r="BS68" s="22">
        <f>IFERROR(__xludf.DUMMYFUNCTION("""COMPUTED_VALUE"""),0.0)</f>
        <v>0</v>
      </c>
      <c r="BT68" s="22">
        <f>IFERROR(__xludf.DUMMYFUNCTION("""COMPUTED_VALUE"""),0.0)</f>
        <v>0</v>
      </c>
      <c r="BU68" s="22">
        <f>IFERROR(__xludf.DUMMYFUNCTION("""COMPUTED_VALUE"""),1.0)</f>
        <v>1</v>
      </c>
      <c r="BV68" s="22">
        <f>IFERROR(__xludf.DUMMYFUNCTION("""COMPUTED_VALUE"""),1.0)</f>
        <v>1</v>
      </c>
      <c r="BW68" s="22">
        <f>IFERROR(__xludf.DUMMYFUNCTION("""COMPUTED_VALUE"""),1.0)</f>
        <v>1</v>
      </c>
      <c r="BX68" s="22">
        <f>IFERROR(__xludf.DUMMYFUNCTION("""COMPUTED_VALUE"""),1.0)</f>
        <v>1</v>
      </c>
      <c r="BY68" s="22">
        <f>IFERROR(__xludf.DUMMYFUNCTION("""COMPUTED_VALUE"""),0.0)</f>
        <v>0</v>
      </c>
      <c r="BZ68" s="22">
        <f>IFERROR(__xludf.DUMMYFUNCTION("""COMPUTED_VALUE"""),0.0)</f>
        <v>0</v>
      </c>
      <c r="CA68" s="22">
        <f>IFERROR(__xludf.DUMMYFUNCTION("""COMPUTED_VALUE"""),2.0)</f>
        <v>2</v>
      </c>
      <c r="CB68" s="22">
        <f>IFERROR(__xludf.DUMMYFUNCTION("""COMPUTED_VALUE"""),4.0)</f>
        <v>4</v>
      </c>
      <c r="CC68" s="61">
        <f>IFERROR(__xludf.DUMMYFUNCTION("""COMPUTED_VALUE"""),2.5)</f>
        <v>2.5</v>
      </c>
      <c r="CD68" s="62" t="str">
        <f>IFERROR(__xludf.DUMMYFUNCTION("""COMPUTED_VALUE"""),"subpar")</f>
        <v>subpar</v>
      </c>
      <c r="CE68" s="22" t="s">
        <v>27</v>
      </c>
      <c r="CF68" s="24">
        <v>6.0</v>
      </c>
      <c r="CG68" s="22" t="b">
        <v>0</v>
      </c>
      <c r="CH68" s="22" t="b">
        <v>0</v>
      </c>
      <c r="CI68" s="22"/>
      <c r="CJ68" s="22">
        <v>0.0</v>
      </c>
      <c r="CK68" s="22">
        <v>1.0</v>
      </c>
      <c r="CL68" s="22">
        <v>0.0</v>
      </c>
      <c r="CM68" s="22">
        <v>0.0</v>
      </c>
      <c r="CN68" s="22">
        <v>0.0</v>
      </c>
      <c r="CO68" s="22">
        <v>0.0</v>
      </c>
      <c r="CP68" s="22">
        <v>0.0</v>
      </c>
      <c r="CQ68" s="22">
        <v>0.0</v>
      </c>
      <c r="CR68" s="22">
        <v>1.0</v>
      </c>
      <c r="CS68" s="22">
        <v>1.0</v>
      </c>
      <c r="CT68" s="22">
        <v>1.0</v>
      </c>
      <c r="CU68" s="22">
        <v>1.0</v>
      </c>
      <c r="CV68" s="22">
        <v>0.0</v>
      </c>
      <c r="CW68" s="22">
        <v>0.0</v>
      </c>
      <c r="CX68" s="22">
        <v>2.0</v>
      </c>
      <c r="CY68" s="22">
        <v>4.0</v>
      </c>
      <c r="CZ68" s="61">
        <v>2.5</v>
      </c>
      <c r="DA68" s="62" t="s">
        <v>568</v>
      </c>
    </row>
    <row r="69">
      <c r="A69" s="16" t="s">
        <v>172</v>
      </c>
      <c r="B69" s="16" t="s">
        <v>173</v>
      </c>
      <c r="C69" s="34" t="s">
        <v>31</v>
      </c>
      <c r="D69" s="16" t="s">
        <v>9</v>
      </c>
      <c r="E69" s="17" t="b">
        <f t="shared" ref="E69:K69" si="346">If(IFERROR(SEARCH(E$1, $D69),0) &gt;= 1, true,false)</f>
        <v>0</v>
      </c>
      <c r="F69" s="17" t="b">
        <f t="shared" si="346"/>
        <v>0</v>
      </c>
      <c r="G69" s="17" t="b">
        <f t="shared" si="346"/>
        <v>0</v>
      </c>
      <c r="H69" s="17" t="b">
        <f t="shared" si="346"/>
        <v>0</v>
      </c>
      <c r="I69" s="17" t="b">
        <f t="shared" si="346"/>
        <v>0</v>
      </c>
      <c r="J69" s="17" t="b">
        <f t="shared" si="346"/>
        <v>1</v>
      </c>
      <c r="K69" s="17" t="b">
        <f t="shared" si="346"/>
        <v>0</v>
      </c>
      <c r="L69" s="18" t="b">
        <v>1</v>
      </c>
      <c r="M69" s="18" t="b">
        <v>1</v>
      </c>
      <c r="N69" s="18" t="b">
        <v>0</v>
      </c>
      <c r="O69" s="18" t="b">
        <v>1</v>
      </c>
      <c r="P69" s="16" t="str">
        <f t="shared" si="7"/>
        <v>KMSKA | Koninklijk Museum voor Schone Kunsten Antwerpen</v>
      </c>
      <c r="Q69" s="19">
        <v>20.0</v>
      </c>
      <c r="R69" s="18" t="b">
        <v>0</v>
      </c>
      <c r="S69" s="18" t="b">
        <v>1</v>
      </c>
      <c r="T69" s="35">
        <v>20.0</v>
      </c>
      <c r="U69" s="21">
        <f t="shared" si="8"/>
        <v>0</v>
      </c>
      <c r="V69" s="21">
        <f t="shared" ref="V69:AB69" si="347">if(OR(AW69 = $AO$4, AW69 = $AQ$4), 1, 0)</f>
        <v>0</v>
      </c>
      <c r="W69" s="21">
        <f t="shared" si="347"/>
        <v>0</v>
      </c>
      <c r="X69" s="21">
        <f t="shared" si="347"/>
        <v>0</v>
      </c>
      <c r="Y69" s="21">
        <f t="shared" si="347"/>
        <v>0</v>
      </c>
      <c r="Z69" s="21">
        <f t="shared" si="347"/>
        <v>0</v>
      </c>
      <c r="AA69" s="21">
        <f t="shared" si="347"/>
        <v>1</v>
      </c>
      <c r="AB69" s="21">
        <f t="shared" si="347"/>
        <v>0</v>
      </c>
      <c r="AC69" s="21">
        <f t="shared" si="10"/>
        <v>1</v>
      </c>
      <c r="AD69" s="21">
        <f t="shared" si="11"/>
        <v>0</v>
      </c>
      <c r="AE69" s="21">
        <f t="shared" ref="AE69:AH69" si="348">if(OR(BD69 = $AO$6, BD69 = $AS$6, BD69 = $AT$6, BD69 = $AU$6), 1, 0)</f>
        <v>1</v>
      </c>
      <c r="AF69" s="21">
        <f t="shared" si="348"/>
        <v>1</v>
      </c>
      <c r="AG69" s="21">
        <f t="shared" si="348"/>
        <v>0</v>
      </c>
      <c r="AH69" s="21">
        <f t="shared" si="348"/>
        <v>1</v>
      </c>
      <c r="AI69" s="21">
        <f t="shared" si="13"/>
        <v>3</v>
      </c>
      <c r="AJ69" s="21">
        <f t="shared" si="14"/>
        <v>4</v>
      </c>
      <c r="AK69" s="59">
        <f t="shared" si="15"/>
        <v>2.5</v>
      </c>
      <c r="AL69" s="60" t="str">
        <f t="shared" si="16"/>
        <v>subpar</v>
      </c>
      <c r="AW69" s="22">
        <f t="shared" ref="AW69:BC69" si="349">IF(IFERROR(SEARCH(E$1, $D69),0) &gt;= 1, E$1,0)</f>
        <v>0</v>
      </c>
      <c r="AX69" s="22">
        <f t="shared" si="349"/>
        <v>0</v>
      </c>
      <c r="AY69" s="22">
        <f t="shared" si="349"/>
        <v>0</v>
      </c>
      <c r="AZ69" s="22">
        <f t="shared" si="349"/>
        <v>0</v>
      </c>
      <c r="BA69" s="22">
        <f t="shared" si="349"/>
        <v>0</v>
      </c>
      <c r="BB69" s="22" t="str">
        <f t="shared" si="349"/>
        <v>Beeldende kunst</v>
      </c>
      <c r="BC69" s="22">
        <f t="shared" si="349"/>
        <v>0</v>
      </c>
      <c r="BD69" s="22" t="str">
        <f t="shared" ref="BD69:BG69" si="350">IF(L69 = true, BD$1, 0)</f>
        <v>Shop</v>
      </c>
      <c r="BE69" s="22" t="str">
        <f t="shared" si="350"/>
        <v>Café</v>
      </c>
      <c r="BF69" s="22">
        <f t="shared" si="350"/>
        <v>0</v>
      </c>
      <c r="BG69" s="22" t="str">
        <f t="shared" si="350"/>
        <v>Restaurant</v>
      </c>
      <c r="BH69" s="22" t="str">
        <f>IFERROR(__xludf.DUMMYFUNCTION("""COMPUTED_VALUE"""),"NAM-IP Computermuseum")</f>
        <v>NAM-IP Computermuseum</v>
      </c>
      <c r="BI69" s="24">
        <f>IFERROR(__xludf.DUMMYFUNCTION("""COMPUTED_VALUE"""),8.0)</f>
        <v>8</v>
      </c>
      <c r="BJ69" s="22" t="b">
        <f>IFERROR(__xludf.DUMMYFUNCTION("""COMPUTED_VALUE"""),FALSE)</f>
        <v>0</v>
      </c>
      <c r="BK69" s="22" t="b">
        <f>IFERROR(__xludf.DUMMYFUNCTION("""COMPUTED_VALUE"""),FALSE)</f>
        <v>0</v>
      </c>
      <c r="BL69" s="22"/>
      <c r="BM69" s="22">
        <f>IFERROR(__xludf.DUMMYFUNCTION("""COMPUTED_VALUE"""),0.0)</f>
        <v>0</v>
      </c>
      <c r="BN69" s="22">
        <f>IFERROR(__xludf.DUMMYFUNCTION("""COMPUTED_VALUE"""),0.0)</f>
        <v>0</v>
      </c>
      <c r="BO69" s="22">
        <f>IFERROR(__xludf.DUMMYFUNCTION("""COMPUTED_VALUE"""),0.0)</f>
        <v>0</v>
      </c>
      <c r="BP69" s="22">
        <f>IFERROR(__xludf.DUMMYFUNCTION("""COMPUTED_VALUE"""),0.0)</f>
        <v>0</v>
      </c>
      <c r="BQ69" s="22">
        <f>IFERROR(__xludf.DUMMYFUNCTION("""COMPUTED_VALUE"""),0.0)</f>
        <v>0</v>
      </c>
      <c r="BR69" s="22">
        <f>IFERROR(__xludf.DUMMYFUNCTION("""COMPUTED_VALUE"""),0.0)</f>
        <v>0</v>
      </c>
      <c r="BS69" s="22">
        <f>IFERROR(__xludf.DUMMYFUNCTION("""COMPUTED_VALUE"""),0.0)</f>
        <v>0</v>
      </c>
      <c r="BT69" s="22">
        <f>IFERROR(__xludf.DUMMYFUNCTION("""COMPUTED_VALUE"""),0.0)</f>
        <v>0</v>
      </c>
      <c r="BU69" s="22">
        <f>IFERROR(__xludf.DUMMYFUNCTION("""COMPUTED_VALUE"""),0.0)</f>
        <v>0</v>
      </c>
      <c r="BV69" s="22">
        <f>IFERROR(__xludf.DUMMYFUNCTION("""COMPUTED_VALUE"""),1.0)</f>
        <v>1</v>
      </c>
      <c r="BW69" s="22">
        <f>IFERROR(__xludf.DUMMYFUNCTION("""COMPUTED_VALUE"""),1.0)</f>
        <v>1</v>
      </c>
      <c r="BX69" s="22">
        <f>IFERROR(__xludf.DUMMYFUNCTION("""COMPUTED_VALUE"""),1.0)</f>
        <v>1</v>
      </c>
      <c r="BY69" s="22">
        <f>IFERROR(__xludf.DUMMYFUNCTION("""COMPUTED_VALUE"""),1.0)</f>
        <v>1</v>
      </c>
      <c r="BZ69" s="22">
        <f>IFERROR(__xludf.DUMMYFUNCTION("""COMPUTED_VALUE"""),0.0)</f>
        <v>0</v>
      </c>
      <c r="CA69" s="22">
        <f>IFERROR(__xludf.DUMMYFUNCTION("""COMPUTED_VALUE"""),3.0)</f>
        <v>3</v>
      </c>
      <c r="CB69" s="22">
        <f>IFERROR(__xludf.DUMMYFUNCTION("""COMPUTED_VALUE"""),4.0)</f>
        <v>4</v>
      </c>
      <c r="CC69" s="61">
        <f>IFERROR(__xludf.DUMMYFUNCTION("""COMPUTED_VALUE"""),2.5)</f>
        <v>2.5</v>
      </c>
      <c r="CD69" s="62" t="str">
        <f>IFERROR(__xludf.DUMMYFUNCTION("""COMPUTED_VALUE"""),"subpar")</f>
        <v>subpar</v>
      </c>
      <c r="CE69" s="22" t="s">
        <v>29</v>
      </c>
      <c r="CF69" s="24">
        <v>8.0</v>
      </c>
      <c r="CG69" s="22" t="b">
        <v>0</v>
      </c>
      <c r="CH69" s="22" t="b">
        <v>0</v>
      </c>
      <c r="CI69" s="22"/>
      <c r="CJ69" s="22">
        <v>0.0</v>
      </c>
      <c r="CK69" s="22">
        <v>0.0</v>
      </c>
      <c r="CL69" s="22">
        <v>0.0</v>
      </c>
      <c r="CM69" s="22">
        <v>0.0</v>
      </c>
      <c r="CN69" s="22">
        <v>0.0</v>
      </c>
      <c r="CO69" s="22">
        <v>0.0</v>
      </c>
      <c r="CP69" s="22">
        <v>0.0</v>
      </c>
      <c r="CQ69" s="22">
        <v>0.0</v>
      </c>
      <c r="CR69" s="22">
        <v>0.0</v>
      </c>
      <c r="CS69" s="22">
        <v>1.0</v>
      </c>
      <c r="CT69" s="22">
        <v>1.0</v>
      </c>
      <c r="CU69" s="22">
        <v>1.0</v>
      </c>
      <c r="CV69" s="22">
        <v>1.0</v>
      </c>
      <c r="CW69" s="22">
        <v>0.0</v>
      </c>
      <c r="CX69" s="22">
        <v>3.0</v>
      </c>
      <c r="CY69" s="22">
        <v>4.0</v>
      </c>
      <c r="CZ69" s="61">
        <v>2.5</v>
      </c>
      <c r="DA69" s="62" t="s">
        <v>568</v>
      </c>
    </row>
    <row r="70">
      <c r="A70" s="16" t="s">
        <v>174</v>
      </c>
      <c r="B70" s="16"/>
      <c r="C70" s="34" t="s">
        <v>31</v>
      </c>
      <c r="D70" s="16" t="s">
        <v>9</v>
      </c>
      <c r="E70" s="17" t="b">
        <f t="shared" ref="E70:K70" si="351">If(IFERROR(SEARCH(E$1, $D70),0) &gt;= 1, true,false)</f>
        <v>0</v>
      </c>
      <c r="F70" s="17" t="b">
        <f t="shared" si="351"/>
        <v>0</v>
      </c>
      <c r="G70" s="17" t="b">
        <f t="shared" si="351"/>
        <v>0</v>
      </c>
      <c r="H70" s="17" t="b">
        <f t="shared" si="351"/>
        <v>0</v>
      </c>
      <c r="I70" s="17" t="b">
        <f t="shared" si="351"/>
        <v>0</v>
      </c>
      <c r="J70" s="17" t="b">
        <f t="shared" si="351"/>
        <v>1</v>
      </c>
      <c r="K70" s="17" t="b">
        <f t="shared" si="351"/>
        <v>0</v>
      </c>
      <c r="L70" s="18" t="b">
        <v>1</v>
      </c>
      <c r="M70" s="18" t="b">
        <v>1</v>
      </c>
      <c r="N70" s="18" t="b">
        <v>0</v>
      </c>
      <c r="O70" s="18" t="b">
        <v>0</v>
      </c>
      <c r="P70" s="16" t="str">
        <f t="shared" si="7"/>
        <v>Kunsthal Extra City</v>
      </c>
      <c r="Q70" s="19">
        <v>7.0</v>
      </c>
      <c r="R70" s="18" t="b">
        <v>0</v>
      </c>
      <c r="S70" s="18" t="b">
        <v>1</v>
      </c>
      <c r="T70" s="31">
        <v>7.0</v>
      </c>
      <c r="U70" s="21">
        <f t="shared" si="8"/>
        <v>0</v>
      </c>
      <c r="V70" s="21">
        <f t="shared" ref="V70:AB70" si="352">if(OR(AW70 = $AO$4, AW70 = $AQ$4), 1, 0)</f>
        <v>0</v>
      </c>
      <c r="W70" s="21">
        <f t="shared" si="352"/>
        <v>0</v>
      </c>
      <c r="X70" s="21">
        <f t="shared" si="352"/>
        <v>0</v>
      </c>
      <c r="Y70" s="21">
        <f t="shared" si="352"/>
        <v>0</v>
      </c>
      <c r="Z70" s="21">
        <f t="shared" si="352"/>
        <v>0</v>
      </c>
      <c r="AA70" s="21">
        <f t="shared" si="352"/>
        <v>1</v>
      </c>
      <c r="AB70" s="21">
        <f t="shared" si="352"/>
        <v>0</v>
      </c>
      <c r="AC70" s="21">
        <f t="shared" si="10"/>
        <v>1</v>
      </c>
      <c r="AD70" s="21">
        <f t="shared" si="11"/>
        <v>1</v>
      </c>
      <c r="AE70" s="21">
        <f t="shared" ref="AE70:AH70" si="353">if(OR(BD70 = $AO$6, BD70 = $AS$6, BD70 = $AT$6, BD70 = $AU$6), 1, 0)</f>
        <v>1</v>
      </c>
      <c r="AF70" s="21">
        <f t="shared" si="353"/>
        <v>1</v>
      </c>
      <c r="AG70" s="21">
        <f t="shared" si="353"/>
        <v>0</v>
      </c>
      <c r="AH70" s="21">
        <f t="shared" si="353"/>
        <v>0</v>
      </c>
      <c r="AI70" s="21">
        <f t="shared" si="13"/>
        <v>2</v>
      </c>
      <c r="AJ70" s="21">
        <f t="shared" si="14"/>
        <v>4</v>
      </c>
      <c r="AK70" s="59">
        <f t="shared" si="15"/>
        <v>2.5</v>
      </c>
      <c r="AL70" s="60" t="str">
        <f t="shared" si="16"/>
        <v>subpar</v>
      </c>
      <c r="AW70" s="22">
        <f t="shared" ref="AW70:BC70" si="354">IF(IFERROR(SEARCH(E$1, $D70),0) &gt;= 1, E$1,0)</f>
        <v>0</v>
      </c>
      <c r="AX70" s="22">
        <f t="shared" si="354"/>
        <v>0</v>
      </c>
      <c r="AY70" s="22">
        <f t="shared" si="354"/>
        <v>0</v>
      </c>
      <c r="AZ70" s="22">
        <f t="shared" si="354"/>
        <v>0</v>
      </c>
      <c r="BA70" s="22">
        <f t="shared" si="354"/>
        <v>0</v>
      </c>
      <c r="BB70" s="22" t="str">
        <f t="shared" si="354"/>
        <v>Beeldende kunst</v>
      </c>
      <c r="BC70" s="22">
        <f t="shared" si="354"/>
        <v>0</v>
      </c>
      <c r="BD70" s="22" t="str">
        <f t="shared" ref="BD70:BG70" si="355">IF(L70 = true, BD$1, 0)</f>
        <v>Shop</v>
      </c>
      <c r="BE70" s="22" t="str">
        <f t="shared" si="355"/>
        <v>Café</v>
      </c>
      <c r="BF70" s="22">
        <f t="shared" si="355"/>
        <v>0</v>
      </c>
      <c r="BG70" s="22">
        <f t="shared" si="355"/>
        <v>0</v>
      </c>
      <c r="BH70" s="22" t="str">
        <f>IFERROR(__xludf.DUMMYFUNCTION("""COMPUTED_VALUE"""),"Le Delta")</f>
        <v>Le Delta</v>
      </c>
      <c r="BI70" s="24">
        <f>IFERROR(__xludf.DUMMYFUNCTION("""COMPUTED_VALUE"""),5.0)</f>
        <v>5</v>
      </c>
      <c r="BJ70" s="22" t="b">
        <f>IFERROR(__xludf.DUMMYFUNCTION("""COMPUTED_VALUE"""),FALSE)</f>
        <v>0</v>
      </c>
      <c r="BK70" s="22" t="b">
        <f>IFERROR(__xludf.DUMMYFUNCTION("""COMPUTED_VALUE"""),TRUE)</f>
        <v>1</v>
      </c>
      <c r="BL70" s="24">
        <f>IFERROR(__xludf.DUMMYFUNCTION("""COMPUTED_VALUE"""),5.0)</f>
        <v>5</v>
      </c>
      <c r="BM70" s="22">
        <f>IFERROR(__xludf.DUMMYFUNCTION("""COMPUTED_VALUE"""),0.0)</f>
        <v>0</v>
      </c>
      <c r="BN70" s="22">
        <f>IFERROR(__xludf.DUMMYFUNCTION("""COMPUTED_VALUE"""),0.0)</f>
        <v>0</v>
      </c>
      <c r="BO70" s="22">
        <f>IFERROR(__xludf.DUMMYFUNCTION("""COMPUTED_VALUE"""),0.0)</f>
        <v>0</v>
      </c>
      <c r="BP70" s="22">
        <f>IFERROR(__xludf.DUMMYFUNCTION("""COMPUTED_VALUE"""),0.0)</f>
        <v>0</v>
      </c>
      <c r="BQ70" s="22">
        <f>IFERROR(__xludf.DUMMYFUNCTION("""COMPUTED_VALUE"""),0.0)</f>
        <v>0</v>
      </c>
      <c r="BR70" s="22">
        <f>IFERROR(__xludf.DUMMYFUNCTION("""COMPUTED_VALUE"""),0.0)</f>
        <v>0</v>
      </c>
      <c r="BS70" s="22">
        <f>IFERROR(__xludf.DUMMYFUNCTION("""COMPUTED_VALUE"""),1.0)</f>
        <v>1</v>
      </c>
      <c r="BT70" s="22">
        <f>IFERROR(__xludf.DUMMYFUNCTION("""COMPUTED_VALUE"""),0.0)</f>
        <v>0</v>
      </c>
      <c r="BU70" s="22">
        <f>IFERROR(__xludf.DUMMYFUNCTION("""COMPUTED_VALUE"""),1.0)</f>
        <v>1</v>
      </c>
      <c r="BV70" s="22">
        <f>IFERROR(__xludf.DUMMYFUNCTION("""COMPUTED_VALUE"""),1.0)</f>
        <v>1</v>
      </c>
      <c r="BW70" s="22">
        <f>IFERROR(__xludf.DUMMYFUNCTION("""COMPUTED_VALUE"""),1.0)</f>
        <v>1</v>
      </c>
      <c r="BX70" s="22">
        <f>IFERROR(__xludf.DUMMYFUNCTION("""COMPUTED_VALUE"""),0.0)</f>
        <v>0</v>
      </c>
      <c r="BY70" s="22">
        <f>IFERROR(__xludf.DUMMYFUNCTION("""COMPUTED_VALUE"""),0.0)</f>
        <v>0</v>
      </c>
      <c r="BZ70" s="22">
        <f>IFERROR(__xludf.DUMMYFUNCTION("""COMPUTED_VALUE"""),1.0)</f>
        <v>1</v>
      </c>
      <c r="CA70" s="22">
        <f>IFERROR(__xludf.DUMMYFUNCTION("""COMPUTED_VALUE"""),2.0)</f>
        <v>2</v>
      </c>
      <c r="CB70" s="22">
        <f>IFERROR(__xludf.DUMMYFUNCTION("""COMPUTED_VALUE"""),4.0)</f>
        <v>4</v>
      </c>
      <c r="CC70" s="61">
        <f>IFERROR(__xludf.DUMMYFUNCTION("""COMPUTED_VALUE"""),2.5)</f>
        <v>2.5</v>
      </c>
      <c r="CD70" s="62" t="str">
        <f>IFERROR(__xludf.DUMMYFUNCTION("""COMPUTED_VALUE"""),"subpar")</f>
        <v>subpar</v>
      </c>
      <c r="CE70" s="22" t="s">
        <v>39</v>
      </c>
      <c r="CF70" s="24">
        <v>5.0</v>
      </c>
      <c r="CG70" s="22" t="b">
        <v>0</v>
      </c>
      <c r="CH70" s="22" t="b">
        <v>1</v>
      </c>
      <c r="CI70" s="24">
        <v>5.0</v>
      </c>
      <c r="CJ70" s="22">
        <v>0.0</v>
      </c>
      <c r="CK70" s="22">
        <v>0.0</v>
      </c>
      <c r="CL70" s="22">
        <v>0.0</v>
      </c>
      <c r="CM70" s="22">
        <v>0.0</v>
      </c>
      <c r="CN70" s="22">
        <v>0.0</v>
      </c>
      <c r="CO70" s="22">
        <v>0.0</v>
      </c>
      <c r="CP70" s="22">
        <v>1.0</v>
      </c>
      <c r="CQ70" s="22">
        <v>0.0</v>
      </c>
      <c r="CR70" s="22">
        <v>1.0</v>
      </c>
      <c r="CS70" s="22">
        <v>1.0</v>
      </c>
      <c r="CT70" s="22">
        <v>1.0</v>
      </c>
      <c r="CU70" s="22">
        <v>0.0</v>
      </c>
      <c r="CV70" s="22">
        <v>0.0</v>
      </c>
      <c r="CW70" s="22">
        <v>1.0</v>
      </c>
      <c r="CX70" s="22">
        <v>2.0</v>
      </c>
      <c r="CY70" s="22">
        <v>4.0</v>
      </c>
      <c r="CZ70" s="61">
        <v>2.5</v>
      </c>
      <c r="DA70" s="62" t="s">
        <v>568</v>
      </c>
    </row>
    <row r="71">
      <c r="A71" s="16" t="s">
        <v>175</v>
      </c>
      <c r="B71" s="16" t="s">
        <v>176</v>
      </c>
      <c r="C71" s="34" t="s">
        <v>31</v>
      </c>
      <c r="D71" s="16" t="s">
        <v>9</v>
      </c>
      <c r="E71" s="17" t="b">
        <f t="shared" ref="E71:K71" si="356">If(IFERROR(SEARCH(E$1, $D71),0) &gt;= 1, true,false)</f>
        <v>0</v>
      </c>
      <c r="F71" s="17" t="b">
        <f t="shared" si="356"/>
        <v>0</v>
      </c>
      <c r="G71" s="17" t="b">
        <f t="shared" si="356"/>
        <v>0</v>
      </c>
      <c r="H71" s="17" t="b">
        <f t="shared" si="356"/>
        <v>0</v>
      </c>
      <c r="I71" s="17" t="b">
        <f t="shared" si="356"/>
        <v>0</v>
      </c>
      <c r="J71" s="17" t="b">
        <f t="shared" si="356"/>
        <v>1</v>
      </c>
      <c r="K71" s="17" t="b">
        <f t="shared" si="356"/>
        <v>0</v>
      </c>
      <c r="L71" s="18" t="b">
        <v>1</v>
      </c>
      <c r="M71" s="18" t="b">
        <v>1</v>
      </c>
      <c r="N71" s="18" t="b">
        <v>0</v>
      </c>
      <c r="O71" s="18" t="b">
        <v>0</v>
      </c>
      <c r="P71" s="16" t="str">
        <f t="shared" si="7"/>
        <v>Kunsthal Mechelen</v>
      </c>
      <c r="Q71" s="19">
        <v>5.0</v>
      </c>
      <c r="R71" s="18" t="b">
        <v>0</v>
      </c>
      <c r="S71" s="18" t="b">
        <v>1</v>
      </c>
      <c r="T71" s="31">
        <v>5.0</v>
      </c>
      <c r="U71" s="21">
        <f t="shared" si="8"/>
        <v>0</v>
      </c>
      <c r="V71" s="21">
        <f t="shared" ref="V71:AB71" si="357">if(OR(AW71 = $AO$4, AW71 = $AQ$4), 1, 0)</f>
        <v>0</v>
      </c>
      <c r="W71" s="21">
        <f t="shared" si="357"/>
        <v>0</v>
      </c>
      <c r="X71" s="21">
        <f t="shared" si="357"/>
        <v>0</v>
      </c>
      <c r="Y71" s="21">
        <f t="shared" si="357"/>
        <v>0</v>
      </c>
      <c r="Z71" s="21">
        <f t="shared" si="357"/>
        <v>0</v>
      </c>
      <c r="AA71" s="21">
        <f t="shared" si="357"/>
        <v>1</v>
      </c>
      <c r="AB71" s="21">
        <f t="shared" si="357"/>
        <v>0</v>
      </c>
      <c r="AC71" s="21">
        <f t="shared" si="10"/>
        <v>1</v>
      </c>
      <c r="AD71" s="21">
        <f t="shared" si="11"/>
        <v>1</v>
      </c>
      <c r="AE71" s="21">
        <f t="shared" ref="AE71:AH71" si="358">if(OR(BD71 = $AO$6, BD71 = $AS$6, BD71 = $AT$6, BD71 = $AU$6), 1, 0)</f>
        <v>1</v>
      </c>
      <c r="AF71" s="21">
        <f t="shared" si="358"/>
        <v>1</v>
      </c>
      <c r="AG71" s="21">
        <f t="shared" si="358"/>
        <v>0</v>
      </c>
      <c r="AH71" s="21">
        <f t="shared" si="358"/>
        <v>0</v>
      </c>
      <c r="AI71" s="21">
        <f t="shared" si="13"/>
        <v>2</v>
      </c>
      <c r="AJ71" s="21">
        <f t="shared" si="14"/>
        <v>4</v>
      </c>
      <c r="AK71" s="59">
        <f t="shared" si="15"/>
        <v>2.5</v>
      </c>
      <c r="AL71" s="60" t="str">
        <f t="shared" si="16"/>
        <v>subpar</v>
      </c>
      <c r="AW71" s="22">
        <f t="shared" ref="AW71:BC71" si="359">IF(IFERROR(SEARCH(E$1, $D71),0) &gt;= 1, E$1,0)</f>
        <v>0</v>
      </c>
      <c r="AX71" s="22">
        <f t="shared" si="359"/>
        <v>0</v>
      </c>
      <c r="AY71" s="22">
        <f t="shared" si="359"/>
        <v>0</v>
      </c>
      <c r="AZ71" s="22">
        <f t="shared" si="359"/>
        <v>0</v>
      </c>
      <c r="BA71" s="22">
        <f t="shared" si="359"/>
        <v>0</v>
      </c>
      <c r="BB71" s="22" t="str">
        <f t="shared" si="359"/>
        <v>Beeldende kunst</v>
      </c>
      <c r="BC71" s="22">
        <f t="shared" si="359"/>
        <v>0</v>
      </c>
      <c r="BD71" s="22" t="str">
        <f t="shared" ref="BD71:BG71" si="360">IF(L71 = true, BD$1, 0)</f>
        <v>Shop</v>
      </c>
      <c r="BE71" s="22" t="str">
        <f t="shared" si="360"/>
        <v>Café</v>
      </c>
      <c r="BF71" s="22">
        <f t="shared" si="360"/>
        <v>0</v>
      </c>
      <c r="BG71" s="22">
        <f t="shared" si="360"/>
        <v>0</v>
      </c>
      <c r="BH71" s="22" t="str">
        <f>IFERROR(__xludf.DUMMYFUNCTION("""COMPUTED_VALUE"""),"Maison du patrimoine médiéval mosan")</f>
        <v>Maison du patrimoine médiéval mosan</v>
      </c>
      <c r="BI71" s="24">
        <f>IFERROR(__xludf.DUMMYFUNCTION("""COMPUTED_VALUE"""),6.0)</f>
        <v>6</v>
      </c>
      <c r="BJ71" s="22" t="b">
        <f>IFERROR(__xludf.DUMMYFUNCTION("""COMPUTED_VALUE"""),FALSE)</f>
        <v>0</v>
      </c>
      <c r="BK71" s="22" t="b">
        <f>IFERROR(__xludf.DUMMYFUNCTION("""COMPUTED_VALUE"""),TRUE)</f>
        <v>1</v>
      </c>
      <c r="BL71" s="24">
        <f>IFERROR(__xludf.DUMMYFUNCTION("""COMPUTED_VALUE"""),6.0)</f>
        <v>6</v>
      </c>
      <c r="BM71" s="22">
        <f>IFERROR(__xludf.DUMMYFUNCTION("""COMPUTED_VALUE"""),0.0)</f>
        <v>0</v>
      </c>
      <c r="BN71" s="22">
        <f>IFERROR(__xludf.DUMMYFUNCTION("""COMPUTED_VALUE"""),1.0)</f>
        <v>1</v>
      </c>
      <c r="BO71" s="22">
        <f>IFERROR(__xludf.DUMMYFUNCTION("""COMPUTED_VALUE"""),0.0)</f>
        <v>0</v>
      </c>
      <c r="BP71" s="22">
        <f>IFERROR(__xludf.DUMMYFUNCTION("""COMPUTED_VALUE"""),0.0)</f>
        <v>0</v>
      </c>
      <c r="BQ71" s="22">
        <f>IFERROR(__xludf.DUMMYFUNCTION("""COMPUTED_VALUE"""),0.0)</f>
        <v>0</v>
      </c>
      <c r="BR71" s="22">
        <f>IFERROR(__xludf.DUMMYFUNCTION("""COMPUTED_VALUE"""),0.0)</f>
        <v>0</v>
      </c>
      <c r="BS71" s="22">
        <f>IFERROR(__xludf.DUMMYFUNCTION("""COMPUTED_VALUE"""),0.0)</f>
        <v>0</v>
      </c>
      <c r="BT71" s="22">
        <f>IFERROR(__xludf.DUMMYFUNCTION("""COMPUTED_VALUE"""),0.0)</f>
        <v>0</v>
      </c>
      <c r="BU71" s="22">
        <f>IFERROR(__xludf.DUMMYFUNCTION("""COMPUTED_VALUE"""),1.0)</f>
        <v>1</v>
      </c>
      <c r="BV71" s="22">
        <f>IFERROR(__xludf.DUMMYFUNCTION("""COMPUTED_VALUE"""),1.0)</f>
        <v>1</v>
      </c>
      <c r="BW71" s="22">
        <f>IFERROR(__xludf.DUMMYFUNCTION("""COMPUTED_VALUE"""),1.0)</f>
        <v>1</v>
      </c>
      <c r="BX71" s="22">
        <f>IFERROR(__xludf.DUMMYFUNCTION("""COMPUTED_VALUE"""),0.0)</f>
        <v>0</v>
      </c>
      <c r="BY71" s="22">
        <f>IFERROR(__xludf.DUMMYFUNCTION("""COMPUTED_VALUE"""),1.0)</f>
        <v>1</v>
      </c>
      <c r="BZ71" s="22">
        <f>IFERROR(__xludf.DUMMYFUNCTION("""COMPUTED_VALUE"""),0.0)</f>
        <v>0</v>
      </c>
      <c r="CA71" s="22">
        <f>IFERROR(__xludf.DUMMYFUNCTION("""COMPUTED_VALUE"""),2.0)</f>
        <v>2</v>
      </c>
      <c r="CB71" s="22">
        <f>IFERROR(__xludf.DUMMYFUNCTION("""COMPUTED_VALUE"""),4.0)</f>
        <v>4</v>
      </c>
      <c r="CC71" s="61">
        <f>IFERROR(__xludf.DUMMYFUNCTION("""COMPUTED_VALUE"""),2.5)</f>
        <v>2.5</v>
      </c>
      <c r="CD71" s="62" t="str">
        <f>IFERROR(__xludf.DUMMYFUNCTION("""COMPUTED_VALUE"""),"subpar")</f>
        <v>subpar</v>
      </c>
      <c r="CE71" s="22" t="s">
        <v>44</v>
      </c>
      <c r="CF71" s="24">
        <v>6.0</v>
      </c>
      <c r="CG71" s="22" t="b">
        <v>0</v>
      </c>
      <c r="CH71" s="22" t="b">
        <v>1</v>
      </c>
      <c r="CI71" s="24">
        <v>6.0</v>
      </c>
      <c r="CJ71" s="22">
        <v>0.0</v>
      </c>
      <c r="CK71" s="22">
        <v>1.0</v>
      </c>
      <c r="CL71" s="22">
        <v>0.0</v>
      </c>
      <c r="CM71" s="22">
        <v>0.0</v>
      </c>
      <c r="CN71" s="22">
        <v>0.0</v>
      </c>
      <c r="CO71" s="22">
        <v>0.0</v>
      </c>
      <c r="CP71" s="22">
        <v>0.0</v>
      </c>
      <c r="CQ71" s="22">
        <v>0.0</v>
      </c>
      <c r="CR71" s="22">
        <v>1.0</v>
      </c>
      <c r="CS71" s="22">
        <v>1.0</v>
      </c>
      <c r="CT71" s="22">
        <v>1.0</v>
      </c>
      <c r="CU71" s="22">
        <v>0.0</v>
      </c>
      <c r="CV71" s="22">
        <v>1.0</v>
      </c>
      <c r="CW71" s="22">
        <v>0.0</v>
      </c>
      <c r="CX71" s="22">
        <v>2.0</v>
      </c>
      <c r="CY71" s="22">
        <v>4.0</v>
      </c>
      <c r="CZ71" s="61">
        <v>2.5</v>
      </c>
      <c r="DA71" s="62" t="s">
        <v>568</v>
      </c>
    </row>
    <row r="72">
      <c r="A72" s="16" t="s">
        <v>177</v>
      </c>
      <c r="B72" s="16"/>
      <c r="C72" s="34" t="s">
        <v>31</v>
      </c>
      <c r="D72" s="16" t="s">
        <v>79</v>
      </c>
      <c r="E72" s="17" t="b">
        <f t="shared" ref="E72:K72" si="361">If(IFERROR(SEARCH(E$1, $D72),0) &gt;= 1, true,false)</f>
        <v>1</v>
      </c>
      <c r="F72" s="17" t="b">
        <f t="shared" si="361"/>
        <v>0</v>
      </c>
      <c r="G72" s="17" t="b">
        <f t="shared" si="361"/>
        <v>0</v>
      </c>
      <c r="H72" s="17" t="b">
        <f t="shared" si="361"/>
        <v>0</v>
      </c>
      <c r="I72" s="17" t="b">
        <f t="shared" si="361"/>
        <v>0</v>
      </c>
      <c r="J72" s="17" t="b">
        <f t="shared" si="361"/>
        <v>1</v>
      </c>
      <c r="K72" s="17" t="b">
        <f t="shared" si="361"/>
        <v>1</v>
      </c>
      <c r="L72" s="18" t="b">
        <v>1</v>
      </c>
      <c r="M72" s="18" t="b">
        <v>1</v>
      </c>
      <c r="N72" s="18" t="b">
        <v>0</v>
      </c>
      <c r="O72" s="18" t="b">
        <v>1</v>
      </c>
      <c r="P72" s="16" t="str">
        <f t="shared" si="7"/>
        <v>MAS | Museum aan de Stroom</v>
      </c>
      <c r="Q72" s="19">
        <v>10.0</v>
      </c>
      <c r="R72" s="18" t="b">
        <v>0</v>
      </c>
      <c r="S72" s="18" t="b">
        <v>1</v>
      </c>
      <c r="T72" s="35">
        <v>10.0</v>
      </c>
      <c r="U72" s="21">
        <f t="shared" si="8"/>
        <v>0</v>
      </c>
      <c r="V72" s="21">
        <f t="shared" ref="V72:AB72" si="362">if(OR(AW72 = $AO$4, AW72 = $AQ$4), 1, 0)</f>
        <v>1</v>
      </c>
      <c r="W72" s="21">
        <f t="shared" si="362"/>
        <v>0</v>
      </c>
      <c r="X72" s="21">
        <f t="shared" si="362"/>
        <v>0</v>
      </c>
      <c r="Y72" s="21">
        <f t="shared" si="362"/>
        <v>0</v>
      </c>
      <c r="Z72" s="21">
        <f t="shared" si="362"/>
        <v>0</v>
      </c>
      <c r="AA72" s="21">
        <f t="shared" si="362"/>
        <v>1</v>
      </c>
      <c r="AB72" s="21">
        <f t="shared" si="362"/>
        <v>0</v>
      </c>
      <c r="AC72" s="21">
        <f t="shared" si="10"/>
        <v>2</v>
      </c>
      <c r="AD72" s="21">
        <f t="shared" si="11"/>
        <v>1</v>
      </c>
      <c r="AE72" s="21">
        <f t="shared" ref="AE72:AH72" si="363">if(OR(BD72 = $AO$6, BD72 = $AS$6, BD72 = $AT$6, BD72 = $AU$6), 1, 0)</f>
        <v>1</v>
      </c>
      <c r="AF72" s="21">
        <f t="shared" si="363"/>
        <v>1</v>
      </c>
      <c r="AG72" s="21">
        <f t="shared" si="363"/>
        <v>0</v>
      </c>
      <c r="AH72" s="21">
        <f t="shared" si="363"/>
        <v>1</v>
      </c>
      <c r="AI72" s="21">
        <f t="shared" si="13"/>
        <v>3</v>
      </c>
      <c r="AJ72" s="21">
        <f t="shared" si="14"/>
        <v>6</v>
      </c>
      <c r="AK72" s="59">
        <f t="shared" si="15"/>
        <v>3.75</v>
      </c>
      <c r="AL72" s="60" t="str">
        <f t="shared" si="16"/>
        <v>good</v>
      </c>
      <c r="AW72" s="22" t="str">
        <f t="shared" ref="AW72:BC72" si="364">IF(IFERROR(SEARCH(E$1, $D72),0) &gt;= 1, E$1,0)</f>
        <v>Geschiedenis en archeologie</v>
      </c>
      <c r="AX72" s="22">
        <f t="shared" si="364"/>
        <v>0</v>
      </c>
      <c r="AY72" s="22">
        <f t="shared" si="364"/>
        <v>0</v>
      </c>
      <c r="AZ72" s="22">
        <f t="shared" si="364"/>
        <v>0</v>
      </c>
      <c r="BA72" s="22">
        <f t="shared" si="364"/>
        <v>0</v>
      </c>
      <c r="BB72" s="22" t="str">
        <f t="shared" si="364"/>
        <v>Beeldende kunst</v>
      </c>
      <c r="BC72" s="22" t="str">
        <f t="shared" si="364"/>
        <v>Toegepaste kunst en design</v>
      </c>
      <c r="BD72" s="22" t="str">
        <f t="shared" ref="BD72:BG72" si="365">IF(L72 = true, BD$1, 0)</f>
        <v>Shop</v>
      </c>
      <c r="BE72" s="22" t="str">
        <f t="shared" si="365"/>
        <v>Café</v>
      </c>
      <c r="BF72" s="22">
        <f t="shared" si="365"/>
        <v>0</v>
      </c>
      <c r="BG72" s="22" t="str">
        <f t="shared" si="365"/>
        <v>Restaurant</v>
      </c>
      <c r="BH72" s="22" t="str">
        <f>IFERROR(__xludf.DUMMYFUNCTION("""COMPUTED_VALUE"""),"Aardbeimuseum")</f>
        <v>Aardbeimuseum</v>
      </c>
      <c r="BI72" s="24">
        <f>IFERROR(__xludf.DUMMYFUNCTION("""COMPUTED_VALUE"""),6.0)</f>
        <v>6</v>
      </c>
      <c r="BJ72" s="22" t="b">
        <f>IFERROR(__xludf.DUMMYFUNCTION("""COMPUTED_VALUE"""),FALSE)</f>
        <v>0</v>
      </c>
      <c r="BK72" s="22" t="b">
        <f>IFERROR(__xludf.DUMMYFUNCTION("""COMPUTED_VALUE"""),FALSE)</f>
        <v>0</v>
      </c>
      <c r="BL72" s="22"/>
      <c r="BM72" s="22">
        <f>IFERROR(__xludf.DUMMYFUNCTION("""COMPUTED_VALUE"""),0.0)</f>
        <v>0</v>
      </c>
      <c r="BN72" s="22">
        <f>IFERROR(__xludf.DUMMYFUNCTION("""COMPUTED_VALUE"""),1.0)</f>
        <v>1</v>
      </c>
      <c r="BO72" s="22">
        <f>IFERROR(__xludf.DUMMYFUNCTION("""COMPUTED_VALUE"""),0.0)</f>
        <v>0</v>
      </c>
      <c r="BP72" s="22">
        <f>IFERROR(__xludf.DUMMYFUNCTION("""COMPUTED_VALUE"""),0.0)</f>
        <v>0</v>
      </c>
      <c r="BQ72" s="22">
        <f>IFERROR(__xludf.DUMMYFUNCTION("""COMPUTED_VALUE"""),0.0)</f>
        <v>0</v>
      </c>
      <c r="BR72" s="22">
        <f>IFERROR(__xludf.DUMMYFUNCTION("""COMPUTED_VALUE"""),0.0)</f>
        <v>0</v>
      </c>
      <c r="BS72" s="22">
        <f>IFERROR(__xludf.DUMMYFUNCTION("""COMPUTED_VALUE"""),1.0)</f>
        <v>1</v>
      </c>
      <c r="BT72" s="22">
        <f>IFERROR(__xludf.DUMMYFUNCTION("""COMPUTED_VALUE"""),0.0)</f>
        <v>0</v>
      </c>
      <c r="BU72" s="22">
        <f>IFERROR(__xludf.DUMMYFUNCTION("""COMPUTED_VALUE"""),2.0)</f>
        <v>2</v>
      </c>
      <c r="BV72" s="22">
        <f>IFERROR(__xludf.DUMMYFUNCTION("""COMPUTED_VALUE"""),1.0)</f>
        <v>1</v>
      </c>
      <c r="BW72" s="22">
        <f>IFERROR(__xludf.DUMMYFUNCTION("""COMPUTED_VALUE"""),1.0)</f>
        <v>1</v>
      </c>
      <c r="BX72" s="22">
        <f>IFERROR(__xludf.DUMMYFUNCTION("""COMPUTED_VALUE"""),0.0)</f>
        <v>0</v>
      </c>
      <c r="BY72" s="22">
        <f>IFERROR(__xludf.DUMMYFUNCTION("""COMPUTED_VALUE"""),0.0)</f>
        <v>0</v>
      </c>
      <c r="BZ72" s="22">
        <f>IFERROR(__xludf.DUMMYFUNCTION("""COMPUTED_VALUE"""),0.0)</f>
        <v>0</v>
      </c>
      <c r="CA72" s="22">
        <f>IFERROR(__xludf.DUMMYFUNCTION("""COMPUTED_VALUE"""),1.0)</f>
        <v>1</v>
      </c>
      <c r="CB72" s="22">
        <f>IFERROR(__xludf.DUMMYFUNCTION("""COMPUTED_VALUE"""),4.0)</f>
        <v>4</v>
      </c>
      <c r="CC72" s="61">
        <f>IFERROR(__xludf.DUMMYFUNCTION("""COMPUTED_VALUE"""),2.5)</f>
        <v>2.5</v>
      </c>
      <c r="CD72" s="62" t="str">
        <f>IFERROR(__xludf.DUMMYFUNCTION("""COMPUTED_VALUE"""),"subpar")</f>
        <v>subpar</v>
      </c>
      <c r="CE72" s="22" t="s">
        <v>52</v>
      </c>
      <c r="CF72" s="24">
        <v>6.0</v>
      </c>
      <c r="CG72" s="22" t="b">
        <v>0</v>
      </c>
      <c r="CH72" s="22" t="b">
        <v>0</v>
      </c>
      <c r="CI72" s="22"/>
      <c r="CJ72" s="22">
        <v>0.0</v>
      </c>
      <c r="CK72" s="22">
        <v>1.0</v>
      </c>
      <c r="CL72" s="22">
        <v>0.0</v>
      </c>
      <c r="CM72" s="22">
        <v>0.0</v>
      </c>
      <c r="CN72" s="22">
        <v>0.0</v>
      </c>
      <c r="CO72" s="22">
        <v>0.0</v>
      </c>
      <c r="CP72" s="22">
        <v>1.0</v>
      </c>
      <c r="CQ72" s="22">
        <v>0.0</v>
      </c>
      <c r="CR72" s="22">
        <v>2.0</v>
      </c>
      <c r="CS72" s="22">
        <v>1.0</v>
      </c>
      <c r="CT72" s="22">
        <v>1.0</v>
      </c>
      <c r="CU72" s="22">
        <v>0.0</v>
      </c>
      <c r="CV72" s="22">
        <v>0.0</v>
      </c>
      <c r="CW72" s="22">
        <v>0.0</v>
      </c>
      <c r="CX72" s="22">
        <v>1.0</v>
      </c>
      <c r="CY72" s="22">
        <v>4.0</v>
      </c>
      <c r="CZ72" s="61">
        <v>2.5</v>
      </c>
      <c r="DA72" s="62" t="s">
        <v>568</v>
      </c>
    </row>
    <row r="73">
      <c r="A73" s="16" t="s">
        <v>178</v>
      </c>
      <c r="B73" s="16" t="s">
        <v>179</v>
      </c>
      <c r="C73" s="34" t="s">
        <v>31</v>
      </c>
      <c r="D73" s="16" t="s">
        <v>180</v>
      </c>
      <c r="E73" s="17" t="b">
        <f t="shared" ref="E73:K73" si="366">If(IFERROR(SEARCH(E$1, $D73),0) &gt;= 1, true,false)</f>
        <v>0</v>
      </c>
      <c r="F73" s="17" t="b">
        <f t="shared" si="366"/>
        <v>0</v>
      </c>
      <c r="G73" s="17" t="b">
        <f t="shared" si="366"/>
        <v>0</v>
      </c>
      <c r="H73" s="17" t="b">
        <f t="shared" si="366"/>
        <v>0</v>
      </c>
      <c r="I73" s="17" t="b">
        <f t="shared" si="366"/>
        <v>0</v>
      </c>
      <c r="J73" s="17" t="b">
        <f t="shared" si="366"/>
        <v>1</v>
      </c>
      <c r="K73" s="17" t="b">
        <f t="shared" si="366"/>
        <v>1</v>
      </c>
      <c r="L73" s="18" t="b">
        <v>1</v>
      </c>
      <c r="M73" s="18" t="b">
        <v>1</v>
      </c>
      <c r="N73" s="18" t="b">
        <v>0</v>
      </c>
      <c r="O73" s="18" t="b">
        <v>0</v>
      </c>
      <c r="P73" s="16" t="str">
        <f t="shared" si="7"/>
        <v>M HKA | Museum van Hedendaagse Kunst Antwerpen</v>
      </c>
      <c r="Q73" s="19">
        <v>14.0</v>
      </c>
      <c r="R73" s="18" t="b">
        <v>0</v>
      </c>
      <c r="S73" s="18" t="b">
        <v>1</v>
      </c>
      <c r="T73" s="31">
        <v>14.0</v>
      </c>
      <c r="U73" s="21">
        <f t="shared" si="8"/>
        <v>0</v>
      </c>
      <c r="V73" s="21">
        <f t="shared" ref="V73:AB73" si="367">if(OR(AW73 = $AO$4, AW73 = $AQ$4), 1, 0)</f>
        <v>0</v>
      </c>
      <c r="W73" s="21">
        <f t="shared" si="367"/>
        <v>0</v>
      </c>
      <c r="X73" s="21">
        <f t="shared" si="367"/>
        <v>0</v>
      </c>
      <c r="Y73" s="21">
        <f t="shared" si="367"/>
        <v>0</v>
      </c>
      <c r="Z73" s="21">
        <f t="shared" si="367"/>
        <v>0</v>
      </c>
      <c r="AA73" s="21">
        <f t="shared" si="367"/>
        <v>1</v>
      </c>
      <c r="AB73" s="21">
        <f t="shared" si="367"/>
        <v>0</v>
      </c>
      <c r="AC73" s="21">
        <f t="shared" si="10"/>
        <v>1</v>
      </c>
      <c r="AD73" s="21">
        <f t="shared" si="11"/>
        <v>0</v>
      </c>
      <c r="AE73" s="21">
        <f t="shared" ref="AE73:AH73" si="368">if(OR(BD73 = $AO$6, BD73 = $AS$6, BD73 = $AT$6, BD73 = $AU$6), 1, 0)</f>
        <v>1</v>
      </c>
      <c r="AF73" s="21">
        <f t="shared" si="368"/>
        <v>1</v>
      </c>
      <c r="AG73" s="21">
        <f t="shared" si="368"/>
        <v>0</v>
      </c>
      <c r="AH73" s="21">
        <f t="shared" si="368"/>
        <v>0</v>
      </c>
      <c r="AI73" s="21">
        <f t="shared" si="13"/>
        <v>2</v>
      </c>
      <c r="AJ73" s="21">
        <f t="shared" si="14"/>
        <v>3</v>
      </c>
      <c r="AK73" s="59">
        <f t="shared" si="15"/>
        <v>1.875</v>
      </c>
      <c r="AL73" s="60" t="str">
        <f t="shared" si="16"/>
        <v>subpar</v>
      </c>
      <c r="AW73" s="22">
        <f t="shared" ref="AW73:BC73" si="369">IF(IFERROR(SEARCH(E$1, $D73),0) &gt;= 1, E$1,0)</f>
        <v>0</v>
      </c>
      <c r="AX73" s="22">
        <f t="shared" si="369"/>
        <v>0</v>
      </c>
      <c r="AY73" s="22">
        <f t="shared" si="369"/>
        <v>0</v>
      </c>
      <c r="AZ73" s="22">
        <f t="shared" si="369"/>
        <v>0</v>
      </c>
      <c r="BA73" s="22">
        <f t="shared" si="369"/>
        <v>0</v>
      </c>
      <c r="BB73" s="22" t="str">
        <f t="shared" si="369"/>
        <v>Beeldende kunst</v>
      </c>
      <c r="BC73" s="22" t="str">
        <f t="shared" si="369"/>
        <v>Toegepaste kunst en design</v>
      </c>
      <c r="BD73" s="22" t="str">
        <f t="shared" ref="BD73:BG73" si="370">IF(L73 = true, BD$1, 0)</f>
        <v>Shop</v>
      </c>
      <c r="BE73" s="22" t="str">
        <f t="shared" si="370"/>
        <v>Café</v>
      </c>
      <c r="BF73" s="22">
        <f t="shared" si="370"/>
        <v>0</v>
      </c>
      <c r="BG73" s="22">
        <f t="shared" si="370"/>
        <v>0</v>
      </c>
      <c r="BH73" s="22" t="str">
        <f>IFERROR(__xludf.DUMMYFUNCTION("""COMPUTED_VALUE"""),"Abdijmuseum Ten Duinen")</f>
        <v>Abdijmuseum Ten Duinen</v>
      </c>
      <c r="BI73" s="24">
        <f>IFERROR(__xludf.DUMMYFUNCTION("""COMPUTED_VALUE"""),10.0)</f>
        <v>10</v>
      </c>
      <c r="BJ73" s="22" t="b">
        <f>IFERROR(__xludf.DUMMYFUNCTION("""COMPUTED_VALUE"""),FALSE)</f>
        <v>0</v>
      </c>
      <c r="BK73" s="22" t="b">
        <f>IFERROR(__xludf.DUMMYFUNCTION("""COMPUTED_VALUE"""),TRUE)</f>
        <v>1</v>
      </c>
      <c r="BL73" s="24">
        <f>IFERROR(__xludf.DUMMYFUNCTION("""COMPUTED_VALUE"""),10.0)</f>
        <v>10</v>
      </c>
      <c r="BM73" s="22">
        <f>IFERROR(__xludf.DUMMYFUNCTION("""COMPUTED_VALUE"""),0.0)</f>
        <v>0</v>
      </c>
      <c r="BN73" s="22">
        <f>IFERROR(__xludf.DUMMYFUNCTION("""COMPUTED_VALUE"""),1.0)</f>
        <v>1</v>
      </c>
      <c r="BO73" s="22">
        <f>IFERROR(__xludf.DUMMYFUNCTION("""COMPUTED_VALUE"""),0.0)</f>
        <v>0</v>
      </c>
      <c r="BP73" s="22">
        <f>IFERROR(__xludf.DUMMYFUNCTION("""COMPUTED_VALUE"""),0.0)</f>
        <v>0</v>
      </c>
      <c r="BQ73" s="22">
        <f>IFERROR(__xludf.DUMMYFUNCTION("""COMPUTED_VALUE"""),0.0)</f>
        <v>0</v>
      </c>
      <c r="BR73" s="22">
        <f>IFERROR(__xludf.DUMMYFUNCTION("""COMPUTED_VALUE"""),0.0)</f>
        <v>0</v>
      </c>
      <c r="BS73" s="22">
        <f>IFERROR(__xludf.DUMMYFUNCTION("""COMPUTED_VALUE"""),0.0)</f>
        <v>0</v>
      </c>
      <c r="BT73" s="22">
        <f>IFERROR(__xludf.DUMMYFUNCTION("""COMPUTED_VALUE"""),0.0)</f>
        <v>0</v>
      </c>
      <c r="BU73" s="22">
        <f>IFERROR(__xludf.DUMMYFUNCTION("""COMPUTED_VALUE"""),1.0)</f>
        <v>1</v>
      </c>
      <c r="BV73" s="22">
        <f>IFERROR(__xludf.DUMMYFUNCTION("""COMPUTED_VALUE"""),1.0)</f>
        <v>1</v>
      </c>
      <c r="BW73" s="22">
        <f>IFERROR(__xludf.DUMMYFUNCTION("""COMPUTED_VALUE"""),1.0)</f>
        <v>1</v>
      </c>
      <c r="BX73" s="22">
        <f>IFERROR(__xludf.DUMMYFUNCTION("""COMPUTED_VALUE"""),0.0)</f>
        <v>0</v>
      </c>
      <c r="BY73" s="22">
        <f>IFERROR(__xludf.DUMMYFUNCTION("""COMPUTED_VALUE"""),1.0)</f>
        <v>1</v>
      </c>
      <c r="BZ73" s="22">
        <f>IFERROR(__xludf.DUMMYFUNCTION("""COMPUTED_VALUE"""),0.0)</f>
        <v>0</v>
      </c>
      <c r="CA73" s="22">
        <f>IFERROR(__xludf.DUMMYFUNCTION("""COMPUTED_VALUE"""),2.0)</f>
        <v>2</v>
      </c>
      <c r="CB73" s="22">
        <f>IFERROR(__xludf.DUMMYFUNCTION("""COMPUTED_VALUE"""),4.0)</f>
        <v>4</v>
      </c>
      <c r="CC73" s="61">
        <f>IFERROR(__xludf.DUMMYFUNCTION("""COMPUTED_VALUE"""),2.5)</f>
        <v>2.5</v>
      </c>
      <c r="CD73" s="62" t="str">
        <f>IFERROR(__xludf.DUMMYFUNCTION("""COMPUTED_VALUE"""),"subpar")</f>
        <v>subpar</v>
      </c>
      <c r="CE73" s="22" t="s">
        <v>63</v>
      </c>
      <c r="CF73" s="24">
        <v>10.0</v>
      </c>
      <c r="CG73" s="22" t="b">
        <v>0</v>
      </c>
      <c r="CH73" s="22" t="b">
        <v>1</v>
      </c>
      <c r="CI73" s="24">
        <v>10.0</v>
      </c>
      <c r="CJ73" s="22">
        <v>0.0</v>
      </c>
      <c r="CK73" s="22">
        <v>1.0</v>
      </c>
      <c r="CL73" s="22">
        <v>0.0</v>
      </c>
      <c r="CM73" s="22">
        <v>0.0</v>
      </c>
      <c r="CN73" s="22">
        <v>0.0</v>
      </c>
      <c r="CO73" s="22">
        <v>0.0</v>
      </c>
      <c r="CP73" s="22">
        <v>0.0</v>
      </c>
      <c r="CQ73" s="22">
        <v>0.0</v>
      </c>
      <c r="CR73" s="22">
        <v>1.0</v>
      </c>
      <c r="CS73" s="22">
        <v>1.0</v>
      </c>
      <c r="CT73" s="22">
        <v>1.0</v>
      </c>
      <c r="CU73" s="22">
        <v>0.0</v>
      </c>
      <c r="CV73" s="22">
        <v>1.0</v>
      </c>
      <c r="CW73" s="22">
        <v>0.0</v>
      </c>
      <c r="CX73" s="22">
        <v>2.0</v>
      </c>
      <c r="CY73" s="22">
        <v>4.0</v>
      </c>
      <c r="CZ73" s="61">
        <v>2.5</v>
      </c>
      <c r="DA73" s="62" t="s">
        <v>568</v>
      </c>
    </row>
    <row r="74">
      <c r="A74" s="16" t="s">
        <v>181</v>
      </c>
      <c r="B74" s="16" t="s">
        <v>182</v>
      </c>
      <c r="C74" s="34" t="s">
        <v>31</v>
      </c>
      <c r="D74" s="16" t="s">
        <v>180</v>
      </c>
      <c r="E74" s="17" t="b">
        <f t="shared" ref="E74:K74" si="371">If(IFERROR(SEARCH(E$1, $D74),0) &gt;= 1, true,false)</f>
        <v>0</v>
      </c>
      <c r="F74" s="17" t="b">
        <f t="shared" si="371"/>
        <v>0</v>
      </c>
      <c r="G74" s="17" t="b">
        <f t="shared" si="371"/>
        <v>0</v>
      </c>
      <c r="H74" s="17" t="b">
        <f t="shared" si="371"/>
        <v>0</v>
      </c>
      <c r="I74" s="17" t="b">
        <f t="shared" si="371"/>
        <v>0</v>
      </c>
      <c r="J74" s="17" t="b">
        <f t="shared" si="371"/>
        <v>1</v>
      </c>
      <c r="K74" s="17" t="b">
        <f t="shared" si="371"/>
        <v>1</v>
      </c>
      <c r="L74" s="18" t="b">
        <v>1</v>
      </c>
      <c r="M74" s="18" t="b">
        <v>1</v>
      </c>
      <c r="N74" s="18" t="b">
        <v>0</v>
      </c>
      <c r="O74" s="18" t="b">
        <v>0</v>
      </c>
      <c r="P74" s="16" t="str">
        <f t="shared" si="7"/>
        <v>Middelheimmuseum</v>
      </c>
      <c r="Q74" s="19">
        <v>0.0</v>
      </c>
      <c r="R74" s="20" t="b">
        <v>0</v>
      </c>
      <c r="S74" s="18" t="b">
        <v>1</v>
      </c>
      <c r="T74" s="29">
        <v>0.0</v>
      </c>
      <c r="U74" s="21">
        <f t="shared" si="8"/>
        <v>0</v>
      </c>
      <c r="V74" s="21">
        <f t="shared" ref="V74:AB74" si="372">if(OR(AW74 = $AO$4, AW74 = $AQ$4), 1, 0)</f>
        <v>0</v>
      </c>
      <c r="W74" s="21">
        <f t="shared" si="372"/>
        <v>0</v>
      </c>
      <c r="X74" s="21">
        <f t="shared" si="372"/>
        <v>0</v>
      </c>
      <c r="Y74" s="21">
        <f t="shared" si="372"/>
        <v>0</v>
      </c>
      <c r="Z74" s="21">
        <f t="shared" si="372"/>
        <v>0</v>
      </c>
      <c r="AA74" s="21">
        <f t="shared" si="372"/>
        <v>1</v>
      </c>
      <c r="AB74" s="21">
        <f t="shared" si="372"/>
        <v>0</v>
      </c>
      <c r="AC74" s="21">
        <f t="shared" si="10"/>
        <v>1</v>
      </c>
      <c r="AD74" s="21">
        <f t="shared" si="11"/>
        <v>1</v>
      </c>
      <c r="AE74" s="21">
        <f t="shared" ref="AE74:AH74" si="373">if(OR(BD74 = $AO$6, BD74 = $AS$6, BD74 = $AT$6, BD74 = $AU$6), 1, 0)</f>
        <v>1</v>
      </c>
      <c r="AF74" s="21">
        <f t="shared" si="373"/>
        <v>1</v>
      </c>
      <c r="AG74" s="21">
        <f t="shared" si="373"/>
        <v>0</v>
      </c>
      <c r="AH74" s="21">
        <f t="shared" si="373"/>
        <v>0</v>
      </c>
      <c r="AI74" s="21">
        <f t="shared" si="13"/>
        <v>2</v>
      </c>
      <c r="AJ74" s="21">
        <f t="shared" si="14"/>
        <v>4</v>
      </c>
      <c r="AK74" s="59">
        <f t="shared" si="15"/>
        <v>2.5</v>
      </c>
      <c r="AL74" s="60" t="str">
        <f t="shared" si="16"/>
        <v>subpar</v>
      </c>
      <c r="AW74" s="22">
        <f t="shared" ref="AW74:BC74" si="374">IF(IFERROR(SEARCH(E$1, $D74),0) &gt;= 1, E$1,0)</f>
        <v>0</v>
      </c>
      <c r="AX74" s="22">
        <f t="shared" si="374"/>
        <v>0</v>
      </c>
      <c r="AY74" s="22">
        <f t="shared" si="374"/>
        <v>0</v>
      </c>
      <c r="AZ74" s="22">
        <f t="shared" si="374"/>
        <v>0</v>
      </c>
      <c r="BA74" s="22">
        <f t="shared" si="374"/>
        <v>0</v>
      </c>
      <c r="BB74" s="22" t="str">
        <f t="shared" si="374"/>
        <v>Beeldende kunst</v>
      </c>
      <c r="BC74" s="22" t="str">
        <f t="shared" si="374"/>
        <v>Toegepaste kunst en design</v>
      </c>
      <c r="BD74" s="22" t="str">
        <f t="shared" ref="BD74:BG74" si="375">IF(L74 = true, BD$1, 0)</f>
        <v>Shop</v>
      </c>
      <c r="BE74" s="22" t="str">
        <f t="shared" si="375"/>
        <v>Café</v>
      </c>
      <c r="BF74" s="22">
        <f t="shared" si="375"/>
        <v>0</v>
      </c>
      <c r="BG74" s="22">
        <f t="shared" si="375"/>
        <v>0</v>
      </c>
      <c r="BH74" s="22" t="str">
        <f>IFERROR(__xludf.DUMMYFUNCTION("""COMPUTED_VALUE"""),"Eperon d’Or")</f>
        <v>Eperon d’Or</v>
      </c>
      <c r="BI74" s="24">
        <f>IFERROR(__xludf.DUMMYFUNCTION("""COMPUTED_VALUE"""),8.0)</f>
        <v>8</v>
      </c>
      <c r="BJ74" s="22" t="b">
        <f>IFERROR(__xludf.DUMMYFUNCTION("""COMPUTED_VALUE"""),FALSE)</f>
        <v>0</v>
      </c>
      <c r="BK74" s="22" t="b">
        <f>IFERROR(__xludf.DUMMYFUNCTION("""COMPUTED_VALUE"""),TRUE)</f>
        <v>1</v>
      </c>
      <c r="BL74" s="24">
        <f>IFERROR(__xludf.DUMMYFUNCTION("""COMPUTED_VALUE"""),8.0)</f>
        <v>8</v>
      </c>
      <c r="BM74" s="22">
        <f>IFERROR(__xludf.DUMMYFUNCTION("""COMPUTED_VALUE"""),0.0)</f>
        <v>0</v>
      </c>
      <c r="BN74" s="22">
        <f>IFERROR(__xludf.DUMMYFUNCTION("""COMPUTED_VALUE"""),1.0)</f>
        <v>1</v>
      </c>
      <c r="BO74" s="22">
        <f>IFERROR(__xludf.DUMMYFUNCTION("""COMPUTED_VALUE"""),0.0)</f>
        <v>0</v>
      </c>
      <c r="BP74" s="22">
        <f>IFERROR(__xludf.DUMMYFUNCTION("""COMPUTED_VALUE"""),0.0)</f>
        <v>0</v>
      </c>
      <c r="BQ74" s="22">
        <f>IFERROR(__xludf.DUMMYFUNCTION("""COMPUTED_VALUE"""),0.0)</f>
        <v>0</v>
      </c>
      <c r="BR74" s="22">
        <f>IFERROR(__xludf.DUMMYFUNCTION("""COMPUTED_VALUE"""),0.0)</f>
        <v>0</v>
      </c>
      <c r="BS74" s="22">
        <f>IFERROR(__xludf.DUMMYFUNCTION("""COMPUTED_VALUE"""),0.0)</f>
        <v>0</v>
      </c>
      <c r="BT74" s="22">
        <f>IFERROR(__xludf.DUMMYFUNCTION("""COMPUTED_VALUE"""),0.0)</f>
        <v>0</v>
      </c>
      <c r="BU74" s="22">
        <f>IFERROR(__xludf.DUMMYFUNCTION("""COMPUTED_VALUE"""),1.0)</f>
        <v>1</v>
      </c>
      <c r="BV74" s="22">
        <f>IFERROR(__xludf.DUMMYFUNCTION("""COMPUTED_VALUE"""),1.0)</f>
        <v>1</v>
      </c>
      <c r="BW74" s="22">
        <f>IFERROR(__xludf.DUMMYFUNCTION("""COMPUTED_VALUE"""),1.0)</f>
        <v>1</v>
      </c>
      <c r="BX74" s="22">
        <f>IFERROR(__xludf.DUMMYFUNCTION("""COMPUTED_VALUE"""),0.0)</f>
        <v>0</v>
      </c>
      <c r="BY74" s="22">
        <f>IFERROR(__xludf.DUMMYFUNCTION("""COMPUTED_VALUE"""),1.0)</f>
        <v>1</v>
      </c>
      <c r="BZ74" s="22">
        <f>IFERROR(__xludf.DUMMYFUNCTION("""COMPUTED_VALUE"""),0.0)</f>
        <v>0</v>
      </c>
      <c r="CA74" s="22">
        <f>IFERROR(__xludf.DUMMYFUNCTION("""COMPUTED_VALUE"""),2.0)</f>
        <v>2</v>
      </c>
      <c r="CB74" s="22">
        <f>IFERROR(__xludf.DUMMYFUNCTION("""COMPUTED_VALUE"""),4.0)</f>
        <v>4</v>
      </c>
      <c r="CC74" s="61">
        <f>IFERROR(__xludf.DUMMYFUNCTION("""COMPUTED_VALUE"""),2.5)</f>
        <v>2.5</v>
      </c>
      <c r="CD74" s="62" t="str">
        <f>IFERROR(__xludf.DUMMYFUNCTION("""COMPUTED_VALUE"""),"subpar")</f>
        <v>subpar</v>
      </c>
      <c r="CE74" s="22" t="s">
        <v>82</v>
      </c>
      <c r="CF74" s="24">
        <v>8.0</v>
      </c>
      <c r="CG74" s="22" t="b">
        <v>0</v>
      </c>
      <c r="CH74" s="22" t="b">
        <v>1</v>
      </c>
      <c r="CI74" s="24">
        <v>8.0</v>
      </c>
      <c r="CJ74" s="22">
        <v>0.0</v>
      </c>
      <c r="CK74" s="22">
        <v>1.0</v>
      </c>
      <c r="CL74" s="22">
        <v>0.0</v>
      </c>
      <c r="CM74" s="22">
        <v>0.0</v>
      </c>
      <c r="CN74" s="22">
        <v>0.0</v>
      </c>
      <c r="CO74" s="22">
        <v>0.0</v>
      </c>
      <c r="CP74" s="22">
        <v>0.0</v>
      </c>
      <c r="CQ74" s="22">
        <v>0.0</v>
      </c>
      <c r="CR74" s="22">
        <v>1.0</v>
      </c>
      <c r="CS74" s="22">
        <v>1.0</v>
      </c>
      <c r="CT74" s="22">
        <v>1.0</v>
      </c>
      <c r="CU74" s="22">
        <v>0.0</v>
      </c>
      <c r="CV74" s="22">
        <v>1.0</v>
      </c>
      <c r="CW74" s="22">
        <v>0.0</v>
      </c>
      <c r="CX74" s="22">
        <v>2.0</v>
      </c>
      <c r="CY74" s="22">
        <v>4.0</v>
      </c>
      <c r="CZ74" s="61">
        <v>2.5</v>
      </c>
      <c r="DA74" s="62" t="s">
        <v>568</v>
      </c>
    </row>
    <row r="75">
      <c r="A75" s="16" t="s">
        <v>183</v>
      </c>
      <c r="B75" s="16" t="s">
        <v>184</v>
      </c>
      <c r="C75" s="34" t="s">
        <v>31</v>
      </c>
      <c r="D75" s="16" t="s">
        <v>185</v>
      </c>
      <c r="E75" s="17" t="b">
        <f t="shared" ref="E75:K75" si="376">If(IFERROR(SEARCH(E$1, $D75),0) &gt;= 1, true,false)</f>
        <v>0</v>
      </c>
      <c r="F75" s="17" t="b">
        <f t="shared" si="376"/>
        <v>0</v>
      </c>
      <c r="G75" s="17" t="b">
        <f t="shared" si="376"/>
        <v>1</v>
      </c>
      <c r="H75" s="17" t="b">
        <f t="shared" si="376"/>
        <v>0</v>
      </c>
      <c r="I75" s="17" t="b">
        <f t="shared" si="376"/>
        <v>0</v>
      </c>
      <c r="J75" s="17" t="b">
        <f t="shared" si="376"/>
        <v>0</v>
      </c>
      <c r="K75" s="17" t="b">
        <f t="shared" si="376"/>
        <v>1</v>
      </c>
      <c r="L75" s="18" t="b">
        <v>1</v>
      </c>
      <c r="M75" s="18" t="b">
        <v>1</v>
      </c>
      <c r="N75" s="18" t="b">
        <v>0</v>
      </c>
      <c r="O75" s="18" t="b">
        <v>0</v>
      </c>
      <c r="P75" s="16" t="str">
        <f t="shared" si="7"/>
        <v>MoMu | ModeMuseum Antwerpen</v>
      </c>
      <c r="Q75" s="19">
        <v>12.0</v>
      </c>
      <c r="R75" s="20" t="b">
        <v>0</v>
      </c>
      <c r="S75" s="18" t="b">
        <v>1</v>
      </c>
      <c r="T75" s="30">
        <v>12.0</v>
      </c>
      <c r="U75" s="21">
        <f t="shared" si="8"/>
        <v>0</v>
      </c>
      <c r="V75" s="21">
        <f t="shared" ref="V75:AB75" si="377">if(OR(AW75 = $AO$4, AW75 = $AQ$4), 1, 0)</f>
        <v>0</v>
      </c>
      <c r="W75" s="21">
        <f t="shared" si="377"/>
        <v>0</v>
      </c>
      <c r="X75" s="21">
        <f t="shared" si="377"/>
        <v>0</v>
      </c>
      <c r="Y75" s="21">
        <f t="shared" si="377"/>
        <v>0</v>
      </c>
      <c r="Z75" s="21">
        <f t="shared" si="377"/>
        <v>0</v>
      </c>
      <c r="AA75" s="21">
        <f t="shared" si="377"/>
        <v>0</v>
      </c>
      <c r="AB75" s="21">
        <f t="shared" si="377"/>
        <v>0</v>
      </c>
      <c r="AC75" s="21">
        <f t="shared" si="10"/>
        <v>0</v>
      </c>
      <c r="AD75" s="21">
        <f t="shared" si="11"/>
        <v>0</v>
      </c>
      <c r="AE75" s="21">
        <f t="shared" ref="AE75:AH75" si="378">if(OR(BD75 = $AO$6, BD75 = $AS$6, BD75 = $AT$6, BD75 = $AU$6), 1, 0)</f>
        <v>1</v>
      </c>
      <c r="AF75" s="21">
        <f t="shared" si="378"/>
        <v>1</v>
      </c>
      <c r="AG75" s="21">
        <f t="shared" si="378"/>
        <v>0</v>
      </c>
      <c r="AH75" s="21">
        <f t="shared" si="378"/>
        <v>0</v>
      </c>
      <c r="AI75" s="21">
        <f t="shared" si="13"/>
        <v>2</v>
      </c>
      <c r="AJ75" s="21">
        <f t="shared" si="14"/>
        <v>2</v>
      </c>
      <c r="AK75" s="59">
        <f t="shared" si="15"/>
        <v>1.25</v>
      </c>
      <c r="AL75" s="60" t="str">
        <f t="shared" si="16"/>
        <v>subpar</v>
      </c>
      <c r="AW75" s="22">
        <f t="shared" ref="AW75:BC75" si="379">IF(IFERROR(SEARCH(E$1, $D75),0) &gt;= 1, E$1,0)</f>
        <v>0</v>
      </c>
      <c r="AX75" s="22">
        <f t="shared" si="379"/>
        <v>0</v>
      </c>
      <c r="AY75" s="22" t="str">
        <f t="shared" si="379"/>
        <v>Mode</v>
      </c>
      <c r="AZ75" s="22">
        <f t="shared" si="379"/>
        <v>0</v>
      </c>
      <c r="BA75" s="22">
        <f t="shared" si="379"/>
        <v>0</v>
      </c>
      <c r="BB75" s="22">
        <f t="shared" si="379"/>
        <v>0</v>
      </c>
      <c r="BC75" s="22" t="str">
        <f t="shared" si="379"/>
        <v>Toegepaste kunst en design</v>
      </c>
      <c r="BD75" s="22" t="str">
        <f t="shared" ref="BD75:BG75" si="380">IF(L75 = true, BD$1, 0)</f>
        <v>Shop</v>
      </c>
      <c r="BE75" s="22" t="str">
        <f t="shared" si="380"/>
        <v>Café</v>
      </c>
      <c r="BF75" s="22">
        <f t="shared" si="380"/>
        <v>0</v>
      </c>
      <c r="BG75" s="22">
        <f t="shared" si="380"/>
        <v>0</v>
      </c>
      <c r="BH75" s="22" t="str">
        <f>IFERROR(__xludf.DUMMYFUNCTION("""COMPUTED_VALUE"""),"Het Lijsternest | Streuvelshuis &amp; Schrijversresidentie")</f>
        <v>Het Lijsternest | Streuvelshuis &amp; Schrijversresidentie</v>
      </c>
      <c r="BI75" s="24">
        <f>IFERROR(__xludf.DUMMYFUNCTION("""COMPUTED_VALUE"""),3.0)</f>
        <v>3</v>
      </c>
      <c r="BJ75" s="22" t="b">
        <f>IFERROR(__xludf.DUMMYFUNCTION("""COMPUTED_VALUE"""),TRUE)</f>
        <v>1</v>
      </c>
      <c r="BK75" s="22" t="b">
        <f>IFERROR(__xludf.DUMMYFUNCTION("""COMPUTED_VALUE"""),FALSE)</f>
        <v>0</v>
      </c>
      <c r="BL75" s="22"/>
      <c r="BM75" s="22">
        <f>IFERROR(__xludf.DUMMYFUNCTION("""COMPUTED_VALUE"""),0.0)</f>
        <v>0</v>
      </c>
      <c r="BN75" s="22">
        <f>IFERROR(__xludf.DUMMYFUNCTION("""COMPUTED_VALUE"""),0.0)</f>
        <v>0</v>
      </c>
      <c r="BO75" s="22">
        <f>IFERROR(__xludf.DUMMYFUNCTION("""COMPUTED_VALUE"""),0.0)</f>
        <v>0</v>
      </c>
      <c r="BP75" s="22">
        <f>IFERROR(__xludf.DUMMYFUNCTION("""COMPUTED_VALUE"""),0.0)</f>
        <v>0</v>
      </c>
      <c r="BQ75" s="22">
        <f>IFERROR(__xludf.DUMMYFUNCTION("""COMPUTED_VALUE"""),0.0)</f>
        <v>0</v>
      </c>
      <c r="BR75" s="22">
        <f>IFERROR(__xludf.DUMMYFUNCTION("""COMPUTED_VALUE"""),0.0)</f>
        <v>0</v>
      </c>
      <c r="BS75" s="22">
        <f>IFERROR(__xludf.DUMMYFUNCTION("""COMPUTED_VALUE"""),1.0)</f>
        <v>1</v>
      </c>
      <c r="BT75" s="22">
        <f>IFERROR(__xludf.DUMMYFUNCTION("""COMPUTED_VALUE"""),0.0)</f>
        <v>0</v>
      </c>
      <c r="BU75" s="22">
        <f>IFERROR(__xludf.DUMMYFUNCTION("""COMPUTED_VALUE"""),1.0)</f>
        <v>1</v>
      </c>
      <c r="BV75" s="22">
        <f>IFERROR(__xludf.DUMMYFUNCTION("""COMPUTED_VALUE"""),1.0)</f>
        <v>1</v>
      </c>
      <c r="BW75" s="22">
        <f>IFERROR(__xludf.DUMMYFUNCTION("""COMPUTED_VALUE"""),1.0)</f>
        <v>1</v>
      </c>
      <c r="BX75" s="22">
        <f>IFERROR(__xludf.DUMMYFUNCTION("""COMPUTED_VALUE"""),0.0)</f>
        <v>0</v>
      </c>
      <c r="BY75" s="22">
        <f>IFERROR(__xludf.DUMMYFUNCTION("""COMPUTED_VALUE"""),1.0)</f>
        <v>1</v>
      </c>
      <c r="BZ75" s="22">
        <f>IFERROR(__xludf.DUMMYFUNCTION("""COMPUTED_VALUE"""),0.0)</f>
        <v>0</v>
      </c>
      <c r="CA75" s="22">
        <f>IFERROR(__xludf.DUMMYFUNCTION("""COMPUTED_VALUE"""),2.0)</f>
        <v>2</v>
      </c>
      <c r="CB75" s="22">
        <f>IFERROR(__xludf.DUMMYFUNCTION("""COMPUTED_VALUE"""),4.0)</f>
        <v>4</v>
      </c>
      <c r="CC75" s="61">
        <f>IFERROR(__xludf.DUMMYFUNCTION("""COMPUTED_VALUE"""),2.5)</f>
        <v>2.5</v>
      </c>
      <c r="CD75" s="62" t="str">
        <f>IFERROR(__xludf.DUMMYFUNCTION("""COMPUTED_VALUE"""),"subpar")</f>
        <v>subpar</v>
      </c>
      <c r="CE75" s="22" t="s">
        <v>92</v>
      </c>
      <c r="CF75" s="24">
        <v>3.0</v>
      </c>
      <c r="CG75" s="22" t="b">
        <v>1</v>
      </c>
      <c r="CH75" s="22" t="b">
        <v>0</v>
      </c>
      <c r="CI75" s="22"/>
      <c r="CJ75" s="22">
        <v>0.0</v>
      </c>
      <c r="CK75" s="22">
        <v>0.0</v>
      </c>
      <c r="CL75" s="22">
        <v>0.0</v>
      </c>
      <c r="CM75" s="22">
        <v>0.0</v>
      </c>
      <c r="CN75" s="22">
        <v>0.0</v>
      </c>
      <c r="CO75" s="22">
        <v>0.0</v>
      </c>
      <c r="CP75" s="22">
        <v>1.0</v>
      </c>
      <c r="CQ75" s="22">
        <v>0.0</v>
      </c>
      <c r="CR75" s="22">
        <v>1.0</v>
      </c>
      <c r="CS75" s="22">
        <v>1.0</v>
      </c>
      <c r="CT75" s="22">
        <v>1.0</v>
      </c>
      <c r="CU75" s="22">
        <v>0.0</v>
      </c>
      <c r="CV75" s="22">
        <v>1.0</v>
      </c>
      <c r="CW75" s="22">
        <v>0.0</v>
      </c>
      <c r="CX75" s="22">
        <v>2.0</v>
      </c>
      <c r="CY75" s="22">
        <v>4.0</v>
      </c>
      <c r="CZ75" s="61">
        <v>2.5</v>
      </c>
      <c r="DA75" s="62" t="s">
        <v>568</v>
      </c>
    </row>
    <row r="76">
      <c r="A76" s="16" t="s">
        <v>186</v>
      </c>
      <c r="B76" s="16" t="s">
        <v>187</v>
      </c>
      <c r="C76" s="34" t="s">
        <v>31</v>
      </c>
      <c r="D76" s="16" t="s">
        <v>9</v>
      </c>
      <c r="E76" s="17" t="b">
        <f t="shared" ref="E76:K76" si="381">If(IFERROR(SEARCH(E$1, $D76),0) &gt;= 1, true,false)</f>
        <v>0</v>
      </c>
      <c r="F76" s="17" t="b">
        <f t="shared" si="381"/>
        <v>0</v>
      </c>
      <c r="G76" s="17" t="b">
        <f t="shared" si="381"/>
        <v>0</v>
      </c>
      <c r="H76" s="17" t="b">
        <f t="shared" si="381"/>
        <v>0</v>
      </c>
      <c r="I76" s="17" t="b">
        <f t="shared" si="381"/>
        <v>0</v>
      </c>
      <c r="J76" s="17" t="b">
        <f t="shared" si="381"/>
        <v>1</v>
      </c>
      <c r="K76" s="17" t="b">
        <f t="shared" si="381"/>
        <v>0</v>
      </c>
      <c r="L76" s="18" t="b">
        <v>1</v>
      </c>
      <c r="M76" s="18" t="b">
        <v>0</v>
      </c>
      <c r="N76" s="18" t="b">
        <v>0</v>
      </c>
      <c r="O76" s="18" t="b">
        <v>0</v>
      </c>
      <c r="P76" s="16" t="str">
        <f t="shared" si="7"/>
        <v>Museum De Reede</v>
      </c>
      <c r="Q76" s="19">
        <v>15.0</v>
      </c>
      <c r="R76" s="20" t="b">
        <v>0</v>
      </c>
      <c r="S76" s="18" t="b">
        <v>1</v>
      </c>
      <c r="T76" s="29">
        <v>15.0</v>
      </c>
      <c r="U76" s="21">
        <f t="shared" si="8"/>
        <v>0</v>
      </c>
      <c r="V76" s="21">
        <f t="shared" ref="V76:AB76" si="382">if(OR(AW76 = $AO$4, AW76 = $AQ$4), 1, 0)</f>
        <v>0</v>
      </c>
      <c r="W76" s="21">
        <f t="shared" si="382"/>
        <v>0</v>
      </c>
      <c r="X76" s="21">
        <f t="shared" si="382"/>
        <v>0</v>
      </c>
      <c r="Y76" s="21">
        <f t="shared" si="382"/>
        <v>0</v>
      </c>
      <c r="Z76" s="21">
        <f t="shared" si="382"/>
        <v>0</v>
      </c>
      <c r="AA76" s="21">
        <f t="shared" si="382"/>
        <v>1</v>
      </c>
      <c r="AB76" s="21">
        <f t="shared" si="382"/>
        <v>0</v>
      </c>
      <c r="AC76" s="21">
        <f t="shared" si="10"/>
        <v>1</v>
      </c>
      <c r="AD76" s="21">
        <f t="shared" si="11"/>
        <v>0</v>
      </c>
      <c r="AE76" s="21">
        <f t="shared" ref="AE76:AH76" si="383">if(OR(BD76 = $AO$6, BD76 = $AS$6, BD76 = $AT$6, BD76 = $AU$6), 1, 0)</f>
        <v>1</v>
      </c>
      <c r="AF76" s="21">
        <f t="shared" si="383"/>
        <v>0</v>
      </c>
      <c r="AG76" s="21">
        <f t="shared" si="383"/>
        <v>0</v>
      </c>
      <c r="AH76" s="21">
        <f t="shared" si="383"/>
        <v>0</v>
      </c>
      <c r="AI76" s="21">
        <f t="shared" si="13"/>
        <v>1</v>
      </c>
      <c r="AJ76" s="21">
        <f t="shared" si="14"/>
        <v>2</v>
      </c>
      <c r="AK76" s="59">
        <f t="shared" si="15"/>
        <v>1.25</v>
      </c>
      <c r="AL76" s="60" t="str">
        <f t="shared" si="16"/>
        <v>subpar</v>
      </c>
      <c r="AW76" s="22">
        <f t="shared" ref="AW76:BC76" si="384">IF(IFERROR(SEARCH(E$1, $D76),0) &gt;= 1, E$1,0)</f>
        <v>0</v>
      </c>
      <c r="AX76" s="22">
        <f t="shared" si="384"/>
        <v>0</v>
      </c>
      <c r="AY76" s="22">
        <f t="shared" si="384"/>
        <v>0</v>
      </c>
      <c r="AZ76" s="22">
        <f t="shared" si="384"/>
        <v>0</v>
      </c>
      <c r="BA76" s="22">
        <f t="shared" si="384"/>
        <v>0</v>
      </c>
      <c r="BB76" s="22" t="str">
        <f t="shared" si="384"/>
        <v>Beeldende kunst</v>
      </c>
      <c r="BC76" s="22">
        <f t="shared" si="384"/>
        <v>0</v>
      </c>
      <c r="BD76" s="22" t="str">
        <f t="shared" ref="BD76:BG76" si="385">IF(L76 = true, BD$1, 0)</f>
        <v>Shop</v>
      </c>
      <c r="BE76" s="22">
        <f t="shared" si="385"/>
        <v>0</v>
      </c>
      <c r="BF76" s="22">
        <f t="shared" si="385"/>
        <v>0</v>
      </c>
      <c r="BG76" s="22">
        <f t="shared" si="385"/>
        <v>0</v>
      </c>
      <c r="BH76" s="22" t="str">
        <f>IFERROR(__xludf.DUMMYFUNCTION("""COMPUTED_VALUE"""),"HEY Museum")</f>
        <v>HEY Museum</v>
      </c>
      <c r="BI76" s="24">
        <f>IFERROR(__xludf.DUMMYFUNCTION("""COMPUTED_VALUE"""),10.0)</f>
        <v>10</v>
      </c>
      <c r="BJ76" s="22" t="b">
        <f>IFERROR(__xludf.DUMMYFUNCTION("""COMPUTED_VALUE"""),FALSE)</f>
        <v>0</v>
      </c>
      <c r="BK76" s="22" t="b">
        <f>IFERROR(__xludf.DUMMYFUNCTION("""COMPUTED_VALUE"""),FALSE)</f>
        <v>0</v>
      </c>
      <c r="BL76" s="22"/>
      <c r="BM76" s="22">
        <f>IFERROR(__xludf.DUMMYFUNCTION("""COMPUTED_VALUE"""),0.0)</f>
        <v>0</v>
      </c>
      <c r="BN76" s="22">
        <f>IFERROR(__xludf.DUMMYFUNCTION("""COMPUTED_VALUE"""),1.0)</f>
        <v>1</v>
      </c>
      <c r="BO76" s="22">
        <f>IFERROR(__xludf.DUMMYFUNCTION("""COMPUTED_VALUE"""),0.0)</f>
        <v>0</v>
      </c>
      <c r="BP76" s="22">
        <f>IFERROR(__xludf.DUMMYFUNCTION("""COMPUTED_VALUE"""),0.0)</f>
        <v>0</v>
      </c>
      <c r="BQ76" s="22">
        <f>IFERROR(__xludf.DUMMYFUNCTION("""COMPUTED_VALUE"""),0.0)</f>
        <v>0</v>
      </c>
      <c r="BR76" s="22">
        <f>IFERROR(__xludf.DUMMYFUNCTION("""COMPUTED_VALUE"""),0.0)</f>
        <v>0</v>
      </c>
      <c r="BS76" s="22">
        <f>IFERROR(__xludf.DUMMYFUNCTION("""COMPUTED_VALUE"""),1.0)</f>
        <v>1</v>
      </c>
      <c r="BT76" s="22">
        <f>IFERROR(__xludf.DUMMYFUNCTION("""COMPUTED_VALUE"""),0.0)</f>
        <v>0</v>
      </c>
      <c r="BU76" s="22">
        <f>IFERROR(__xludf.DUMMYFUNCTION("""COMPUTED_VALUE"""),2.0)</f>
        <v>2</v>
      </c>
      <c r="BV76" s="22">
        <f>IFERROR(__xludf.DUMMYFUNCTION("""COMPUTED_VALUE"""),1.0)</f>
        <v>1</v>
      </c>
      <c r="BW76" s="22">
        <f>IFERROR(__xludf.DUMMYFUNCTION("""COMPUTED_VALUE"""),1.0)</f>
        <v>1</v>
      </c>
      <c r="BX76" s="22">
        <f>IFERROR(__xludf.DUMMYFUNCTION("""COMPUTED_VALUE"""),0.0)</f>
        <v>0</v>
      </c>
      <c r="BY76" s="22">
        <f>IFERROR(__xludf.DUMMYFUNCTION("""COMPUTED_VALUE"""),0.0)</f>
        <v>0</v>
      </c>
      <c r="BZ76" s="22">
        <f>IFERROR(__xludf.DUMMYFUNCTION("""COMPUTED_VALUE"""),0.0)</f>
        <v>0</v>
      </c>
      <c r="CA76" s="22">
        <f>IFERROR(__xludf.DUMMYFUNCTION("""COMPUTED_VALUE"""),1.0)</f>
        <v>1</v>
      </c>
      <c r="CB76" s="22">
        <f>IFERROR(__xludf.DUMMYFUNCTION("""COMPUTED_VALUE"""),4.0)</f>
        <v>4</v>
      </c>
      <c r="CC76" s="61">
        <f>IFERROR(__xludf.DUMMYFUNCTION("""COMPUTED_VALUE"""),2.5)</f>
        <v>2.5</v>
      </c>
      <c r="CD76" s="62" t="str">
        <f>IFERROR(__xludf.DUMMYFUNCTION("""COMPUTED_VALUE"""),"subpar")</f>
        <v>subpar</v>
      </c>
      <c r="CE76" s="22" t="s">
        <v>94</v>
      </c>
      <c r="CF76" s="24">
        <v>10.0</v>
      </c>
      <c r="CG76" s="22" t="b">
        <v>0</v>
      </c>
      <c r="CH76" s="22" t="b">
        <v>0</v>
      </c>
      <c r="CI76" s="22"/>
      <c r="CJ76" s="22">
        <v>0.0</v>
      </c>
      <c r="CK76" s="22">
        <v>1.0</v>
      </c>
      <c r="CL76" s="22">
        <v>0.0</v>
      </c>
      <c r="CM76" s="22">
        <v>0.0</v>
      </c>
      <c r="CN76" s="22">
        <v>0.0</v>
      </c>
      <c r="CO76" s="22">
        <v>0.0</v>
      </c>
      <c r="CP76" s="22">
        <v>1.0</v>
      </c>
      <c r="CQ76" s="22">
        <v>0.0</v>
      </c>
      <c r="CR76" s="22">
        <v>2.0</v>
      </c>
      <c r="CS76" s="22">
        <v>1.0</v>
      </c>
      <c r="CT76" s="22">
        <v>1.0</v>
      </c>
      <c r="CU76" s="22">
        <v>0.0</v>
      </c>
      <c r="CV76" s="22">
        <v>0.0</v>
      </c>
      <c r="CW76" s="22">
        <v>0.0</v>
      </c>
      <c r="CX76" s="22">
        <v>1.0</v>
      </c>
      <c r="CY76" s="22">
        <v>4.0</v>
      </c>
      <c r="CZ76" s="61">
        <v>2.5</v>
      </c>
      <c r="DA76" s="62" t="s">
        <v>568</v>
      </c>
    </row>
    <row r="77">
      <c r="A77" s="16" t="s">
        <v>188</v>
      </c>
      <c r="B77" s="16" t="s">
        <v>189</v>
      </c>
      <c r="C77" s="34" t="s">
        <v>31</v>
      </c>
      <c r="D77" s="16" t="s">
        <v>4</v>
      </c>
      <c r="E77" s="17" t="b">
        <f t="shared" ref="E77:K77" si="386">If(IFERROR(SEARCH(E$1, $D77),0) &gt;= 1, true,false)</f>
        <v>1</v>
      </c>
      <c r="F77" s="17" t="b">
        <f t="shared" si="386"/>
        <v>0</v>
      </c>
      <c r="G77" s="17" t="b">
        <f t="shared" si="386"/>
        <v>0</v>
      </c>
      <c r="H77" s="17" t="b">
        <f t="shared" si="386"/>
        <v>0</v>
      </c>
      <c r="I77" s="17" t="b">
        <f t="shared" si="386"/>
        <v>0</v>
      </c>
      <c r="J77" s="17" t="b">
        <f t="shared" si="386"/>
        <v>0</v>
      </c>
      <c r="K77" s="17" t="b">
        <f t="shared" si="386"/>
        <v>0</v>
      </c>
      <c r="L77" s="18" t="b">
        <v>1</v>
      </c>
      <c r="M77" s="18" t="b">
        <v>1</v>
      </c>
      <c r="N77" s="18" t="b">
        <v>1</v>
      </c>
      <c r="O77" s="18" t="b">
        <v>1</v>
      </c>
      <c r="P77" s="16" t="str">
        <f t="shared" si="7"/>
        <v>Museum Fort Liezele</v>
      </c>
      <c r="Q77" s="19">
        <v>12.0</v>
      </c>
      <c r="R77" s="20" t="b">
        <v>0</v>
      </c>
      <c r="S77" s="18" t="b">
        <v>0</v>
      </c>
      <c r="T77" s="16"/>
      <c r="U77" s="21">
        <f t="shared" si="8"/>
        <v>0</v>
      </c>
      <c r="V77" s="21">
        <f t="shared" ref="V77:AB77" si="387">if(OR(AW77 = $AO$4, AW77 = $AQ$4), 1, 0)</f>
        <v>1</v>
      </c>
      <c r="W77" s="21">
        <f t="shared" si="387"/>
        <v>0</v>
      </c>
      <c r="X77" s="21">
        <f t="shared" si="387"/>
        <v>0</v>
      </c>
      <c r="Y77" s="21">
        <f t="shared" si="387"/>
        <v>0</v>
      </c>
      <c r="Z77" s="21">
        <f t="shared" si="387"/>
        <v>0</v>
      </c>
      <c r="AA77" s="21">
        <f t="shared" si="387"/>
        <v>0</v>
      </c>
      <c r="AB77" s="21">
        <f t="shared" si="387"/>
        <v>0</v>
      </c>
      <c r="AC77" s="21">
        <f t="shared" si="10"/>
        <v>1</v>
      </c>
      <c r="AD77" s="21">
        <f t="shared" si="11"/>
        <v>0</v>
      </c>
      <c r="AE77" s="21">
        <f t="shared" ref="AE77:AH77" si="388">if(OR(BD77 = $AO$6, BD77 = $AS$6, BD77 = $AT$6, BD77 = $AU$6), 1, 0)</f>
        <v>1</v>
      </c>
      <c r="AF77" s="21">
        <f t="shared" si="388"/>
        <v>1</v>
      </c>
      <c r="AG77" s="21">
        <f t="shared" si="388"/>
        <v>1</v>
      </c>
      <c r="AH77" s="21">
        <f t="shared" si="388"/>
        <v>1</v>
      </c>
      <c r="AI77" s="21">
        <f t="shared" si="13"/>
        <v>4</v>
      </c>
      <c r="AJ77" s="21">
        <f t="shared" si="14"/>
        <v>5</v>
      </c>
      <c r="AK77" s="59">
        <f t="shared" si="15"/>
        <v>3.125</v>
      </c>
      <c r="AL77" s="60" t="str">
        <f t="shared" si="16"/>
        <v>good</v>
      </c>
      <c r="AW77" s="22" t="str">
        <f t="shared" ref="AW77:BC77" si="389">IF(IFERROR(SEARCH(E$1, $D77),0) &gt;= 1, E$1,0)</f>
        <v>Geschiedenis en archeologie</v>
      </c>
      <c r="AX77" s="22">
        <f t="shared" si="389"/>
        <v>0</v>
      </c>
      <c r="AY77" s="22">
        <f t="shared" si="389"/>
        <v>0</v>
      </c>
      <c r="AZ77" s="22">
        <f t="shared" si="389"/>
        <v>0</v>
      </c>
      <c r="BA77" s="22">
        <f t="shared" si="389"/>
        <v>0</v>
      </c>
      <c r="BB77" s="22">
        <f t="shared" si="389"/>
        <v>0</v>
      </c>
      <c r="BC77" s="22">
        <f t="shared" si="389"/>
        <v>0</v>
      </c>
      <c r="BD77" s="22" t="str">
        <f t="shared" ref="BD77:BG77" si="390">IF(L77 = true, BD$1, 0)</f>
        <v>Shop</v>
      </c>
      <c r="BE77" s="22" t="str">
        <f t="shared" si="390"/>
        <v>Café</v>
      </c>
      <c r="BF77" s="22" t="str">
        <f t="shared" si="390"/>
        <v>Parking</v>
      </c>
      <c r="BG77" s="22" t="str">
        <f t="shared" si="390"/>
        <v>Restaurant</v>
      </c>
      <c r="BH77" s="22" t="str">
        <f>IFERROR(__xludf.DUMMYFUNCTION("""COMPUTED_VALUE"""),"Hopmuseum Poperinge")</f>
        <v>Hopmuseum Poperinge</v>
      </c>
      <c r="BI77" s="24">
        <f>IFERROR(__xludf.DUMMYFUNCTION("""COMPUTED_VALUE"""),7.0)</f>
        <v>7</v>
      </c>
      <c r="BJ77" s="22" t="b">
        <f>IFERROR(__xludf.DUMMYFUNCTION("""COMPUTED_VALUE"""),FALSE)</f>
        <v>0</v>
      </c>
      <c r="BK77" s="22" t="b">
        <f>IFERROR(__xludf.DUMMYFUNCTION("""COMPUTED_VALUE"""),FALSE)</f>
        <v>0</v>
      </c>
      <c r="BL77" s="22"/>
      <c r="BM77" s="22">
        <f>IFERROR(__xludf.DUMMYFUNCTION("""COMPUTED_VALUE"""),0.0)</f>
        <v>0</v>
      </c>
      <c r="BN77" s="22">
        <f>IFERROR(__xludf.DUMMYFUNCTION("""COMPUTED_VALUE"""),1.0)</f>
        <v>1</v>
      </c>
      <c r="BO77" s="22">
        <f>IFERROR(__xludf.DUMMYFUNCTION("""COMPUTED_VALUE"""),0.0)</f>
        <v>0</v>
      </c>
      <c r="BP77" s="22">
        <f>IFERROR(__xludf.DUMMYFUNCTION("""COMPUTED_VALUE"""),0.0)</f>
        <v>0</v>
      </c>
      <c r="BQ77" s="22">
        <f>IFERROR(__xludf.DUMMYFUNCTION("""COMPUTED_VALUE"""),0.0)</f>
        <v>0</v>
      </c>
      <c r="BR77" s="22">
        <f>IFERROR(__xludf.DUMMYFUNCTION("""COMPUTED_VALUE"""),0.0)</f>
        <v>0</v>
      </c>
      <c r="BS77" s="22">
        <f>IFERROR(__xludf.DUMMYFUNCTION("""COMPUTED_VALUE"""),0.0)</f>
        <v>0</v>
      </c>
      <c r="BT77" s="22">
        <f>IFERROR(__xludf.DUMMYFUNCTION("""COMPUTED_VALUE"""),0.0)</f>
        <v>0</v>
      </c>
      <c r="BU77" s="22">
        <f>IFERROR(__xludf.DUMMYFUNCTION("""COMPUTED_VALUE"""),1.0)</f>
        <v>1</v>
      </c>
      <c r="BV77" s="22">
        <f>IFERROR(__xludf.DUMMYFUNCTION("""COMPUTED_VALUE"""),1.0)</f>
        <v>1</v>
      </c>
      <c r="BW77" s="22">
        <f>IFERROR(__xludf.DUMMYFUNCTION("""COMPUTED_VALUE"""),1.0)</f>
        <v>1</v>
      </c>
      <c r="BX77" s="22">
        <f>IFERROR(__xludf.DUMMYFUNCTION("""COMPUTED_VALUE"""),1.0)</f>
        <v>1</v>
      </c>
      <c r="BY77" s="22">
        <f>IFERROR(__xludf.DUMMYFUNCTION("""COMPUTED_VALUE"""),0.0)</f>
        <v>0</v>
      </c>
      <c r="BZ77" s="22">
        <f>IFERROR(__xludf.DUMMYFUNCTION("""COMPUTED_VALUE"""),0.0)</f>
        <v>0</v>
      </c>
      <c r="CA77" s="22">
        <f>IFERROR(__xludf.DUMMYFUNCTION("""COMPUTED_VALUE"""),2.0)</f>
        <v>2</v>
      </c>
      <c r="CB77" s="22">
        <f>IFERROR(__xludf.DUMMYFUNCTION("""COMPUTED_VALUE"""),4.0)</f>
        <v>4</v>
      </c>
      <c r="CC77" s="61">
        <f>IFERROR(__xludf.DUMMYFUNCTION("""COMPUTED_VALUE"""),2.5)</f>
        <v>2.5</v>
      </c>
      <c r="CD77" s="62" t="str">
        <f>IFERROR(__xludf.DUMMYFUNCTION("""COMPUTED_VALUE"""),"subpar")</f>
        <v>subpar</v>
      </c>
      <c r="CE77" s="22" t="s">
        <v>96</v>
      </c>
      <c r="CF77" s="24">
        <v>7.0</v>
      </c>
      <c r="CG77" s="22" t="b">
        <v>0</v>
      </c>
      <c r="CH77" s="22" t="b">
        <v>0</v>
      </c>
      <c r="CI77" s="22"/>
      <c r="CJ77" s="22">
        <v>0.0</v>
      </c>
      <c r="CK77" s="22">
        <v>1.0</v>
      </c>
      <c r="CL77" s="22">
        <v>0.0</v>
      </c>
      <c r="CM77" s="22">
        <v>0.0</v>
      </c>
      <c r="CN77" s="22">
        <v>0.0</v>
      </c>
      <c r="CO77" s="22">
        <v>0.0</v>
      </c>
      <c r="CP77" s="22">
        <v>0.0</v>
      </c>
      <c r="CQ77" s="22">
        <v>0.0</v>
      </c>
      <c r="CR77" s="22">
        <v>1.0</v>
      </c>
      <c r="CS77" s="22">
        <v>1.0</v>
      </c>
      <c r="CT77" s="22">
        <v>1.0</v>
      </c>
      <c r="CU77" s="22">
        <v>1.0</v>
      </c>
      <c r="CV77" s="22">
        <v>0.0</v>
      </c>
      <c r="CW77" s="22">
        <v>0.0</v>
      </c>
      <c r="CX77" s="22">
        <v>2.0</v>
      </c>
      <c r="CY77" s="22">
        <v>4.0</v>
      </c>
      <c r="CZ77" s="61">
        <v>2.5</v>
      </c>
      <c r="DA77" s="62" t="s">
        <v>568</v>
      </c>
    </row>
    <row r="78">
      <c r="A78" s="16" t="s">
        <v>190</v>
      </c>
      <c r="B78" s="16"/>
      <c r="C78" s="34" t="s">
        <v>31</v>
      </c>
      <c r="D78" s="16" t="s">
        <v>4</v>
      </c>
      <c r="E78" s="17" t="b">
        <f t="shared" ref="E78:K78" si="391">If(IFERROR(SEARCH(E$1, $D78),0) &gt;= 1, true,false)</f>
        <v>1</v>
      </c>
      <c r="F78" s="17" t="b">
        <f t="shared" si="391"/>
        <v>0</v>
      </c>
      <c r="G78" s="17" t="b">
        <f t="shared" si="391"/>
        <v>0</v>
      </c>
      <c r="H78" s="17" t="b">
        <f t="shared" si="391"/>
        <v>0</v>
      </c>
      <c r="I78" s="17" t="b">
        <f t="shared" si="391"/>
        <v>0</v>
      </c>
      <c r="J78" s="17" t="b">
        <f t="shared" si="391"/>
        <v>0</v>
      </c>
      <c r="K78" s="17" t="b">
        <f t="shared" si="391"/>
        <v>0</v>
      </c>
      <c r="L78" s="18" t="b">
        <v>1</v>
      </c>
      <c r="M78" s="18" t="b">
        <v>1</v>
      </c>
      <c r="N78" s="18" t="b">
        <v>0</v>
      </c>
      <c r="O78" s="18" t="b">
        <v>0</v>
      </c>
      <c r="P78" s="16" t="str">
        <f t="shared" si="7"/>
        <v>Museum Hof van Busleyden</v>
      </c>
      <c r="Q78" s="19">
        <v>15.0</v>
      </c>
      <c r="R78" s="20" t="b">
        <v>0</v>
      </c>
      <c r="S78" s="18" t="b">
        <v>1</v>
      </c>
      <c r="T78" s="29">
        <v>15.0</v>
      </c>
      <c r="U78" s="21">
        <f t="shared" si="8"/>
        <v>0</v>
      </c>
      <c r="V78" s="21">
        <f t="shared" ref="V78:AB78" si="392">if(OR(AW78 = $AO$4, AW78 = $AQ$4), 1, 0)</f>
        <v>1</v>
      </c>
      <c r="W78" s="21">
        <f t="shared" si="392"/>
        <v>0</v>
      </c>
      <c r="X78" s="21">
        <f t="shared" si="392"/>
        <v>0</v>
      </c>
      <c r="Y78" s="21">
        <f t="shared" si="392"/>
        <v>0</v>
      </c>
      <c r="Z78" s="21">
        <f t="shared" si="392"/>
        <v>0</v>
      </c>
      <c r="AA78" s="21">
        <f t="shared" si="392"/>
        <v>0</v>
      </c>
      <c r="AB78" s="21">
        <f t="shared" si="392"/>
        <v>0</v>
      </c>
      <c r="AC78" s="21">
        <f t="shared" si="10"/>
        <v>1</v>
      </c>
      <c r="AD78" s="21">
        <f t="shared" si="11"/>
        <v>0</v>
      </c>
      <c r="AE78" s="21">
        <f t="shared" ref="AE78:AH78" si="393">if(OR(BD78 = $AO$6, BD78 = $AS$6, BD78 = $AT$6, BD78 = $AU$6), 1, 0)</f>
        <v>1</v>
      </c>
      <c r="AF78" s="21">
        <f t="shared" si="393"/>
        <v>1</v>
      </c>
      <c r="AG78" s="21">
        <f t="shared" si="393"/>
        <v>0</v>
      </c>
      <c r="AH78" s="21">
        <f t="shared" si="393"/>
        <v>0</v>
      </c>
      <c r="AI78" s="21">
        <f t="shared" si="13"/>
        <v>2</v>
      </c>
      <c r="AJ78" s="21">
        <f t="shared" si="14"/>
        <v>3</v>
      </c>
      <c r="AK78" s="59">
        <f t="shared" si="15"/>
        <v>1.875</v>
      </c>
      <c r="AL78" s="60" t="str">
        <f t="shared" si="16"/>
        <v>subpar</v>
      </c>
      <c r="AW78" s="22" t="str">
        <f t="shared" ref="AW78:BC78" si="394">IF(IFERROR(SEARCH(E$1, $D78),0) &gt;= 1, E$1,0)</f>
        <v>Geschiedenis en archeologie</v>
      </c>
      <c r="AX78" s="22">
        <f t="shared" si="394"/>
        <v>0</v>
      </c>
      <c r="AY78" s="22">
        <f t="shared" si="394"/>
        <v>0</v>
      </c>
      <c r="AZ78" s="22">
        <f t="shared" si="394"/>
        <v>0</v>
      </c>
      <c r="BA78" s="22">
        <f t="shared" si="394"/>
        <v>0</v>
      </c>
      <c r="BB78" s="22">
        <f t="shared" si="394"/>
        <v>0</v>
      </c>
      <c r="BC78" s="22">
        <f t="shared" si="394"/>
        <v>0</v>
      </c>
      <c r="BD78" s="22" t="str">
        <f t="shared" ref="BD78:BG78" si="395">IF(L78 = true, BD$1, 0)</f>
        <v>Shop</v>
      </c>
      <c r="BE78" s="22" t="str">
        <f t="shared" si="395"/>
        <v>Café</v>
      </c>
      <c r="BF78" s="22">
        <f t="shared" si="395"/>
        <v>0</v>
      </c>
      <c r="BG78" s="22">
        <f t="shared" si="395"/>
        <v>0</v>
      </c>
      <c r="BH78" s="22" t="str">
        <f>IFERROR(__xludf.DUMMYFUNCTION("""COMPUTED_VALUE"""),"Paul Delvaux Museum")</f>
        <v>Paul Delvaux Museum</v>
      </c>
      <c r="BI78" s="24">
        <f>IFERROR(__xludf.DUMMYFUNCTION("""COMPUTED_VALUE"""),12.0)</f>
        <v>12</v>
      </c>
      <c r="BJ78" s="22" t="b">
        <f>IFERROR(__xludf.DUMMYFUNCTION("""COMPUTED_VALUE"""),FALSE)</f>
        <v>0</v>
      </c>
      <c r="BK78" s="22" t="b">
        <f>IFERROR(__xludf.DUMMYFUNCTION("""COMPUTED_VALUE"""),FALSE)</f>
        <v>0</v>
      </c>
      <c r="BL78" s="22"/>
      <c r="BM78" s="22">
        <f>IFERROR(__xludf.DUMMYFUNCTION("""COMPUTED_VALUE"""),0.0)</f>
        <v>0</v>
      </c>
      <c r="BN78" s="22">
        <f>IFERROR(__xludf.DUMMYFUNCTION("""COMPUTED_VALUE"""),0.0)</f>
        <v>0</v>
      </c>
      <c r="BO78" s="22">
        <f>IFERROR(__xludf.DUMMYFUNCTION("""COMPUTED_VALUE"""),0.0)</f>
        <v>0</v>
      </c>
      <c r="BP78" s="22">
        <f>IFERROR(__xludf.DUMMYFUNCTION("""COMPUTED_VALUE"""),0.0)</f>
        <v>0</v>
      </c>
      <c r="BQ78" s="22">
        <f>IFERROR(__xludf.DUMMYFUNCTION("""COMPUTED_VALUE"""),0.0)</f>
        <v>0</v>
      </c>
      <c r="BR78" s="22">
        <f>IFERROR(__xludf.DUMMYFUNCTION("""COMPUTED_VALUE"""),0.0)</f>
        <v>0</v>
      </c>
      <c r="BS78" s="22">
        <f>IFERROR(__xludf.DUMMYFUNCTION("""COMPUTED_VALUE"""),1.0)</f>
        <v>1</v>
      </c>
      <c r="BT78" s="22">
        <f>IFERROR(__xludf.DUMMYFUNCTION("""COMPUTED_VALUE"""),0.0)</f>
        <v>0</v>
      </c>
      <c r="BU78" s="22">
        <f>IFERROR(__xludf.DUMMYFUNCTION("""COMPUTED_VALUE"""),1.0)</f>
        <v>1</v>
      </c>
      <c r="BV78" s="22">
        <f>IFERROR(__xludf.DUMMYFUNCTION("""COMPUTED_VALUE"""),0.0)</f>
        <v>0</v>
      </c>
      <c r="BW78" s="22">
        <f>IFERROR(__xludf.DUMMYFUNCTION("""COMPUTED_VALUE"""),1.0)</f>
        <v>1</v>
      </c>
      <c r="BX78" s="22">
        <f>IFERROR(__xludf.DUMMYFUNCTION("""COMPUTED_VALUE"""),1.0)</f>
        <v>1</v>
      </c>
      <c r="BY78" s="22">
        <f>IFERROR(__xludf.DUMMYFUNCTION("""COMPUTED_VALUE"""),1.0)</f>
        <v>1</v>
      </c>
      <c r="BZ78" s="22">
        <f>IFERROR(__xludf.DUMMYFUNCTION("""COMPUTED_VALUE"""),0.0)</f>
        <v>0</v>
      </c>
      <c r="CA78" s="22">
        <f>IFERROR(__xludf.DUMMYFUNCTION("""COMPUTED_VALUE"""),3.0)</f>
        <v>3</v>
      </c>
      <c r="CB78" s="22">
        <f>IFERROR(__xludf.DUMMYFUNCTION("""COMPUTED_VALUE"""),4.0)</f>
        <v>4</v>
      </c>
      <c r="CC78" s="61">
        <f>IFERROR(__xludf.DUMMYFUNCTION("""COMPUTED_VALUE"""),2.5)</f>
        <v>2.5</v>
      </c>
      <c r="CD78" s="62" t="str">
        <f>IFERROR(__xludf.DUMMYFUNCTION("""COMPUTED_VALUE"""),"subpar")</f>
        <v>subpar</v>
      </c>
      <c r="CE78" s="22" t="s">
        <v>124</v>
      </c>
      <c r="CF78" s="24">
        <v>12.0</v>
      </c>
      <c r="CG78" s="22" t="b">
        <v>0</v>
      </c>
      <c r="CH78" s="22" t="b">
        <v>0</v>
      </c>
      <c r="CI78" s="22"/>
      <c r="CJ78" s="22">
        <v>0.0</v>
      </c>
      <c r="CK78" s="22">
        <v>0.0</v>
      </c>
      <c r="CL78" s="22">
        <v>0.0</v>
      </c>
      <c r="CM78" s="22">
        <v>0.0</v>
      </c>
      <c r="CN78" s="22">
        <v>0.0</v>
      </c>
      <c r="CO78" s="22">
        <v>0.0</v>
      </c>
      <c r="CP78" s="22">
        <v>1.0</v>
      </c>
      <c r="CQ78" s="22">
        <v>0.0</v>
      </c>
      <c r="CR78" s="22">
        <v>1.0</v>
      </c>
      <c r="CS78" s="22">
        <v>0.0</v>
      </c>
      <c r="CT78" s="22">
        <v>1.0</v>
      </c>
      <c r="CU78" s="22">
        <v>1.0</v>
      </c>
      <c r="CV78" s="22">
        <v>1.0</v>
      </c>
      <c r="CW78" s="22">
        <v>0.0</v>
      </c>
      <c r="CX78" s="22">
        <v>3.0</v>
      </c>
      <c r="CY78" s="22">
        <v>4.0</v>
      </c>
      <c r="CZ78" s="61">
        <v>2.5</v>
      </c>
      <c r="DA78" s="62" t="s">
        <v>568</v>
      </c>
    </row>
    <row r="79">
      <c r="A79" s="16" t="s">
        <v>191</v>
      </c>
      <c r="B79" s="16" t="s">
        <v>192</v>
      </c>
      <c r="C79" s="34" t="s">
        <v>31</v>
      </c>
      <c r="D79" s="16" t="s">
        <v>95</v>
      </c>
      <c r="E79" s="17" t="b">
        <f t="shared" ref="E79:K79" si="396">If(IFERROR(SEARCH(E$1, $D79),0) &gt;= 1, true,false)</f>
        <v>1</v>
      </c>
      <c r="F79" s="17" t="b">
        <f t="shared" si="396"/>
        <v>0</v>
      </c>
      <c r="G79" s="17" t="b">
        <f t="shared" si="396"/>
        <v>0</v>
      </c>
      <c r="H79" s="17" t="b">
        <f t="shared" si="396"/>
        <v>0</v>
      </c>
      <c r="I79" s="17" t="b">
        <f t="shared" si="396"/>
        <v>0</v>
      </c>
      <c r="J79" s="17" t="b">
        <f t="shared" si="396"/>
        <v>1</v>
      </c>
      <c r="K79" s="17" t="b">
        <f t="shared" si="396"/>
        <v>0</v>
      </c>
      <c r="L79" s="18" t="b">
        <v>1</v>
      </c>
      <c r="M79" s="18" t="b">
        <v>0</v>
      </c>
      <c r="N79" s="18" t="b">
        <v>0</v>
      </c>
      <c r="O79" s="18" t="b">
        <v>0</v>
      </c>
      <c r="P79" s="16" t="str">
        <f t="shared" si="7"/>
        <v>Museum Mayer van den Bergh</v>
      </c>
      <c r="Q79" s="19">
        <v>10.0</v>
      </c>
      <c r="R79" s="18" t="b">
        <v>1</v>
      </c>
      <c r="S79" s="18" t="b">
        <v>0</v>
      </c>
      <c r="U79" s="21">
        <f t="shared" si="8"/>
        <v>0</v>
      </c>
      <c r="V79" s="21">
        <f t="shared" ref="V79:AB79" si="397">if(OR(AW79 = $AO$4, AW79 = $AQ$4), 1, 0)</f>
        <v>1</v>
      </c>
      <c r="W79" s="21">
        <f t="shared" si="397"/>
        <v>0</v>
      </c>
      <c r="X79" s="21">
        <f t="shared" si="397"/>
        <v>0</v>
      </c>
      <c r="Y79" s="21">
        <f t="shared" si="397"/>
        <v>0</v>
      </c>
      <c r="Z79" s="21">
        <f t="shared" si="397"/>
        <v>0</v>
      </c>
      <c r="AA79" s="21">
        <f t="shared" si="397"/>
        <v>1</v>
      </c>
      <c r="AB79" s="21">
        <f t="shared" si="397"/>
        <v>0</v>
      </c>
      <c r="AC79" s="21">
        <f t="shared" si="10"/>
        <v>2</v>
      </c>
      <c r="AD79" s="21">
        <f t="shared" si="11"/>
        <v>1</v>
      </c>
      <c r="AE79" s="21">
        <f t="shared" ref="AE79:AH79" si="398">if(OR(BD79 = $AO$6, BD79 = $AS$6, BD79 = $AT$6, BD79 = $AU$6), 1, 0)</f>
        <v>1</v>
      </c>
      <c r="AF79" s="21">
        <f t="shared" si="398"/>
        <v>0</v>
      </c>
      <c r="AG79" s="21">
        <f t="shared" si="398"/>
        <v>0</v>
      </c>
      <c r="AH79" s="21">
        <f t="shared" si="398"/>
        <v>0</v>
      </c>
      <c r="AI79" s="21">
        <f t="shared" si="13"/>
        <v>1</v>
      </c>
      <c r="AJ79" s="21">
        <f t="shared" si="14"/>
        <v>4</v>
      </c>
      <c r="AK79" s="59">
        <f t="shared" si="15"/>
        <v>2.5</v>
      </c>
      <c r="AL79" s="60" t="str">
        <f t="shared" si="16"/>
        <v>subpar</v>
      </c>
      <c r="AW79" s="22" t="str">
        <f t="shared" ref="AW79:BC79" si="399">IF(IFERROR(SEARCH(E$1, $D79),0) &gt;= 1, E$1,0)</f>
        <v>Geschiedenis en archeologie</v>
      </c>
      <c r="AX79" s="22">
        <f t="shared" si="399"/>
        <v>0</v>
      </c>
      <c r="AY79" s="22">
        <f t="shared" si="399"/>
        <v>0</v>
      </c>
      <c r="AZ79" s="22">
        <f t="shared" si="399"/>
        <v>0</v>
      </c>
      <c r="BA79" s="22">
        <f t="shared" si="399"/>
        <v>0</v>
      </c>
      <c r="BB79" s="22" t="str">
        <f t="shared" si="399"/>
        <v>Beeldende kunst</v>
      </c>
      <c r="BC79" s="22">
        <f t="shared" si="399"/>
        <v>0</v>
      </c>
      <c r="BD79" s="22" t="str">
        <f t="shared" ref="BD79:BG79" si="400">IF(L79 = true, BD$1, 0)</f>
        <v>Shop</v>
      </c>
      <c r="BE79" s="22">
        <f t="shared" si="400"/>
        <v>0</v>
      </c>
      <c r="BF79" s="22">
        <f t="shared" si="400"/>
        <v>0</v>
      </c>
      <c r="BG79" s="22">
        <f t="shared" si="400"/>
        <v>0</v>
      </c>
      <c r="BH79" s="22" t="str">
        <f>IFERROR(__xludf.DUMMYFUNCTION("""COMPUTED_VALUE"""),"Texture | Museum van Vlas en Textiel")</f>
        <v>Texture | Museum van Vlas en Textiel</v>
      </c>
      <c r="BI79" s="24">
        <f>IFERROR(__xludf.DUMMYFUNCTION("""COMPUTED_VALUE"""),8.0)</f>
        <v>8</v>
      </c>
      <c r="BJ79" s="22" t="b">
        <f>IFERROR(__xludf.DUMMYFUNCTION("""COMPUTED_VALUE"""),FALSE)</f>
        <v>0</v>
      </c>
      <c r="BK79" s="22" t="b">
        <f>IFERROR(__xludf.DUMMYFUNCTION("""COMPUTED_VALUE"""),TRUE)</f>
        <v>1</v>
      </c>
      <c r="BL79" s="24">
        <f>IFERROR(__xludf.DUMMYFUNCTION("""COMPUTED_VALUE"""),8.0)</f>
        <v>8</v>
      </c>
      <c r="BM79" s="22">
        <f>IFERROR(__xludf.DUMMYFUNCTION("""COMPUTED_VALUE"""),0.0)</f>
        <v>0</v>
      </c>
      <c r="BN79" s="22">
        <f>IFERROR(__xludf.DUMMYFUNCTION("""COMPUTED_VALUE"""),0.0)</f>
        <v>0</v>
      </c>
      <c r="BO79" s="22">
        <f>IFERROR(__xludf.DUMMYFUNCTION("""COMPUTED_VALUE"""),0.0)</f>
        <v>0</v>
      </c>
      <c r="BP79" s="22">
        <f>IFERROR(__xludf.DUMMYFUNCTION("""COMPUTED_VALUE"""),0.0)</f>
        <v>0</v>
      </c>
      <c r="BQ79" s="22">
        <f>IFERROR(__xludf.DUMMYFUNCTION("""COMPUTED_VALUE"""),0.0)</f>
        <v>0</v>
      </c>
      <c r="BR79" s="22">
        <f>IFERROR(__xludf.DUMMYFUNCTION("""COMPUTED_VALUE"""),0.0)</f>
        <v>0</v>
      </c>
      <c r="BS79" s="22">
        <f>IFERROR(__xludf.DUMMYFUNCTION("""COMPUTED_VALUE"""),0.0)</f>
        <v>0</v>
      </c>
      <c r="BT79" s="22">
        <f>IFERROR(__xludf.DUMMYFUNCTION("""COMPUTED_VALUE"""),0.0)</f>
        <v>0</v>
      </c>
      <c r="BU79" s="22">
        <f>IFERROR(__xludf.DUMMYFUNCTION("""COMPUTED_VALUE"""),0.0)</f>
        <v>0</v>
      </c>
      <c r="BV79" s="22">
        <f>IFERROR(__xludf.DUMMYFUNCTION("""COMPUTED_VALUE"""),1.0)</f>
        <v>1</v>
      </c>
      <c r="BW79" s="22">
        <f>IFERROR(__xludf.DUMMYFUNCTION("""COMPUTED_VALUE"""),1.0)</f>
        <v>1</v>
      </c>
      <c r="BX79" s="22">
        <f>IFERROR(__xludf.DUMMYFUNCTION("""COMPUTED_VALUE"""),1.0)</f>
        <v>1</v>
      </c>
      <c r="BY79" s="22">
        <f>IFERROR(__xludf.DUMMYFUNCTION("""COMPUTED_VALUE"""),1.0)</f>
        <v>1</v>
      </c>
      <c r="BZ79" s="22">
        <f>IFERROR(__xludf.DUMMYFUNCTION("""COMPUTED_VALUE"""),0.0)</f>
        <v>0</v>
      </c>
      <c r="CA79" s="22">
        <f>IFERROR(__xludf.DUMMYFUNCTION("""COMPUTED_VALUE"""),3.0)</f>
        <v>3</v>
      </c>
      <c r="CB79" s="22">
        <f>IFERROR(__xludf.DUMMYFUNCTION("""COMPUTED_VALUE"""),4.0)</f>
        <v>4</v>
      </c>
      <c r="CC79" s="61">
        <f>IFERROR(__xludf.DUMMYFUNCTION("""COMPUTED_VALUE"""),2.5)</f>
        <v>2.5</v>
      </c>
      <c r="CD79" s="62" t="str">
        <f>IFERROR(__xludf.DUMMYFUNCTION("""COMPUTED_VALUE"""),"subpar")</f>
        <v>subpar</v>
      </c>
      <c r="CE79" s="22" t="s">
        <v>136</v>
      </c>
      <c r="CF79" s="24">
        <v>8.0</v>
      </c>
      <c r="CG79" s="22" t="b">
        <v>0</v>
      </c>
      <c r="CH79" s="22" t="b">
        <v>1</v>
      </c>
      <c r="CI79" s="24">
        <v>8.0</v>
      </c>
      <c r="CJ79" s="22">
        <v>0.0</v>
      </c>
      <c r="CK79" s="22">
        <v>0.0</v>
      </c>
      <c r="CL79" s="22">
        <v>0.0</v>
      </c>
      <c r="CM79" s="22">
        <v>0.0</v>
      </c>
      <c r="CN79" s="22">
        <v>0.0</v>
      </c>
      <c r="CO79" s="22">
        <v>0.0</v>
      </c>
      <c r="CP79" s="22">
        <v>0.0</v>
      </c>
      <c r="CQ79" s="22">
        <v>0.0</v>
      </c>
      <c r="CR79" s="22">
        <v>0.0</v>
      </c>
      <c r="CS79" s="22">
        <v>1.0</v>
      </c>
      <c r="CT79" s="22">
        <v>1.0</v>
      </c>
      <c r="CU79" s="22">
        <v>1.0</v>
      </c>
      <c r="CV79" s="22">
        <v>1.0</v>
      </c>
      <c r="CW79" s="22">
        <v>0.0</v>
      </c>
      <c r="CX79" s="22">
        <v>3.0</v>
      </c>
      <c r="CY79" s="22">
        <v>4.0</v>
      </c>
      <c r="CZ79" s="61">
        <v>2.5</v>
      </c>
      <c r="DA79" s="62" t="s">
        <v>568</v>
      </c>
    </row>
    <row r="80">
      <c r="A80" s="16" t="s">
        <v>193</v>
      </c>
      <c r="B80" s="16" t="s">
        <v>194</v>
      </c>
      <c r="C80" s="34" t="s">
        <v>31</v>
      </c>
      <c r="D80" s="16" t="s">
        <v>195</v>
      </c>
      <c r="E80" s="17" t="b">
        <f t="shared" ref="E80:K80" si="401">If(IFERROR(SEARCH(E$1, $D80),0) &gt;= 1, true,false)</f>
        <v>1</v>
      </c>
      <c r="F80" s="17" t="b">
        <f t="shared" si="401"/>
        <v>1</v>
      </c>
      <c r="G80" s="17" t="b">
        <f t="shared" si="401"/>
        <v>0</v>
      </c>
      <c r="H80" s="17" t="b">
        <f t="shared" si="401"/>
        <v>1</v>
      </c>
      <c r="I80" s="17" t="b">
        <f t="shared" si="401"/>
        <v>1</v>
      </c>
      <c r="J80" s="17" t="b">
        <f t="shared" si="401"/>
        <v>1</v>
      </c>
      <c r="K80" s="17" t="b">
        <f t="shared" si="401"/>
        <v>0</v>
      </c>
      <c r="L80" s="18" t="b">
        <v>1</v>
      </c>
      <c r="M80" s="18" t="b">
        <v>0</v>
      </c>
      <c r="N80" s="18" t="b">
        <v>0</v>
      </c>
      <c r="O80" s="18" t="b">
        <v>0</v>
      </c>
      <c r="P80" s="16" t="str">
        <f t="shared" si="7"/>
        <v>Museum Plantin-Moretus</v>
      </c>
      <c r="Q80" s="19">
        <v>12.0</v>
      </c>
      <c r="R80" s="18" t="b">
        <v>0</v>
      </c>
      <c r="S80" s="18" t="b">
        <v>1</v>
      </c>
      <c r="T80" s="29">
        <v>12.0</v>
      </c>
      <c r="U80" s="21">
        <f t="shared" si="8"/>
        <v>0</v>
      </c>
      <c r="V80" s="21">
        <f t="shared" ref="V80:AB80" si="402">if(OR(AW80 = $AO$4, AW80 = $AQ$4), 1, 0)</f>
        <v>1</v>
      </c>
      <c r="W80" s="21">
        <f t="shared" si="402"/>
        <v>0</v>
      </c>
      <c r="X80" s="21">
        <f t="shared" si="402"/>
        <v>0</v>
      </c>
      <c r="Y80" s="21">
        <f t="shared" si="402"/>
        <v>0</v>
      </c>
      <c r="Z80" s="21">
        <f t="shared" si="402"/>
        <v>0</v>
      </c>
      <c r="AA80" s="21">
        <f t="shared" si="402"/>
        <v>1</v>
      </c>
      <c r="AB80" s="21">
        <f t="shared" si="402"/>
        <v>0</v>
      </c>
      <c r="AC80" s="21">
        <f t="shared" si="10"/>
        <v>2</v>
      </c>
      <c r="AD80" s="21">
        <f t="shared" si="11"/>
        <v>0</v>
      </c>
      <c r="AE80" s="21">
        <f t="shared" ref="AE80:AH80" si="403">if(OR(BD80 = $AO$6, BD80 = $AS$6, BD80 = $AT$6, BD80 = $AU$6), 1, 0)</f>
        <v>1</v>
      </c>
      <c r="AF80" s="21">
        <f t="shared" si="403"/>
        <v>0</v>
      </c>
      <c r="AG80" s="21">
        <f t="shared" si="403"/>
        <v>0</v>
      </c>
      <c r="AH80" s="21">
        <f t="shared" si="403"/>
        <v>0</v>
      </c>
      <c r="AI80" s="21">
        <f t="shared" si="13"/>
        <v>1</v>
      </c>
      <c r="AJ80" s="21">
        <f t="shared" si="14"/>
        <v>3</v>
      </c>
      <c r="AK80" s="59">
        <f t="shared" si="15"/>
        <v>1.875</v>
      </c>
      <c r="AL80" s="60" t="str">
        <f t="shared" si="16"/>
        <v>subpar</v>
      </c>
      <c r="AW80" s="22" t="str">
        <f t="shared" ref="AW80:BC80" si="404">IF(IFERROR(SEARCH(E$1, $D80),0) &gt;= 1, E$1,0)</f>
        <v>Geschiedenis en archeologie</v>
      </c>
      <c r="AX80" s="22" t="str">
        <f t="shared" si="404"/>
        <v>Wetenschap en technologie</v>
      </c>
      <c r="AY80" s="22">
        <f t="shared" si="404"/>
        <v>0</v>
      </c>
      <c r="AZ80" s="22" t="str">
        <f t="shared" si="404"/>
        <v>Literatuur</v>
      </c>
      <c r="BA80" s="22" t="str">
        <f t="shared" si="404"/>
        <v>Architectuur</v>
      </c>
      <c r="BB80" s="22" t="str">
        <f t="shared" si="404"/>
        <v>Beeldende kunst</v>
      </c>
      <c r="BC80" s="22">
        <f t="shared" si="404"/>
        <v>0</v>
      </c>
      <c r="BD80" s="22" t="str">
        <f t="shared" ref="BD80:BG80" si="405">IF(L80 = true, BD$1, 0)</f>
        <v>Shop</v>
      </c>
      <c r="BE80" s="22">
        <f t="shared" si="405"/>
        <v>0</v>
      </c>
      <c r="BF80" s="22">
        <f t="shared" si="405"/>
        <v>0</v>
      </c>
      <c r="BG80" s="22">
        <f t="shared" si="405"/>
        <v>0</v>
      </c>
      <c r="BH80" s="22" t="str">
        <f>IFERROR(__xludf.DUMMYFUNCTION("""COMPUTED_VALUE"""),"Yper Museum")</f>
        <v>Yper Museum</v>
      </c>
      <c r="BI80" s="24">
        <f>IFERROR(__xludf.DUMMYFUNCTION("""COMPUTED_VALUE"""),8.5)</f>
        <v>8.5</v>
      </c>
      <c r="BJ80" s="22" t="b">
        <f>IFERROR(__xludf.DUMMYFUNCTION("""COMPUTED_VALUE"""),FALSE)</f>
        <v>0</v>
      </c>
      <c r="BK80" s="22" t="b">
        <f>IFERROR(__xludf.DUMMYFUNCTION("""COMPUTED_VALUE"""),FALSE)</f>
        <v>0</v>
      </c>
      <c r="BL80" s="22"/>
      <c r="BM80" s="22">
        <f>IFERROR(__xludf.DUMMYFUNCTION("""COMPUTED_VALUE"""),0.0)</f>
        <v>0</v>
      </c>
      <c r="BN80" s="22">
        <f>IFERROR(__xludf.DUMMYFUNCTION("""COMPUTED_VALUE"""),1.0)</f>
        <v>1</v>
      </c>
      <c r="BO80" s="22">
        <f>IFERROR(__xludf.DUMMYFUNCTION("""COMPUTED_VALUE"""),0.0)</f>
        <v>0</v>
      </c>
      <c r="BP80" s="22">
        <f>IFERROR(__xludf.DUMMYFUNCTION("""COMPUTED_VALUE"""),0.0)</f>
        <v>0</v>
      </c>
      <c r="BQ80" s="22">
        <f>IFERROR(__xludf.DUMMYFUNCTION("""COMPUTED_VALUE"""),0.0)</f>
        <v>0</v>
      </c>
      <c r="BR80" s="22">
        <f>IFERROR(__xludf.DUMMYFUNCTION("""COMPUTED_VALUE"""),0.0)</f>
        <v>0</v>
      </c>
      <c r="BS80" s="22">
        <f>IFERROR(__xludf.DUMMYFUNCTION("""COMPUTED_VALUE"""),1.0)</f>
        <v>1</v>
      </c>
      <c r="BT80" s="22">
        <f>IFERROR(__xludf.DUMMYFUNCTION("""COMPUTED_VALUE"""),0.0)</f>
        <v>0</v>
      </c>
      <c r="BU80" s="22">
        <f>IFERROR(__xludf.DUMMYFUNCTION("""COMPUTED_VALUE"""),2.0)</f>
        <v>2</v>
      </c>
      <c r="BV80" s="22">
        <f>IFERROR(__xludf.DUMMYFUNCTION("""COMPUTED_VALUE"""),1.0)</f>
        <v>1</v>
      </c>
      <c r="BW80" s="22">
        <f>IFERROR(__xludf.DUMMYFUNCTION("""COMPUTED_VALUE"""),0.0)</f>
        <v>0</v>
      </c>
      <c r="BX80" s="22">
        <f>IFERROR(__xludf.DUMMYFUNCTION("""COMPUTED_VALUE"""),1.0)</f>
        <v>1</v>
      </c>
      <c r="BY80" s="22">
        <f>IFERROR(__xludf.DUMMYFUNCTION("""COMPUTED_VALUE"""),0.0)</f>
        <v>0</v>
      </c>
      <c r="BZ80" s="22">
        <f>IFERROR(__xludf.DUMMYFUNCTION("""COMPUTED_VALUE"""),0.0)</f>
        <v>0</v>
      </c>
      <c r="CA80" s="22">
        <f>IFERROR(__xludf.DUMMYFUNCTION("""COMPUTED_VALUE"""),1.0)</f>
        <v>1</v>
      </c>
      <c r="CB80" s="22">
        <f>IFERROR(__xludf.DUMMYFUNCTION("""COMPUTED_VALUE"""),4.0)</f>
        <v>4</v>
      </c>
      <c r="CC80" s="61">
        <f>IFERROR(__xludf.DUMMYFUNCTION("""COMPUTED_VALUE"""),2.5)</f>
        <v>2.5</v>
      </c>
      <c r="CD80" s="62" t="str">
        <f>IFERROR(__xludf.DUMMYFUNCTION("""COMPUTED_VALUE"""),"subpar")</f>
        <v>subpar</v>
      </c>
      <c r="CE80" s="22" t="s">
        <v>145</v>
      </c>
      <c r="CF80" s="24">
        <v>8.5</v>
      </c>
      <c r="CG80" s="22" t="b">
        <v>0</v>
      </c>
      <c r="CH80" s="22" t="b">
        <v>0</v>
      </c>
      <c r="CI80" s="22"/>
      <c r="CJ80" s="22">
        <v>0.0</v>
      </c>
      <c r="CK80" s="22">
        <v>1.0</v>
      </c>
      <c r="CL80" s="22">
        <v>0.0</v>
      </c>
      <c r="CM80" s="22">
        <v>0.0</v>
      </c>
      <c r="CN80" s="22">
        <v>0.0</v>
      </c>
      <c r="CO80" s="22">
        <v>0.0</v>
      </c>
      <c r="CP80" s="22">
        <v>1.0</v>
      </c>
      <c r="CQ80" s="22">
        <v>0.0</v>
      </c>
      <c r="CR80" s="22">
        <v>2.0</v>
      </c>
      <c r="CS80" s="22">
        <v>1.0</v>
      </c>
      <c r="CT80" s="22">
        <v>0.0</v>
      </c>
      <c r="CU80" s="22">
        <v>1.0</v>
      </c>
      <c r="CV80" s="22">
        <v>0.0</v>
      </c>
      <c r="CW80" s="22">
        <v>0.0</v>
      </c>
      <c r="CX80" s="22">
        <v>1.0</v>
      </c>
      <c r="CY80" s="22">
        <v>4.0</v>
      </c>
      <c r="CZ80" s="61">
        <v>2.5</v>
      </c>
      <c r="DA80" s="62" t="s">
        <v>568</v>
      </c>
    </row>
    <row r="81">
      <c r="A81" s="16" t="s">
        <v>196</v>
      </c>
      <c r="B81" s="16" t="s">
        <v>197</v>
      </c>
      <c r="C81" s="34" t="s">
        <v>31</v>
      </c>
      <c r="D81" s="16" t="s">
        <v>198</v>
      </c>
      <c r="E81" s="17" t="b">
        <f t="shared" ref="E81:K81" si="406">If(IFERROR(SEARCH(E$1, $D81),0) &gt;= 1, true,false)</f>
        <v>1</v>
      </c>
      <c r="F81" s="17" t="b">
        <f t="shared" si="406"/>
        <v>0</v>
      </c>
      <c r="G81" s="17" t="b">
        <f t="shared" si="406"/>
        <v>0</v>
      </c>
      <c r="H81" s="17" t="b">
        <f t="shared" si="406"/>
        <v>0</v>
      </c>
      <c r="I81" s="17" t="b">
        <f t="shared" si="406"/>
        <v>1</v>
      </c>
      <c r="J81" s="17" t="b">
        <f t="shared" si="406"/>
        <v>1</v>
      </c>
      <c r="K81" s="17" t="b">
        <f t="shared" si="406"/>
        <v>0</v>
      </c>
      <c r="L81" s="18" t="b">
        <v>1</v>
      </c>
      <c r="M81" s="18" t="b">
        <v>0</v>
      </c>
      <c r="N81" s="18" t="b">
        <v>0</v>
      </c>
      <c r="O81" s="18" t="b">
        <v>0</v>
      </c>
      <c r="P81" s="16" t="str">
        <f t="shared" si="7"/>
        <v>Museum Vleeshuis</v>
      </c>
      <c r="Q81" s="19">
        <v>8.0</v>
      </c>
      <c r="R81" s="18" t="b">
        <v>1</v>
      </c>
      <c r="S81" s="18" t="b">
        <v>0</v>
      </c>
      <c r="T81" s="16"/>
      <c r="U81" s="21">
        <f t="shared" si="8"/>
        <v>0</v>
      </c>
      <c r="V81" s="21">
        <f t="shared" ref="V81:AB81" si="407">if(OR(AW81 = $AO$4, AW81 = $AQ$4), 1, 0)</f>
        <v>1</v>
      </c>
      <c r="W81" s="21">
        <f t="shared" si="407"/>
        <v>0</v>
      </c>
      <c r="X81" s="21">
        <f t="shared" si="407"/>
        <v>0</v>
      </c>
      <c r="Y81" s="21">
        <f t="shared" si="407"/>
        <v>0</v>
      </c>
      <c r="Z81" s="21">
        <f t="shared" si="407"/>
        <v>0</v>
      </c>
      <c r="AA81" s="21">
        <f t="shared" si="407"/>
        <v>1</v>
      </c>
      <c r="AB81" s="21">
        <f t="shared" si="407"/>
        <v>0</v>
      </c>
      <c r="AC81" s="21">
        <f t="shared" si="10"/>
        <v>2</v>
      </c>
      <c r="AD81" s="21">
        <f t="shared" si="11"/>
        <v>1</v>
      </c>
      <c r="AE81" s="21">
        <f t="shared" ref="AE81:AH81" si="408">if(OR(BD81 = $AO$6, BD81 = $AS$6, BD81 = $AT$6, BD81 = $AU$6), 1, 0)</f>
        <v>1</v>
      </c>
      <c r="AF81" s="21">
        <f t="shared" si="408"/>
        <v>0</v>
      </c>
      <c r="AG81" s="21">
        <f t="shared" si="408"/>
        <v>0</v>
      </c>
      <c r="AH81" s="21">
        <f t="shared" si="408"/>
        <v>0</v>
      </c>
      <c r="AI81" s="21">
        <f t="shared" si="13"/>
        <v>1</v>
      </c>
      <c r="AJ81" s="21">
        <f t="shared" si="14"/>
        <v>4</v>
      </c>
      <c r="AK81" s="59">
        <f t="shared" si="15"/>
        <v>2.5</v>
      </c>
      <c r="AL81" s="60" t="str">
        <f t="shared" si="16"/>
        <v>subpar</v>
      </c>
      <c r="AW81" s="22" t="str">
        <f t="shared" ref="AW81:BC81" si="409">IF(IFERROR(SEARCH(E$1, $D81),0) &gt;= 1, E$1,0)</f>
        <v>Geschiedenis en archeologie</v>
      </c>
      <c r="AX81" s="22">
        <f t="shared" si="409"/>
        <v>0</v>
      </c>
      <c r="AY81" s="22">
        <f t="shared" si="409"/>
        <v>0</v>
      </c>
      <c r="AZ81" s="22">
        <f t="shared" si="409"/>
        <v>0</v>
      </c>
      <c r="BA81" s="22" t="str">
        <f t="shared" si="409"/>
        <v>Architectuur</v>
      </c>
      <c r="BB81" s="22" t="str">
        <f t="shared" si="409"/>
        <v>Beeldende kunst</v>
      </c>
      <c r="BC81" s="22">
        <f t="shared" si="409"/>
        <v>0</v>
      </c>
      <c r="BD81" s="22" t="str">
        <f t="shared" ref="BD81:BG81" si="410">IF(L81 = true, BD$1, 0)</f>
        <v>Shop</v>
      </c>
      <c r="BE81" s="22">
        <f t="shared" si="410"/>
        <v>0</v>
      </c>
      <c r="BF81" s="22">
        <f t="shared" si="410"/>
        <v>0</v>
      </c>
      <c r="BG81" s="22">
        <f t="shared" si="410"/>
        <v>0</v>
      </c>
      <c r="BH81" s="22" t="str">
        <f>IFERROR(__xludf.DUMMYFUNCTION("""COMPUTED_VALUE"""),"Begijnhofmuseum Turnhout")</f>
        <v>Begijnhofmuseum Turnhout</v>
      </c>
      <c r="BI81" s="24">
        <f>IFERROR(__xludf.DUMMYFUNCTION("""COMPUTED_VALUE"""),5.0)</f>
        <v>5</v>
      </c>
      <c r="BJ81" s="22" t="b">
        <f>IFERROR(__xludf.DUMMYFUNCTION("""COMPUTED_VALUE"""),FALSE)</f>
        <v>0</v>
      </c>
      <c r="BK81" s="22" t="b">
        <f>IFERROR(__xludf.DUMMYFUNCTION("""COMPUTED_VALUE"""),FALSE)</f>
        <v>0</v>
      </c>
      <c r="BL81" s="22"/>
      <c r="BM81" s="22">
        <f>IFERROR(__xludf.DUMMYFUNCTION("""COMPUTED_VALUE"""),0.0)</f>
        <v>0</v>
      </c>
      <c r="BN81" s="22">
        <f>IFERROR(__xludf.DUMMYFUNCTION("""COMPUTED_VALUE"""),1.0)</f>
        <v>1</v>
      </c>
      <c r="BO81" s="22">
        <f>IFERROR(__xludf.DUMMYFUNCTION("""COMPUTED_VALUE"""),0.0)</f>
        <v>0</v>
      </c>
      <c r="BP81" s="22">
        <f>IFERROR(__xludf.DUMMYFUNCTION("""COMPUTED_VALUE"""),0.0)</f>
        <v>0</v>
      </c>
      <c r="BQ81" s="22">
        <f>IFERROR(__xludf.DUMMYFUNCTION("""COMPUTED_VALUE"""),0.0)</f>
        <v>0</v>
      </c>
      <c r="BR81" s="22">
        <f>IFERROR(__xludf.DUMMYFUNCTION("""COMPUTED_VALUE"""),0.0)</f>
        <v>0</v>
      </c>
      <c r="BS81" s="22">
        <f>IFERROR(__xludf.DUMMYFUNCTION("""COMPUTED_VALUE"""),1.0)</f>
        <v>1</v>
      </c>
      <c r="BT81" s="22">
        <f>IFERROR(__xludf.DUMMYFUNCTION("""COMPUTED_VALUE"""),0.0)</f>
        <v>0</v>
      </c>
      <c r="BU81" s="22">
        <f>IFERROR(__xludf.DUMMYFUNCTION("""COMPUTED_VALUE"""),2.0)</f>
        <v>2</v>
      </c>
      <c r="BV81" s="22">
        <f>IFERROR(__xludf.DUMMYFUNCTION("""COMPUTED_VALUE"""),1.0)</f>
        <v>1</v>
      </c>
      <c r="BW81" s="22">
        <f>IFERROR(__xludf.DUMMYFUNCTION("""COMPUTED_VALUE"""),1.0)</f>
        <v>1</v>
      </c>
      <c r="BX81" s="22">
        <f>IFERROR(__xludf.DUMMYFUNCTION("""COMPUTED_VALUE"""),0.0)</f>
        <v>0</v>
      </c>
      <c r="BY81" s="22">
        <f>IFERROR(__xludf.DUMMYFUNCTION("""COMPUTED_VALUE"""),0.0)</f>
        <v>0</v>
      </c>
      <c r="BZ81" s="22">
        <f>IFERROR(__xludf.DUMMYFUNCTION("""COMPUTED_VALUE"""),0.0)</f>
        <v>0</v>
      </c>
      <c r="CA81" s="22">
        <f>IFERROR(__xludf.DUMMYFUNCTION("""COMPUTED_VALUE"""),1.0)</f>
        <v>1</v>
      </c>
      <c r="CB81" s="22">
        <f>IFERROR(__xludf.DUMMYFUNCTION("""COMPUTED_VALUE"""),4.0)</f>
        <v>4</v>
      </c>
      <c r="CC81" s="61">
        <f>IFERROR(__xludf.DUMMYFUNCTION("""COMPUTED_VALUE"""),2.5)</f>
        <v>2.5</v>
      </c>
      <c r="CD81" s="62" t="str">
        <f>IFERROR(__xludf.DUMMYFUNCTION("""COMPUTED_VALUE"""),"subpar")</f>
        <v>subpar</v>
      </c>
      <c r="CE81" s="22" t="s">
        <v>149</v>
      </c>
      <c r="CF81" s="24">
        <v>5.0</v>
      </c>
      <c r="CG81" s="22" t="b">
        <v>0</v>
      </c>
      <c r="CH81" s="22" t="b">
        <v>0</v>
      </c>
      <c r="CI81" s="22"/>
      <c r="CJ81" s="22">
        <v>0.0</v>
      </c>
      <c r="CK81" s="22">
        <v>1.0</v>
      </c>
      <c r="CL81" s="22">
        <v>0.0</v>
      </c>
      <c r="CM81" s="22">
        <v>0.0</v>
      </c>
      <c r="CN81" s="22">
        <v>0.0</v>
      </c>
      <c r="CO81" s="22">
        <v>0.0</v>
      </c>
      <c r="CP81" s="22">
        <v>1.0</v>
      </c>
      <c r="CQ81" s="22">
        <v>0.0</v>
      </c>
      <c r="CR81" s="22">
        <v>2.0</v>
      </c>
      <c r="CS81" s="22">
        <v>1.0</v>
      </c>
      <c r="CT81" s="22">
        <v>1.0</v>
      </c>
      <c r="CU81" s="22">
        <v>0.0</v>
      </c>
      <c r="CV81" s="22">
        <v>0.0</v>
      </c>
      <c r="CW81" s="22">
        <v>0.0</v>
      </c>
      <c r="CX81" s="22">
        <v>1.0</v>
      </c>
      <c r="CY81" s="22">
        <v>4.0</v>
      </c>
      <c r="CZ81" s="61">
        <v>2.5</v>
      </c>
      <c r="DA81" s="62" t="s">
        <v>568</v>
      </c>
    </row>
    <row r="82">
      <c r="A82" s="16" t="s">
        <v>199</v>
      </c>
      <c r="B82" s="16" t="s">
        <v>200</v>
      </c>
      <c r="C82" s="34" t="s">
        <v>31</v>
      </c>
      <c r="D82" s="36" t="s">
        <v>107</v>
      </c>
      <c r="E82" s="17" t="b">
        <f t="shared" ref="E82:K82" si="411">If(IFERROR(SEARCH(E$1, $D82),0) &gt;= 1, true,false)</f>
        <v>1</v>
      </c>
      <c r="F82" s="17" t="b">
        <f t="shared" si="411"/>
        <v>1</v>
      </c>
      <c r="G82" s="17" t="b">
        <f t="shared" si="411"/>
        <v>0</v>
      </c>
      <c r="H82" s="17" t="b">
        <f t="shared" si="411"/>
        <v>0</v>
      </c>
      <c r="I82" s="17" t="b">
        <f t="shared" si="411"/>
        <v>0</v>
      </c>
      <c r="J82" s="17" t="b">
        <f t="shared" si="411"/>
        <v>0</v>
      </c>
      <c r="K82" s="17" t="b">
        <f t="shared" si="411"/>
        <v>0</v>
      </c>
      <c r="L82" s="18" t="b">
        <v>1</v>
      </c>
      <c r="M82" s="18" t="b">
        <v>1</v>
      </c>
      <c r="N82" s="18" t="b">
        <v>1</v>
      </c>
      <c r="O82" s="18" t="b">
        <v>0</v>
      </c>
      <c r="P82" s="16" t="str">
        <f t="shared" si="7"/>
        <v>Nationaal Museum van de Speelkaart</v>
      </c>
      <c r="Q82" s="19">
        <v>5.0</v>
      </c>
      <c r="R82" s="18" t="b">
        <v>0</v>
      </c>
      <c r="S82" s="18" t="b">
        <v>1</v>
      </c>
      <c r="T82" s="29">
        <v>5.0</v>
      </c>
      <c r="U82" s="21">
        <f t="shared" si="8"/>
        <v>0</v>
      </c>
      <c r="V82" s="21">
        <f t="shared" ref="V82:AB82" si="412">if(OR(AW82 = $AO$4, AW82 = $AQ$4), 1, 0)</f>
        <v>1</v>
      </c>
      <c r="W82" s="21">
        <f t="shared" si="412"/>
        <v>0</v>
      </c>
      <c r="X82" s="21">
        <f t="shared" si="412"/>
        <v>0</v>
      </c>
      <c r="Y82" s="21">
        <f t="shared" si="412"/>
        <v>0</v>
      </c>
      <c r="Z82" s="21">
        <f t="shared" si="412"/>
        <v>0</v>
      </c>
      <c r="AA82" s="21">
        <f t="shared" si="412"/>
        <v>0</v>
      </c>
      <c r="AB82" s="21">
        <f t="shared" si="412"/>
        <v>0</v>
      </c>
      <c r="AC82" s="21">
        <f t="shared" si="10"/>
        <v>1</v>
      </c>
      <c r="AD82" s="21">
        <f t="shared" si="11"/>
        <v>1</v>
      </c>
      <c r="AE82" s="21">
        <f t="shared" ref="AE82:AH82" si="413">if(OR(BD82 = $AO$6, BD82 = $AS$6, BD82 = $AT$6, BD82 = $AU$6), 1, 0)</f>
        <v>1</v>
      </c>
      <c r="AF82" s="21">
        <f t="shared" si="413"/>
        <v>1</v>
      </c>
      <c r="AG82" s="21">
        <f t="shared" si="413"/>
        <v>1</v>
      </c>
      <c r="AH82" s="21">
        <f t="shared" si="413"/>
        <v>0</v>
      </c>
      <c r="AI82" s="21">
        <f t="shared" si="13"/>
        <v>3</v>
      </c>
      <c r="AJ82" s="21">
        <f t="shared" si="14"/>
        <v>5</v>
      </c>
      <c r="AK82" s="59">
        <f t="shared" si="15"/>
        <v>3.125</v>
      </c>
      <c r="AL82" s="60" t="str">
        <f t="shared" si="16"/>
        <v>good</v>
      </c>
      <c r="AW82" s="22" t="str">
        <f t="shared" ref="AW82:BC82" si="414">IF(IFERROR(SEARCH(E$1, $D82),0) &gt;= 1, E$1,0)</f>
        <v>Geschiedenis en archeologie</v>
      </c>
      <c r="AX82" s="22" t="str">
        <f t="shared" si="414"/>
        <v>Wetenschap en technologie</v>
      </c>
      <c r="AY82" s="22">
        <f t="shared" si="414"/>
        <v>0</v>
      </c>
      <c r="AZ82" s="22">
        <f t="shared" si="414"/>
        <v>0</v>
      </c>
      <c r="BA82" s="22">
        <f t="shared" si="414"/>
        <v>0</v>
      </c>
      <c r="BB82" s="22">
        <f t="shared" si="414"/>
        <v>0</v>
      </c>
      <c r="BC82" s="22">
        <f t="shared" si="414"/>
        <v>0</v>
      </c>
      <c r="BD82" s="22" t="str">
        <f t="shared" ref="BD82:BG82" si="415">IF(L82 = true, BD$1, 0)</f>
        <v>Shop</v>
      </c>
      <c r="BE82" s="22" t="str">
        <f t="shared" si="415"/>
        <v>Café</v>
      </c>
      <c r="BF82" s="22" t="str">
        <f t="shared" si="415"/>
        <v>Parking</v>
      </c>
      <c r="BG82" s="22">
        <f t="shared" si="415"/>
        <v>0</v>
      </c>
      <c r="BH82" s="22" t="str">
        <f>IFERROR(__xludf.DUMMYFUNCTION("""COMPUTED_VALUE"""),"FOMU | Fotomuseum Antwerpen")</f>
        <v>FOMU | Fotomuseum Antwerpen</v>
      </c>
      <c r="BI82" s="24">
        <f>IFERROR(__xludf.DUMMYFUNCTION("""COMPUTED_VALUE"""),12.0)</f>
        <v>12</v>
      </c>
      <c r="BJ82" s="22" t="b">
        <f>IFERROR(__xludf.DUMMYFUNCTION("""COMPUTED_VALUE"""),FALSE)</f>
        <v>0</v>
      </c>
      <c r="BK82" s="22" t="b">
        <f>IFERROR(__xludf.DUMMYFUNCTION("""COMPUTED_VALUE"""),TRUE)</f>
        <v>1</v>
      </c>
      <c r="BL82" s="24">
        <f>IFERROR(__xludf.DUMMYFUNCTION("""COMPUTED_VALUE"""),12.0)</f>
        <v>12</v>
      </c>
      <c r="BM82" s="22">
        <f>IFERROR(__xludf.DUMMYFUNCTION("""COMPUTED_VALUE"""),0.0)</f>
        <v>0</v>
      </c>
      <c r="BN82" s="22">
        <f>IFERROR(__xludf.DUMMYFUNCTION("""COMPUTED_VALUE"""),0.0)</f>
        <v>0</v>
      </c>
      <c r="BO82" s="22">
        <f>IFERROR(__xludf.DUMMYFUNCTION("""COMPUTED_VALUE"""),0.0)</f>
        <v>0</v>
      </c>
      <c r="BP82" s="22">
        <f>IFERROR(__xludf.DUMMYFUNCTION("""COMPUTED_VALUE"""),0.0)</f>
        <v>0</v>
      </c>
      <c r="BQ82" s="22">
        <f>IFERROR(__xludf.DUMMYFUNCTION("""COMPUTED_VALUE"""),0.0)</f>
        <v>0</v>
      </c>
      <c r="BR82" s="22">
        <f>IFERROR(__xludf.DUMMYFUNCTION("""COMPUTED_VALUE"""),0.0)</f>
        <v>0</v>
      </c>
      <c r="BS82" s="22">
        <f>IFERROR(__xludf.DUMMYFUNCTION("""COMPUTED_VALUE"""),1.0)</f>
        <v>1</v>
      </c>
      <c r="BT82" s="22">
        <f>IFERROR(__xludf.DUMMYFUNCTION("""COMPUTED_VALUE"""),0.0)</f>
        <v>0</v>
      </c>
      <c r="BU82" s="22">
        <f>IFERROR(__xludf.DUMMYFUNCTION("""COMPUTED_VALUE"""),1.0)</f>
        <v>1</v>
      </c>
      <c r="BV82" s="22">
        <f>IFERROR(__xludf.DUMMYFUNCTION("""COMPUTED_VALUE"""),0.0)</f>
        <v>0</v>
      </c>
      <c r="BW82" s="22">
        <f>IFERROR(__xludf.DUMMYFUNCTION("""COMPUTED_VALUE"""),1.0)</f>
        <v>1</v>
      </c>
      <c r="BX82" s="22">
        <f>IFERROR(__xludf.DUMMYFUNCTION("""COMPUTED_VALUE"""),1.0)</f>
        <v>1</v>
      </c>
      <c r="BY82" s="22">
        <f>IFERROR(__xludf.DUMMYFUNCTION("""COMPUTED_VALUE"""),1.0)</f>
        <v>1</v>
      </c>
      <c r="BZ82" s="22">
        <f>IFERROR(__xludf.DUMMYFUNCTION("""COMPUTED_VALUE"""),0.0)</f>
        <v>0</v>
      </c>
      <c r="CA82" s="22">
        <f>IFERROR(__xludf.DUMMYFUNCTION("""COMPUTED_VALUE"""),3.0)</f>
        <v>3</v>
      </c>
      <c r="CB82" s="22">
        <f>IFERROR(__xludf.DUMMYFUNCTION("""COMPUTED_VALUE"""),4.0)</f>
        <v>4</v>
      </c>
      <c r="CC82" s="61">
        <f>IFERROR(__xludf.DUMMYFUNCTION("""COMPUTED_VALUE"""),2.5)</f>
        <v>2.5</v>
      </c>
      <c r="CD82" s="62" t="str">
        <f>IFERROR(__xludf.DUMMYFUNCTION("""COMPUTED_VALUE"""),"subpar")</f>
        <v>subpar</v>
      </c>
      <c r="CE82" s="22" t="s">
        <v>157</v>
      </c>
      <c r="CF82" s="24">
        <v>12.0</v>
      </c>
      <c r="CG82" s="22" t="b">
        <v>0</v>
      </c>
      <c r="CH82" s="22" t="b">
        <v>1</v>
      </c>
      <c r="CI82" s="24">
        <v>12.0</v>
      </c>
      <c r="CJ82" s="22">
        <v>0.0</v>
      </c>
      <c r="CK82" s="22">
        <v>0.0</v>
      </c>
      <c r="CL82" s="22">
        <v>0.0</v>
      </c>
      <c r="CM82" s="22">
        <v>0.0</v>
      </c>
      <c r="CN82" s="22">
        <v>0.0</v>
      </c>
      <c r="CO82" s="22">
        <v>0.0</v>
      </c>
      <c r="CP82" s="22">
        <v>1.0</v>
      </c>
      <c r="CQ82" s="22">
        <v>0.0</v>
      </c>
      <c r="CR82" s="22">
        <v>1.0</v>
      </c>
      <c r="CS82" s="22">
        <v>0.0</v>
      </c>
      <c r="CT82" s="22">
        <v>1.0</v>
      </c>
      <c r="CU82" s="22">
        <v>1.0</v>
      </c>
      <c r="CV82" s="22">
        <v>1.0</v>
      </c>
      <c r="CW82" s="22">
        <v>0.0</v>
      </c>
      <c r="CX82" s="22">
        <v>3.0</v>
      </c>
      <c r="CY82" s="22">
        <v>4.0</v>
      </c>
      <c r="CZ82" s="61">
        <v>2.5</v>
      </c>
      <c r="DA82" s="62" t="s">
        <v>568</v>
      </c>
    </row>
    <row r="83">
      <c r="A83" s="16" t="s">
        <v>201</v>
      </c>
      <c r="B83" s="16" t="s">
        <v>202</v>
      </c>
      <c r="C83" s="34" t="s">
        <v>31</v>
      </c>
      <c r="D83" s="16" t="s">
        <v>4</v>
      </c>
      <c r="E83" s="17" t="b">
        <f t="shared" ref="E83:K83" si="416">If(IFERROR(SEARCH(E$1, $D83),0) &gt;= 1, true,false)</f>
        <v>1</v>
      </c>
      <c r="F83" s="17" t="b">
        <f t="shared" si="416"/>
        <v>0</v>
      </c>
      <c r="G83" s="17" t="b">
        <f t="shared" si="416"/>
        <v>0</v>
      </c>
      <c r="H83" s="17" t="b">
        <f t="shared" si="416"/>
        <v>0</v>
      </c>
      <c r="I83" s="17" t="b">
        <f t="shared" si="416"/>
        <v>0</v>
      </c>
      <c r="J83" s="17" t="b">
        <f t="shared" si="416"/>
        <v>0</v>
      </c>
      <c r="K83" s="17" t="b">
        <f t="shared" si="416"/>
        <v>0</v>
      </c>
      <c r="L83" s="18" t="b">
        <v>1</v>
      </c>
      <c r="M83" s="18" t="b">
        <v>1</v>
      </c>
      <c r="N83" s="18" t="b">
        <v>0</v>
      </c>
      <c r="O83" s="18" t="b">
        <v>0</v>
      </c>
      <c r="P83" s="16" t="str">
        <f t="shared" si="7"/>
        <v>Red Star Line Museum</v>
      </c>
      <c r="Q83" s="19">
        <v>10.0</v>
      </c>
      <c r="R83" s="18" t="b">
        <v>0</v>
      </c>
      <c r="S83" s="18" t="b">
        <v>1</v>
      </c>
      <c r="T83" s="29">
        <v>0.0</v>
      </c>
      <c r="U83" s="21">
        <f t="shared" si="8"/>
        <v>0</v>
      </c>
      <c r="V83" s="21">
        <f t="shared" ref="V83:AB83" si="417">if(OR(AW83 = $AO$4, AW83 = $AQ$4), 1, 0)</f>
        <v>1</v>
      </c>
      <c r="W83" s="21">
        <f t="shared" si="417"/>
        <v>0</v>
      </c>
      <c r="X83" s="21">
        <f t="shared" si="417"/>
        <v>0</v>
      </c>
      <c r="Y83" s="21">
        <f t="shared" si="417"/>
        <v>0</v>
      </c>
      <c r="Z83" s="21">
        <f t="shared" si="417"/>
        <v>0</v>
      </c>
      <c r="AA83" s="21">
        <f t="shared" si="417"/>
        <v>0</v>
      </c>
      <c r="AB83" s="21">
        <f t="shared" si="417"/>
        <v>0</v>
      </c>
      <c r="AC83" s="21">
        <f t="shared" si="10"/>
        <v>1</v>
      </c>
      <c r="AD83" s="21">
        <f t="shared" si="11"/>
        <v>1</v>
      </c>
      <c r="AE83" s="21">
        <f t="shared" ref="AE83:AH83" si="418">if(OR(BD83 = $AO$6, BD83 = $AS$6, BD83 = $AT$6, BD83 = $AU$6), 1, 0)</f>
        <v>1</v>
      </c>
      <c r="AF83" s="21">
        <f t="shared" si="418"/>
        <v>1</v>
      </c>
      <c r="AG83" s="21">
        <f t="shared" si="418"/>
        <v>0</v>
      </c>
      <c r="AH83" s="21">
        <f t="shared" si="418"/>
        <v>0</v>
      </c>
      <c r="AI83" s="21">
        <f t="shared" si="13"/>
        <v>2</v>
      </c>
      <c r="AJ83" s="21">
        <f t="shared" si="14"/>
        <v>4</v>
      </c>
      <c r="AK83" s="59">
        <f t="shared" si="15"/>
        <v>2.5</v>
      </c>
      <c r="AL83" s="60" t="str">
        <f t="shared" si="16"/>
        <v>subpar</v>
      </c>
      <c r="AW83" s="22" t="str">
        <f t="shared" ref="AW83:BC83" si="419">IF(IFERROR(SEARCH(E$1, $D83),0) &gt;= 1, E$1,0)</f>
        <v>Geschiedenis en archeologie</v>
      </c>
      <c r="AX83" s="22">
        <f t="shared" si="419"/>
        <v>0</v>
      </c>
      <c r="AY83" s="22">
        <f t="shared" si="419"/>
        <v>0</v>
      </c>
      <c r="AZ83" s="22">
        <f t="shared" si="419"/>
        <v>0</v>
      </c>
      <c r="BA83" s="22">
        <f t="shared" si="419"/>
        <v>0</v>
      </c>
      <c r="BB83" s="22">
        <f t="shared" si="419"/>
        <v>0</v>
      </c>
      <c r="BC83" s="22">
        <f t="shared" si="419"/>
        <v>0</v>
      </c>
      <c r="BD83" s="22" t="str">
        <f t="shared" ref="BD83:BG83" si="420">IF(L83 = true, BD$1, 0)</f>
        <v>Shop</v>
      </c>
      <c r="BE83" s="22" t="str">
        <f t="shared" si="420"/>
        <v>Café</v>
      </c>
      <c r="BF83" s="22">
        <f t="shared" si="420"/>
        <v>0</v>
      </c>
      <c r="BG83" s="22">
        <f t="shared" si="420"/>
        <v>0</v>
      </c>
      <c r="BH83" s="22" t="str">
        <f>IFERROR(__xludf.DUMMYFUNCTION("""COMPUTED_VALUE"""),"Gasthuismuseum Geel")</f>
        <v>Gasthuismuseum Geel</v>
      </c>
      <c r="BI83" s="24">
        <f>IFERROR(__xludf.DUMMYFUNCTION("""COMPUTED_VALUE"""),12.0)</f>
        <v>12</v>
      </c>
      <c r="BJ83" s="22" t="b">
        <f>IFERROR(__xludf.DUMMYFUNCTION("""COMPUTED_VALUE"""),FALSE)</f>
        <v>0</v>
      </c>
      <c r="BK83" s="22" t="b">
        <f>IFERROR(__xludf.DUMMYFUNCTION("""COMPUTED_VALUE"""),TRUE)</f>
        <v>1</v>
      </c>
      <c r="BL83" s="24">
        <f>IFERROR(__xludf.DUMMYFUNCTION("""COMPUTED_VALUE"""),6.0)</f>
        <v>6</v>
      </c>
      <c r="BM83" s="22">
        <f>IFERROR(__xludf.DUMMYFUNCTION("""COMPUTED_VALUE"""),0.0)</f>
        <v>0</v>
      </c>
      <c r="BN83" s="22">
        <f>IFERROR(__xludf.DUMMYFUNCTION("""COMPUTED_VALUE"""),1.0)</f>
        <v>1</v>
      </c>
      <c r="BO83" s="22">
        <f>IFERROR(__xludf.DUMMYFUNCTION("""COMPUTED_VALUE"""),0.0)</f>
        <v>0</v>
      </c>
      <c r="BP83" s="22">
        <f>IFERROR(__xludf.DUMMYFUNCTION("""COMPUTED_VALUE"""),0.0)</f>
        <v>0</v>
      </c>
      <c r="BQ83" s="22">
        <f>IFERROR(__xludf.DUMMYFUNCTION("""COMPUTED_VALUE"""),0.0)</f>
        <v>0</v>
      </c>
      <c r="BR83" s="22">
        <f>IFERROR(__xludf.DUMMYFUNCTION("""COMPUTED_VALUE"""),0.0)</f>
        <v>0</v>
      </c>
      <c r="BS83" s="22">
        <f>IFERROR(__xludf.DUMMYFUNCTION("""COMPUTED_VALUE"""),1.0)</f>
        <v>1</v>
      </c>
      <c r="BT83" s="22">
        <f>IFERROR(__xludf.DUMMYFUNCTION("""COMPUTED_VALUE"""),0.0)</f>
        <v>0</v>
      </c>
      <c r="BU83" s="22">
        <f>IFERROR(__xludf.DUMMYFUNCTION("""COMPUTED_VALUE"""),2.0)</f>
        <v>2</v>
      </c>
      <c r="BV83" s="22">
        <f>IFERROR(__xludf.DUMMYFUNCTION("""COMPUTED_VALUE"""),0.0)</f>
        <v>0</v>
      </c>
      <c r="BW83" s="22">
        <f>IFERROR(__xludf.DUMMYFUNCTION("""COMPUTED_VALUE"""),1.0)</f>
        <v>1</v>
      </c>
      <c r="BX83" s="22">
        <f>IFERROR(__xludf.DUMMYFUNCTION("""COMPUTED_VALUE"""),0.0)</f>
        <v>0</v>
      </c>
      <c r="BY83" s="22">
        <f>IFERROR(__xludf.DUMMYFUNCTION("""COMPUTED_VALUE"""),1.0)</f>
        <v>1</v>
      </c>
      <c r="BZ83" s="22">
        <f>IFERROR(__xludf.DUMMYFUNCTION("""COMPUTED_VALUE"""),0.0)</f>
        <v>0</v>
      </c>
      <c r="CA83" s="22">
        <f>IFERROR(__xludf.DUMMYFUNCTION("""COMPUTED_VALUE"""),2.0)</f>
        <v>2</v>
      </c>
      <c r="CB83" s="22">
        <f>IFERROR(__xludf.DUMMYFUNCTION("""COMPUTED_VALUE"""),4.0)</f>
        <v>4</v>
      </c>
      <c r="CC83" s="61">
        <f>IFERROR(__xludf.DUMMYFUNCTION("""COMPUTED_VALUE"""),2.5)</f>
        <v>2.5</v>
      </c>
      <c r="CD83" s="62" t="str">
        <f>IFERROR(__xludf.DUMMYFUNCTION("""COMPUTED_VALUE"""),"subpar")</f>
        <v>subpar</v>
      </c>
      <c r="CE83" s="22" t="s">
        <v>161</v>
      </c>
      <c r="CF83" s="24">
        <v>12.0</v>
      </c>
      <c r="CG83" s="22" t="b">
        <v>0</v>
      </c>
      <c r="CH83" s="22" t="b">
        <v>1</v>
      </c>
      <c r="CI83" s="24">
        <v>6.0</v>
      </c>
      <c r="CJ83" s="22">
        <v>0.0</v>
      </c>
      <c r="CK83" s="22">
        <v>1.0</v>
      </c>
      <c r="CL83" s="22">
        <v>0.0</v>
      </c>
      <c r="CM83" s="22">
        <v>0.0</v>
      </c>
      <c r="CN83" s="22">
        <v>0.0</v>
      </c>
      <c r="CO83" s="22">
        <v>0.0</v>
      </c>
      <c r="CP83" s="22">
        <v>1.0</v>
      </c>
      <c r="CQ83" s="22">
        <v>0.0</v>
      </c>
      <c r="CR83" s="22">
        <v>2.0</v>
      </c>
      <c r="CS83" s="22">
        <v>0.0</v>
      </c>
      <c r="CT83" s="22">
        <v>1.0</v>
      </c>
      <c r="CU83" s="22">
        <v>0.0</v>
      </c>
      <c r="CV83" s="22">
        <v>1.0</v>
      </c>
      <c r="CW83" s="22">
        <v>0.0</v>
      </c>
      <c r="CX83" s="22">
        <v>2.0</v>
      </c>
      <c r="CY83" s="22">
        <v>4.0</v>
      </c>
      <c r="CZ83" s="61">
        <v>2.5</v>
      </c>
      <c r="DA83" s="62" t="s">
        <v>568</v>
      </c>
    </row>
    <row r="84">
      <c r="A84" s="16" t="s">
        <v>203</v>
      </c>
      <c r="B84" s="16" t="s">
        <v>204</v>
      </c>
      <c r="C84" s="34" t="s">
        <v>31</v>
      </c>
      <c r="D84" s="16" t="s">
        <v>95</v>
      </c>
      <c r="E84" s="17" t="b">
        <f t="shared" ref="E84:K84" si="421">If(IFERROR(SEARCH(E$1, $D84),0) &gt;= 1, true,false)</f>
        <v>1</v>
      </c>
      <c r="F84" s="17" t="b">
        <f t="shared" si="421"/>
        <v>0</v>
      </c>
      <c r="G84" s="17" t="b">
        <f t="shared" si="421"/>
        <v>0</v>
      </c>
      <c r="H84" s="17" t="b">
        <f t="shared" si="421"/>
        <v>0</v>
      </c>
      <c r="I84" s="17" t="b">
        <f t="shared" si="421"/>
        <v>0</v>
      </c>
      <c r="J84" s="17" t="b">
        <f t="shared" si="421"/>
        <v>1</v>
      </c>
      <c r="K84" s="17" t="b">
        <f t="shared" si="421"/>
        <v>0</v>
      </c>
      <c r="L84" s="18" t="b">
        <v>1</v>
      </c>
      <c r="M84" s="18" t="b">
        <v>0</v>
      </c>
      <c r="N84" s="18" t="b">
        <v>0</v>
      </c>
      <c r="O84" s="18" t="b">
        <v>0</v>
      </c>
      <c r="P84" s="16" t="str">
        <f t="shared" si="7"/>
        <v>Rubenshuis</v>
      </c>
      <c r="Q84" s="19">
        <v>12.0</v>
      </c>
      <c r="R84" s="18" t="b">
        <v>0</v>
      </c>
      <c r="S84" s="18" t="b">
        <v>1</v>
      </c>
      <c r="T84" s="30">
        <v>12.0</v>
      </c>
      <c r="U84" s="21">
        <f t="shared" si="8"/>
        <v>0</v>
      </c>
      <c r="V84" s="21">
        <f t="shared" ref="V84:AB84" si="422">if(OR(AW84 = $AO$4, AW84 = $AQ$4), 1, 0)</f>
        <v>1</v>
      </c>
      <c r="W84" s="21">
        <f t="shared" si="422"/>
        <v>0</v>
      </c>
      <c r="X84" s="21">
        <f t="shared" si="422"/>
        <v>0</v>
      </c>
      <c r="Y84" s="21">
        <f t="shared" si="422"/>
        <v>0</v>
      </c>
      <c r="Z84" s="21">
        <f t="shared" si="422"/>
        <v>0</v>
      </c>
      <c r="AA84" s="21">
        <f t="shared" si="422"/>
        <v>1</v>
      </c>
      <c r="AB84" s="21">
        <f t="shared" si="422"/>
        <v>0</v>
      </c>
      <c r="AC84" s="21">
        <f t="shared" si="10"/>
        <v>2</v>
      </c>
      <c r="AD84" s="21">
        <f t="shared" si="11"/>
        <v>0</v>
      </c>
      <c r="AE84" s="21">
        <f t="shared" ref="AE84:AH84" si="423">if(OR(BD84 = $AO$6, BD84 = $AS$6, BD84 = $AT$6, BD84 = $AU$6), 1, 0)</f>
        <v>1</v>
      </c>
      <c r="AF84" s="21">
        <f t="shared" si="423"/>
        <v>0</v>
      </c>
      <c r="AG84" s="21">
        <f t="shared" si="423"/>
        <v>0</v>
      </c>
      <c r="AH84" s="21">
        <f t="shared" si="423"/>
        <v>0</v>
      </c>
      <c r="AI84" s="21">
        <f t="shared" si="13"/>
        <v>1</v>
      </c>
      <c r="AJ84" s="21">
        <f t="shared" si="14"/>
        <v>3</v>
      </c>
      <c r="AK84" s="59">
        <f t="shared" si="15"/>
        <v>1.875</v>
      </c>
      <c r="AL84" s="60" t="str">
        <f t="shared" si="16"/>
        <v>subpar</v>
      </c>
      <c r="AW84" s="22" t="str">
        <f t="shared" ref="AW84:BC84" si="424">IF(IFERROR(SEARCH(E$1, $D84),0) &gt;= 1, E$1,0)</f>
        <v>Geschiedenis en archeologie</v>
      </c>
      <c r="AX84" s="22">
        <f t="shared" si="424"/>
        <v>0</v>
      </c>
      <c r="AY84" s="22">
        <f t="shared" si="424"/>
        <v>0</v>
      </c>
      <c r="AZ84" s="22">
        <f t="shared" si="424"/>
        <v>0</v>
      </c>
      <c r="BA84" s="22">
        <f t="shared" si="424"/>
        <v>0</v>
      </c>
      <c r="BB84" s="22" t="str">
        <f t="shared" si="424"/>
        <v>Beeldende kunst</v>
      </c>
      <c r="BC84" s="22">
        <f t="shared" si="424"/>
        <v>0</v>
      </c>
      <c r="BD84" s="22" t="str">
        <f t="shared" ref="BD84:BG84" si="425">IF(L84 = true, BD$1, 0)</f>
        <v>Shop</v>
      </c>
      <c r="BE84" s="22">
        <f t="shared" si="425"/>
        <v>0</v>
      </c>
      <c r="BF84" s="22">
        <f t="shared" si="425"/>
        <v>0</v>
      </c>
      <c r="BG84" s="22">
        <f t="shared" si="425"/>
        <v>0</v>
      </c>
      <c r="BH84" s="22" t="str">
        <f>IFERROR(__xludf.DUMMYFUNCTION("""COMPUTED_VALUE"""),"Jakob Smitsmuseum")</f>
        <v>Jakob Smitsmuseum</v>
      </c>
      <c r="BI84" s="24">
        <f>IFERROR(__xludf.DUMMYFUNCTION("""COMPUTED_VALUE"""),5.0)</f>
        <v>5</v>
      </c>
      <c r="BJ84" s="22" t="b">
        <f>IFERROR(__xludf.DUMMYFUNCTION("""COMPUTED_VALUE"""),FALSE)</f>
        <v>0</v>
      </c>
      <c r="BK84" s="22" t="b">
        <f>IFERROR(__xludf.DUMMYFUNCTION("""COMPUTED_VALUE"""),TRUE)</f>
        <v>1</v>
      </c>
      <c r="BL84" s="24">
        <f>IFERROR(__xludf.DUMMYFUNCTION("""COMPUTED_VALUE"""),5.0)</f>
        <v>5</v>
      </c>
      <c r="BM84" s="22">
        <f>IFERROR(__xludf.DUMMYFUNCTION("""COMPUTED_VALUE"""),0.0)</f>
        <v>0</v>
      </c>
      <c r="BN84" s="22">
        <f>IFERROR(__xludf.DUMMYFUNCTION("""COMPUTED_VALUE"""),0.0)</f>
        <v>0</v>
      </c>
      <c r="BO84" s="22">
        <f>IFERROR(__xludf.DUMMYFUNCTION("""COMPUTED_VALUE"""),0.0)</f>
        <v>0</v>
      </c>
      <c r="BP84" s="22">
        <f>IFERROR(__xludf.DUMMYFUNCTION("""COMPUTED_VALUE"""),0.0)</f>
        <v>0</v>
      </c>
      <c r="BQ84" s="22">
        <f>IFERROR(__xludf.DUMMYFUNCTION("""COMPUTED_VALUE"""),0.0)</f>
        <v>0</v>
      </c>
      <c r="BR84" s="22">
        <f>IFERROR(__xludf.DUMMYFUNCTION("""COMPUTED_VALUE"""),0.0)</f>
        <v>0</v>
      </c>
      <c r="BS84" s="22">
        <f>IFERROR(__xludf.DUMMYFUNCTION("""COMPUTED_VALUE"""),1.0)</f>
        <v>1</v>
      </c>
      <c r="BT84" s="22">
        <f>IFERROR(__xludf.DUMMYFUNCTION("""COMPUTED_VALUE"""),0.0)</f>
        <v>0</v>
      </c>
      <c r="BU84" s="22">
        <f>IFERROR(__xludf.DUMMYFUNCTION("""COMPUTED_VALUE"""),1.0)</f>
        <v>1</v>
      </c>
      <c r="BV84" s="22">
        <f>IFERROR(__xludf.DUMMYFUNCTION("""COMPUTED_VALUE"""),1.0)</f>
        <v>1</v>
      </c>
      <c r="BW84" s="22">
        <f>IFERROR(__xludf.DUMMYFUNCTION("""COMPUTED_VALUE"""),1.0)</f>
        <v>1</v>
      </c>
      <c r="BX84" s="22">
        <f>IFERROR(__xludf.DUMMYFUNCTION("""COMPUTED_VALUE"""),0.0)</f>
        <v>0</v>
      </c>
      <c r="BY84" s="22">
        <f>IFERROR(__xludf.DUMMYFUNCTION("""COMPUTED_VALUE"""),1.0)</f>
        <v>1</v>
      </c>
      <c r="BZ84" s="22">
        <f>IFERROR(__xludf.DUMMYFUNCTION("""COMPUTED_VALUE"""),0.0)</f>
        <v>0</v>
      </c>
      <c r="CA84" s="22">
        <f>IFERROR(__xludf.DUMMYFUNCTION("""COMPUTED_VALUE"""),2.0)</f>
        <v>2</v>
      </c>
      <c r="CB84" s="22">
        <f>IFERROR(__xludf.DUMMYFUNCTION("""COMPUTED_VALUE"""),4.0)</f>
        <v>4</v>
      </c>
      <c r="CC84" s="61">
        <f>IFERROR(__xludf.DUMMYFUNCTION("""COMPUTED_VALUE"""),2.5)</f>
        <v>2.5</v>
      </c>
      <c r="CD84" s="62" t="str">
        <f>IFERROR(__xludf.DUMMYFUNCTION("""COMPUTED_VALUE"""),"subpar")</f>
        <v>subpar</v>
      </c>
      <c r="CE84" s="22" t="s">
        <v>166</v>
      </c>
      <c r="CF84" s="24">
        <v>5.0</v>
      </c>
      <c r="CG84" s="22" t="b">
        <v>0</v>
      </c>
      <c r="CH84" s="22" t="b">
        <v>1</v>
      </c>
      <c r="CI84" s="24">
        <v>5.0</v>
      </c>
      <c r="CJ84" s="22">
        <v>0.0</v>
      </c>
      <c r="CK84" s="22">
        <v>0.0</v>
      </c>
      <c r="CL84" s="22">
        <v>0.0</v>
      </c>
      <c r="CM84" s="22">
        <v>0.0</v>
      </c>
      <c r="CN84" s="22">
        <v>0.0</v>
      </c>
      <c r="CO84" s="22">
        <v>0.0</v>
      </c>
      <c r="CP84" s="22">
        <v>1.0</v>
      </c>
      <c r="CQ84" s="22">
        <v>0.0</v>
      </c>
      <c r="CR84" s="22">
        <v>1.0</v>
      </c>
      <c r="CS84" s="22">
        <v>1.0</v>
      </c>
      <c r="CT84" s="22">
        <v>1.0</v>
      </c>
      <c r="CU84" s="22">
        <v>0.0</v>
      </c>
      <c r="CV84" s="22">
        <v>1.0</v>
      </c>
      <c r="CW84" s="22">
        <v>0.0</v>
      </c>
      <c r="CX84" s="22">
        <v>2.0</v>
      </c>
      <c r="CY84" s="22">
        <v>4.0</v>
      </c>
      <c r="CZ84" s="61">
        <v>2.5</v>
      </c>
      <c r="DA84" s="62" t="s">
        <v>568</v>
      </c>
    </row>
    <row r="85">
      <c r="A85" s="16" t="s">
        <v>205</v>
      </c>
      <c r="B85" s="16" t="s">
        <v>206</v>
      </c>
      <c r="C85" s="34" t="s">
        <v>31</v>
      </c>
      <c r="D85" s="16" t="s">
        <v>207</v>
      </c>
      <c r="E85" s="17" t="b">
        <f t="shared" ref="E85:K85" si="426">If(IFERROR(SEARCH(E$1, $D85),0) &gt;= 1, true,false)</f>
        <v>1</v>
      </c>
      <c r="F85" s="17" t="b">
        <f t="shared" si="426"/>
        <v>0</v>
      </c>
      <c r="G85" s="17" t="b">
        <f t="shared" si="426"/>
        <v>1</v>
      </c>
      <c r="H85" s="17" t="b">
        <f t="shared" si="426"/>
        <v>1</v>
      </c>
      <c r="I85" s="17" t="b">
        <f t="shared" si="426"/>
        <v>1</v>
      </c>
      <c r="J85" s="17" t="b">
        <f t="shared" si="426"/>
        <v>1</v>
      </c>
      <c r="K85" s="17" t="b">
        <f t="shared" si="426"/>
        <v>1</v>
      </c>
      <c r="L85" s="18" t="b">
        <v>1</v>
      </c>
      <c r="M85" s="18" t="b">
        <v>0</v>
      </c>
      <c r="N85" s="18" t="b">
        <v>0</v>
      </c>
      <c r="O85" s="18" t="b">
        <v>0</v>
      </c>
      <c r="P85" s="16" t="str">
        <f t="shared" si="7"/>
        <v>Sint-Pauluskerk</v>
      </c>
      <c r="Q85" s="19">
        <v>5.0</v>
      </c>
      <c r="R85" s="18" t="b">
        <v>0</v>
      </c>
      <c r="S85" s="18" t="b">
        <v>1</v>
      </c>
      <c r="T85" s="29">
        <v>5.0</v>
      </c>
      <c r="U85" s="21">
        <f t="shared" si="8"/>
        <v>0</v>
      </c>
      <c r="V85" s="21">
        <f t="shared" ref="V85:AB85" si="427">if(OR(AW85 = $AO$4, AW85 = $AQ$4), 1, 0)</f>
        <v>1</v>
      </c>
      <c r="W85" s="21">
        <f t="shared" si="427"/>
        <v>0</v>
      </c>
      <c r="X85" s="21">
        <f t="shared" si="427"/>
        <v>0</v>
      </c>
      <c r="Y85" s="21">
        <f t="shared" si="427"/>
        <v>0</v>
      </c>
      <c r="Z85" s="21">
        <f t="shared" si="427"/>
        <v>0</v>
      </c>
      <c r="AA85" s="21">
        <f t="shared" si="427"/>
        <v>1</v>
      </c>
      <c r="AB85" s="21">
        <f t="shared" si="427"/>
        <v>0</v>
      </c>
      <c r="AC85" s="21">
        <f t="shared" si="10"/>
        <v>2</v>
      </c>
      <c r="AD85" s="21">
        <f t="shared" si="11"/>
        <v>1</v>
      </c>
      <c r="AE85" s="21">
        <f t="shared" ref="AE85:AH85" si="428">if(OR(BD85 = $AO$6, BD85 = $AS$6, BD85 = $AT$6, BD85 = $AU$6), 1, 0)</f>
        <v>1</v>
      </c>
      <c r="AF85" s="21">
        <f t="shared" si="428"/>
        <v>0</v>
      </c>
      <c r="AG85" s="21">
        <f t="shared" si="428"/>
        <v>0</v>
      </c>
      <c r="AH85" s="21">
        <f t="shared" si="428"/>
        <v>0</v>
      </c>
      <c r="AI85" s="21">
        <f t="shared" si="13"/>
        <v>1</v>
      </c>
      <c r="AJ85" s="21">
        <f t="shared" si="14"/>
        <v>4</v>
      </c>
      <c r="AK85" s="59">
        <f t="shared" si="15"/>
        <v>2.5</v>
      </c>
      <c r="AL85" s="60" t="str">
        <f t="shared" si="16"/>
        <v>subpar</v>
      </c>
      <c r="AW85" s="22" t="str">
        <f t="shared" ref="AW85:BC85" si="429">IF(IFERROR(SEARCH(E$1, $D85),0) &gt;= 1, E$1,0)</f>
        <v>Geschiedenis en archeologie</v>
      </c>
      <c r="AX85" s="22">
        <f t="shared" si="429"/>
        <v>0</v>
      </c>
      <c r="AY85" s="22" t="str">
        <f t="shared" si="429"/>
        <v>Mode</v>
      </c>
      <c r="AZ85" s="22" t="str">
        <f t="shared" si="429"/>
        <v>Literatuur</v>
      </c>
      <c r="BA85" s="22" t="str">
        <f t="shared" si="429"/>
        <v>Architectuur</v>
      </c>
      <c r="BB85" s="22" t="str">
        <f t="shared" si="429"/>
        <v>Beeldende kunst</v>
      </c>
      <c r="BC85" s="22" t="str">
        <f t="shared" si="429"/>
        <v>Toegepaste kunst en design</v>
      </c>
      <c r="BD85" s="22" t="str">
        <f t="shared" ref="BD85:BG85" si="430">IF(L85 = true, BD$1, 0)</f>
        <v>Shop</v>
      </c>
      <c r="BE85" s="22">
        <f t="shared" si="430"/>
        <v>0</v>
      </c>
      <c r="BF85" s="22">
        <f t="shared" si="430"/>
        <v>0</v>
      </c>
      <c r="BG85" s="22">
        <f t="shared" si="430"/>
        <v>0</v>
      </c>
      <c r="BH85" s="22" t="str">
        <f>IFERROR(__xludf.DUMMYFUNCTION("""COMPUTED_VALUE"""),"KMSKA | Koninklijk Museum voor Schone Kunsten Antwerpen")</f>
        <v>KMSKA | Koninklijk Museum voor Schone Kunsten Antwerpen</v>
      </c>
      <c r="BI85" s="24">
        <f>IFERROR(__xludf.DUMMYFUNCTION("""COMPUTED_VALUE"""),20.0)</f>
        <v>20</v>
      </c>
      <c r="BJ85" s="22" t="b">
        <f>IFERROR(__xludf.DUMMYFUNCTION("""COMPUTED_VALUE"""),FALSE)</f>
        <v>0</v>
      </c>
      <c r="BK85" s="22" t="b">
        <f>IFERROR(__xludf.DUMMYFUNCTION("""COMPUTED_VALUE"""),TRUE)</f>
        <v>1</v>
      </c>
      <c r="BL85" s="24">
        <f>IFERROR(__xludf.DUMMYFUNCTION("""COMPUTED_VALUE"""),20.0)</f>
        <v>20</v>
      </c>
      <c r="BM85" s="22">
        <f>IFERROR(__xludf.DUMMYFUNCTION("""COMPUTED_VALUE"""),0.0)</f>
        <v>0</v>
      </c>
      <c r="BN85" s="22">
        <f>IFERROR(__xludf.DUMMYFUNCTION("""COMPUTED_VALUE"""),0.0)</f>
        <v>0</v>
      </c>
      <c r="BO85" s="22">
        <f>IFERROR(__xludf.DUMMYFUNCTION("""COMPUTED_VALUE"""),0.0)</f>
        <v>0</v>
      </c>
      <c r="BP85" s="22">
        <f>IFERROR(__xludf.DUMMYFUNCTION("""COMPUTED_VALUE"""),0.0)</f>
        <v>0</v>
      </c>
      <c r="BQ85" s="22">
        <f>IFERROR(__xludf.DUMMYFUNCTION("""COMPUTED_VALUE"""),0.0)</f>
        <v>0</v>
      </c>
      <c r="BR85" s="22">
        <f>IFERROR(__xludf.DUMMYFUNCTION("""COMPUTED_VALUE"""),0.0)</f>
        <v>0</v>
      </c>
      <c r="BS85" s="22">
        <f>IFERROR(__xludf.DUMMYFUNCTION("""COMPUTED_VALUE"""),1.0)</f>
        <v>1</v>
      </c>
      <c r="BT85" s="22">
        <f>IFERROR(__xludf.DUMMYFUNCTION("""COMPUTED_VALUE"""),0.0)</f>
        <v>0</v>
      </c>
      <c r="BU85" s="22">
        <f>IFERROR(__xludf.DUMMYFUNCTION("""COMPUTED_VALUE"""),1.0)</f>
        <v>1</v>
      </c>
      <c r="BV85" s="22">
        <f>IFERROR(__xludf.DUMMYFUNCTION("""COMPUTED_VALUE"""),0.0)</f>
        <v>0</v>
      </c>
      <c r="BW85" s="22">
        <f>IFERROR(__xludf.DUMMYFUNCTION("""COMPUTED_VALUE"""),1.0)</f>
        <v>1</v>
      </c>
      <c r="BX85" s="22">
        <f>IFERROR(__xludf.DUMMYFUNCTION("""COMPUTED_VALUE"""),1.0)</f>
        <v>1</v>
      </c>
      <c r="BY85" s="22">
        <f>IFERROR(__xludf.DUMMYFUNCTION("""COMPUTED_VALUE"""),0.0)</f>
        <v>0</v>
      </c>
      <c r="BZ85" s="22">
        <f>IFERROR(__xludf.DUMMYFUNCTION("""COMPUTED_VALUE"""),1.0)</f>
        <v>1</v>
      </c>
      <c r="CA85" s="22">
        <f>IFERROR(__xludf.DUMMYFUNCTION("""COMPUTED_VALUE"""),3.0)</f>
        <v>3</v>
      </c>
      <c r="CB85" s="22">
        <f>IFERROR(__xludf.DUMMYFUNCTION("""COMPUTED_VALUE"""),4.0)</f>
        <v>4</v>
      </c>
      <c r="CC85" s="61">
        <f>IFERROR(__xludf.DUMMYFUNCTION("""COMPUTED_VALUE"""),2.5)</f>
        <v>2.5</v>
      </c>
      <c r="CD85" s="62" t="str">
        <f>IFERROR(__xludf.DUMMYFUNCTION("""COMPUTED_VALUE"""),"subpar")</f>
        <v>subpar</v>
      </c>
      <c r="CE85" s="22" t="s">
        <v>172</v>
      </c>
      <c r="CF85" s="24">
        <v>20.0</v>
      </c>
      <c r="CG85" s="22" t="b">
        <v>0</v>
      </c>
      <c r="CH85" s="22" t="b">
        <v>1</v>
      </c>
      <c r="CI85" s="24">
        <v>20.0</v>
      </c>
      <c r="CJ85" s="22">
        <v>0.0</v>
      </c>
      <c r="CK85" s="22">
        <v>0.0</v>
      </c>
      <c r="CL85" s="22">
        <v>0.0</v>
      </c>
      <c r="CM85" s="22">
        <v>0.0</v>
      </c>
      <c r="CN85" s="22">
        <v>0.0</v>
      </c>
      <c r="CO85" s="22">
        <v>0.0</v>
      </c>
      <c r="CP85" s="22">
        <v>1.0</v>
      </c>
      <c r="CQ85" s="22">
        <v>0.0</v>
      </c>
      <c r="CR85" s="22">
        <v>1.0</v>
      </c>
      <c r="CS85" s="22">
        <v>0.0</v>
      </c>
      <c r="CT85" s="22">
        <v>1.0</v>
      </c>
      <c r="CU85" s="22">
        <v>1.0</v>
      </c>
      <c r="CV85" s="22">
        <v>0.0</v>
      </c>
      <c r="CW85" s="22">
        <v>1.0</v>
      </c>
      <c r="CX85" s="22">
        <v>3.0</v>
      </c>
      <c r="CY85" s="22">
        <v>4.0</v>
      </c>
      <c r="CZ85" s="61">
        <v>2.5</v>
      </c>
      <c r="DA85" s="62" t="s">
        <v>568</v>
      </c>
    </row>
    <row r="86">
      <c r="A86" s="16" t="s">
        <v>208</v>
      </c>
      <c r="B86" s="16" t="s">
        <v>209</v>
      </c>
      <c r="C86" s="34" t="s">
        <v>31</v>
      </c>
      <c r="D86" s="16" t="s">
        <v>107</v>
      </c>
      <c r="E86" s="17" t="b">
        <f t="shared" ref="E86:K86" si="431">If(IFERROR(SEARCH(E$1, $D86),0) &gt;= 1, true,false)</f>
        <v>1</v>
      </c>
      <c r="F86" s="17" t="b">
        <f t="shared" si="431"/>
        <v>1</v>
      </c>
      <c r="G86" s="17" t="b">
        <f t="shared" si="431"/>
        <v>0</v>
      </c>
      <c r="H86" s="17" t="b">
        <f t="shared" si="431"/>
        <v>0</v>
      </c>
      <c r="I86" s="17" t="b">
        <f t="shared" si="431"/>
        <v>0</v>
      </c>
      <c r="J86" s="17" t="b">
        <f t="shared" si="431"/>
        <v>0</v>
      </c>
      <c r="K86" s="17" t="b">
        <f t="shared" si="431"/>
        <v>0</v>
      </c>
      <c r="L86" s="18" t="b">
        <v>1</v>
      </c>
      <c r="M86" s="18" t="b">
        <v>1</v>
      </c>
      <c r="N86" s="18" t="b">
        <v>1</v>
      </c>
      <c r="O86" s="18" t="b">
        <v>0</v>
      </c>
      <c r="P86" s="16" t="str">
        <f t="shared" si="7"/>
        <v>Speelgoedmuseum</v>
      </c>
      <c r="Q86" s="19">
        <v>17.5</v>
      </c>
      <c r="R86" s="18" t="b">
        <v>0</v>
      </c>
      <c r="S86" s="18" t="b">
        <v>0</v>
      </c>
      <c r="T86" s="21"/>
      <c r="U86" s="21">
        <f t="shared" si="8"/>
        <v>0</v>
      </c>
      <c r="V86" s="21">
        <f t="shared" ref="V86:AB86" si="432">if(OR(AW86 = $AO$4, AW86 = $AQ$4), 1, 0)</f>
        <v>1</v>
      </c>
      <c r="W86" s="21">
        <f t="shared" si="432"/>
        <v>0</v>
      </c>
      <c r="X86" s="21">
        <f t="shared" si="432"/>
        <v>0</v>
      </c>
      <c r="Y86" s="21">
        <f t="shared" si="432"/>
        <v>0</v>
      </c>
      <c r="Z86" s="21">
        <f t="shared" si="432"/>
        <v>0</v>
      </c>
      <c r="AA86" s="21">
        <f t="shared" si="432"/>
        <v>0</v>
      </c>
      <c r="AB86" s="21">
        <f t="shared" si="432"/>
        <v>0</v>
      </c>
      <c r="AC86" s="21">
        <f t="shared" si="10"/>
        <v>1</v>
      </c>
      <c r="AD86" s="21">
        <f t="shared" si="11"/>
        <v>0</v>
      </c>
      <c r="AE86" s="21">
        <f t="shared" ref="AE86:AH86" si="433">if(OR(BD86 = $AO$6, BD86 = $AS$6, BD86 = $AT$6, BD86 = $AU$6), 1, 0)</f>
        <v>1</v>
      </c>
      <c r="AF86" s="21">
        <f t="shared" si="433"/>
        <v>1</v>
      </c>
      <c r="AG86" s="21">
        <f t="shared" si="433"/>
        <v>1</v>
      </c>
      <c r="AH86" s="21">
        <f t="shared" si="433"/>
        <v>0</v>
      </c>
      <c r="AI86" s="21">
        <f t="shared" si="13"/>
        <v>3</v>
      </c>
      <c r="AJ86" s="21">
        <f t="shared" si="14"/>
        <v>4</v>
      </c>
      <c r="AK86" s="59">
        <f t="shared" si="15"/>
        <v>2.5</v>
      </c>
      <c r="AL86" s="60" t="str">
        <f t="shared" si="16"/>
        <v>subpar</v>
      </c>
      <c r="AW86" s="22" t="str">
        <f t="shared" ref="AW86:BC86" si="434">IF(IFERROR(SEARCH(E$1, $D86),0) &gt;= 1, E$1,0)</f>
        <v>Geschiedenis en archeologie</v>
      </c>
      <c r="AX86" s="22" t="str">
        <f t="shared" si="434"/>
        <v>Wetenschap en technologie</v>
      </c>
      <c r="AY86" s="22">
        <f t="shared" si="434"/>
        <v>0</v>
      </c>
      <c r="AZ86" s="22">
        <f t="shared" si="434"/>
        <v>0</v>
      </c>
      <c r="BA86" s="22">
        <f t="shared" si="434"/>
        <v>0</v>
      </c>
      <c r="BB86" s="22">
        <f t="shared" si="434"/>
        <v>0</v>
      </c>
      <c r="BC86" s="22">
        <f t="shared" si="434"/>
        <v>0</v>
      </c>
      <c r="BD86" s="22" t="str">
        <f t="shared" ref="BD86:BG86" si="435">IF(L86 = true, BD$1, 0)</f>
        <v>Shop</v>
      </c>
      <c r="BE86" s="22" t="str">
        <f t="shared" si="435"/>
        <v>Café</v>
      </c>
      <c r="BF86" s="22" t="str">
        <f t="shared" si="435"/>
        <v>Parking</v>
      </c>
      <c r="BG86" s="22">
        <f t="shared" si="435"/>
        <v>0</v>
      </c>
      <c r="BH86" s="22" t="str">
        <f>IFERROR(__xludf.DUMMYFUNCTION("""COMPUTED_VALUE"""),"Kunsthal Extra City")</f>
        <v>Kunsthal Extra City</v>
      </c>
      <c r="BI86" s="24">
        <f>IFERROR(__xludf.DUMMYFUNCTION("""COMPUTED_VALUE"""),7.0)</f>
        <v>7</v>
      </c>
      <c r="BJ86" s="22" t="b">
        <f>IFERROR(__xludf.DUMMYFUNCTION("""COMPUTED_VALUE"""),FALSE)</f>
        <v>0</v>
      </c>
      <c r="BK86" s="22" t="b">
        <f>IFERROR(__xludf.DUMMYFUNCTION("""COMPUTED_VALUE"""),TRUE)</f>
        <v>1</v>
      </c>
      <c r="BL86" s="24">
        <f>IFERROR(__xludf.DUMMYFUNCTION("""COMPUTED_VALUE"""),7.0)</f>
        <v>7</v>
      </c>
      <c r="BM86" s="22">
        <f>IFERROR(__xludf.DUMMYFUNCTION("""COMPUTED_VALUE"""),0.0)</f>
        <v>0</v>
      </c>
      <c r="BN86" s="22">
        <f>IFERROR(__xludf.DUMMYFUNCTION("""COMPUTED_VALUE"""),0.0)</f>
        <v>0</v>
      </c>
      <c r="BO86" s="22">
        <f>IFERROR(__xludf.DUMMYFUNCTION("""COMPUTED_VALUE"""),0.0)</f>
        <v>0</v>
      </c>
      <c r="BP86" s="22">
        <f>IFERROR(__xludf.DUMMYFUNCTION("""COMPUTED_VALUE"""),0.0)</f>
        <v>0</v>
      </c>
      <c r="BQ86" s="22">
        <f>IFERROR(__xludf.DUMMYFUNCTION("""COMPUTED_VALUE"""),0.0)</f>
        <v>0</v>
      </c>
      <c r="BR86" s="22">
        <f>IFERROR(__xludf.DUMMYFUNCTION("""COMPUTED_VALUE"""),0.0)</f>
        <v>0</v>
      </c>
      <c r="BS86" s="22">
        <f>IFERROR(__xludf.DUMMYFUNCTION("""COMPUTED_VALUE"""),1.0)</f>
        <v>1</v>
      </c>
      <c r="BT86" s="22">
        <f>IFERROR(__xludf.DUMMYFUNCTION("""COMPUTED_VALUE"""),0.0)</f>
        <v>0</v>
      </c>
      <c r="BU86" s="22">
        <f>IFERROR(__xludf.DUMMYFUNCTION("""COMPUTED_VALUE"""),1.0)</f>
        <v>1</v>
      </c>
      <c r="BV86" s="22">
        <f>IFERROR(__xludf.DUMMYFUNCTION("""COMPUTED_VALUE"""),1.0)</f>
        <v>1</v>
      </c>
      <c r="BW86" s="22">
        <f>IFERROR(__xludf.DUMMYFUNCTION("""COMPUTED_VALUE"""),1.0)</f>
        <v>1</v>
      </c>
      <c r="BX86" s="22">
        <f>IFERROR(__xludf.DUMMYFUNCTION("""COMPUTED_VALUE"""),1.0)</f>
        <v>1</v>
      </c>
      <c r="BY86" s="22">
        <f>IFERROR(__xludf.DUMMYFUNCTION("""COMPUTED_VALUE"""),0.0)</f>
        <v>0</v>
      </c>
      <c r="BZ86" s="22">
        <f>IFERROR(__xludf.DUMMYFUNCTION("""COMPUTED_VALUE"""),0.0)</f>
        <v>0</v>
      </c>
      <c r="CA86" s="22">
        <f>IFERROR(__xludf.DUMMYFUNCTION("""COMPUTED_VALUE"""),2.0)</f>
        <v>2</v>
      </c>
      <c r="CB86" s="22">
        <f>IFERROR(__xludf.DUMMYFUNCTION("""COMPUTED_VALUE"""),4.0)</f>
        <v>4</v>
      </c>
      <c r="CC86" s="61">
        <f>IFERROR(__xludf.DUMMYFUNCTION("""COMPUTED_VALUE"""),2.5)</f>
        <v>2.5</v>
      </c>
      <c r="CD86" s="62" t="str">
        <f>IFERROR(__xludf.DUMMYFUNCTION("""COMPUTED_VALUE"""),"subpar")</f>
        <v>subpar</v>
      </c>
      <c r="CE86" s="22" t="s">
        <v>174</v>
      </c>
      <c r="CF86" s="24">
        <v>7.0</v>
      </c>
      <c r="CG86" s="22" t="b">
        <v>0</v>
      </c>
      <c r="CH86" s="22" t="b">
        <v>1</v>
      </c>
      <c r="CI86" s="24">
        <v>7.0</v>
      </c>
      <c r="CJ86" s="22">
        <v>0.0</v>
      </c>
      <c r="CK86" s="22">
        <v>0.0</v>
      </c>
      <c r="CL86" s="22">
        <v>0.0</v>
      </c>
      <c r="CM86" s="22">
        <v>0.0</v>
      </c>
      <c r="CN86" s="22">
        <v>0.0</v>
      </c>
      <c r="CO86" s="22">
        <v>0.0</v>
      </c>
      <c r="CP86" s="22">
        <v>1.0</v>
      </c>
      <c r="CQ86" s="22">
        <v>0.0</v>
      </c>
      <c r="CR86" s="22">
        <v>1.0</v>
      </c>
      <c r="CS86" s="22">
        <v>1.0</v>
      </c>
      <c r="CT86" s="22">
        <v>1.0</v>
      </c>
      <c r="CU86" s="22">
        <v>1.0</v>
      </c>
      <c r="CV86" s="22">
        <v>0.0</v>
      </c>
      <c r="CW86" s="22">
        <v>0.0</v>
      </c>
      <c r="CX86" s="22">
        <v>2.0</v>
      </c>
      <c r="CY86" s="22">
        <v>4.0</v>
      </c>
      <c r="CZ86" s="61">
        <v>2.5</v>
      </c>
      <c r="DA86" s="62" t="s">
        <v>568</v>
      </c>
    </row>
    <row r="87">
      <c r="A87" s="16" t="s">
        <v>210</v>
      </c>
      <c r="B87" s="16" t="s">
        <v>211</v>
      </c>
      <c r="C87" s="34" t="s">
        <v>31</v>
      </c>
      <c r="D87" s="16" t="s">
        <v>212</v>
      </c>
      <c r="E87" s="17" t="b">
        <f t="shared" ref="E87:K87" si="436">If(IFERROR(SEARCH(E$1, $D87),0) &gt;= 1, true,false)</f>
        <v>1</v>
      </c>
      <c r="F87" s="17" t="b">
        <f t="shared" si="436"/>
        <v>1</v>
      </c>
      <c r="G87" s="17" t="b">
        <f t="shared" si="436"/>
        <v>1</v>
      </c>
      <c r="H87" s="17" t="b">
        <f t="shared" si="436"/>
        <v>1</v>
      </c>
      <c r="I87" s="17" t="b">
        <f t="shared" si="436"/>
        <v>1</v>
      </c>
      <c r="J87" s="17" t="b">
        <f t="shared" si="436"/>
        <v>1</v>
      </c>
      <c r="K87" s="17" t="b">
        <f t="shared" si="436"/>
        <v>1</v>
      </c>
      <c r="L87" s="18" t="b">
        <v>1</v>
      </c>
      <c r="M87" s="18" t="b">
        <v>0</v>
      </c>
      <c r="N87" s="18" t="b">
        <v>0</v>
      </c>
      <c r="O87" s="18" t="b">
        <v>0</v>
      </c>
      <c r="P87" s="16" t="str">
        <f t="shared" si="7"/>
        <v>Stadsmuseum Lier</v>
      </c>
      <c r="Q87" s="19">
        <v>4.0</v>
      </c>
      <c r="R87" s="18" t="b">
        <v>0</v>
      </c>
      <c r="S87" s="18" t="b">
        <v>1</v>
      </c>
      <c r="T87" s="30">
        <v>4.0</v>
      </c>
      <c r="U87" s="21">
        <f t="shared" si="8"/>
        <v>0</v>
      </c>
      <c r="V87" s="21">
        <f t="shared" ref="V87:AB87" si="437">if(OR(AW87 = $AO$4, AW87 = $AQ$4), 1, 0)</f>
        <v>1</v>
      </c>
      <c r="W87" s="21">
        <f t="shared" si="437"/>
        <v>0</v>
      </c>
      <c r="X87" s="21">
        <f t="shared" si="437"/>
        <v>0</v>
      </c>
      <c r="Y87" s="21">
        <f t="shared" si="437"/>
        <v>0</v>
      </c>
      <c r="Z87" s="21">
        <f t="shared" si="437"/>
        <v>0</v>
      </c>
      <c r="AA87" s="21">
        <f t="shared" si="437"/>
        <v>1</v>
      </c>
      <c r="AB87" s="21">
        <f t="shared" si="437"/>
        <v>0</v>
      </c>
      <c r="AC87" s="21">
        <f t="shared" si="10"/>
        <v>2</v>
      </c>
      <c r="AD87" s="21">
        <f t="shared" si="11"/>
        <v>1</v>
      </c>
      <c r="AE87" s="21">
        <f t="shared" ref="AE87:AH87" si="438">if(OR(BD87 = $AO$6, BD87 = $AS$6, BD87 = $AT$6, BD87 = $AU$6), 1, 0)</f>
        <v>1</v>
      </c>
      <c r="AF87" s="21">
        <f t="shared" si="438"/>
        <v>0</v>
      </c>
      <c r="AG87" s="21">
        <f t="shared" si="438"/>
        <v>0</v>
      </c>
      <c r="AH87" s="21">
        <f t="shared" si="438"/>
        <v>0</v>
      </c>
      <c r="AI87" s="21">
        <f t="shared" si="13"/>
        <v>1</v>
      </c>
      <c r="AJ87" s="21">
        <f t="shared" si="14"/>
        <v>4</v>
      </c>
      <c r="AK87" s="59">
        <f t="shared" si="15"/>
        <v>2.5</v>
      </c>
      <c r="AL87" s="60" t="str">
        <f t="shared" si="16"/>
        <v>subpar</v>
      </c>
      <c r="AW87" s="22" t="str">
        <f t="shared" ref="AW87:BC87" si="439">IF(IFERROR(SEARCH(E$1, $D87),0) &gt;= 1, E$1,0)</f>
        <v>Geschiedenis en archeologie</v>
      </c>
      <c r="AX87" s="22" t="str">
        <f t="shared" si="439"/>
        <v>Wetenschap en technologie</v>
      </c>
      <c r="AY87" s="22" t="str">
        <f t="shared" si="439"/>
        <v>Mode</v>
      </c>
      <c r="AZ87" s="22" t="str">
        <f t="shared" si="439"/>
        <v>Literatuur</v>
      </c>
      <c r="BA87" s="22" t="str">
        <f t="shared" si="439"/>
        <v>Architectuur</v>
      </c>
      <c r="BB87" s="22" t="str">
        <f t="shared" si="439"/>
        <v>Beeldende kunst</v>
      </c>
      <c r="BC87" s="22" t="str">
        <f t="shared" si="439"/>
        <v>Toegepaste kunst en design</v>
      </c>
      <c r="BD87" s="22" t="str">
        <f t="shared" ref="BD87:BG87" si="440">IF(L87 = true, BD$1, 0)</f>
        <v>Shop</v>
      </c>
      <c r="BE87" s="22">
        <f t="shared" si="440"/>
        <v>0</v>
      </c>
      <c r="BF87" s="22">
        <f t="shared" si="440"/>
        <v>0</v>
      </c>
      <c r="BG87" s="22">
        <f t="shared" si="440"/>
        <v>0</v>
      </c>
      <c r="BH87" s="22" t="str">
        <f>IFERROR(__xludf.DUMMYFUNCTION("""COMPUTED_VALUE"""),"Kunsthal Mechelen")</f>
        <v>Kunsthal Mechelen</v>
      </c>
      <c r="BI87" s="24">
        <f>IFERROR(__xludf.DUMMYFUNCTION("""COMPUTED_VALUE"""),5.0)</f>
        <v>5</v>
      </c>
      <c r="BJ87" s="22" t="b">
        <f>IFERROR(__xludf.DUMMYFUNCTION("""COMPUTED_VALUE"""),FALSE)</f>
        <v>0</v>
      </c>
      <c r="BK87" s="22" t="b">
        <f>IFERROR(__xludf.DUMMYFUNCTION("""COMPUTED_VALUE"""),TRUE)</f>
        <v>1</v>
      </c>
      <c r="BL87" s="24">
        <f>IFERROR(__xludf.DUMMYFUNCTION("""COMPUTED_VALUE"""),5.0)</f>
        <v>5</v>
      </c>
      <c r="BM87" s="22">
        <f>IFERROR(__xludf.DUMMYFUNCTION("""COMPUTED_VALUE"""),0.0)</f>
        <v>0</v>
      </c>
      <c r="BN87" s="22">
        <f>IFERROR(__xludf.DUMMYFUNCTION("""COMPUTED_VALUE"""),0.0)</f>
        <v>0</v>
      </c>
      <c r="BO87" s="22">
        <f>IFERROR(__xludf.DUMMYFUNCTION("""COMPUTED_VALUE"""),0.0)</f>
        <v>0</v>
      </c>
      <c r="BP87" s="22">
        <f>IFERROR(__xludf.DUMMYFUNCTION("""COMPUTED_VALUE"""),0.0)</f>
        <v>0</v>
      </c>
      <c r="BQ87" s="22">
        <f>IFERROR(__xludf.DUMMYFUNCTION("""COMPUTED_VALUE"""),0.0)</f>
        <v>0</v>
      </c>
      <c r="BR87" s="22">
        <f>IFERROR(__xludf.DUMMYFUNCTION("""COMPUTED_VALUE"""),0.0)</f>
        <v>0</v>
      </c>
      <c r="BS87" s="22">
        <f>IFERROR(__xludf.DUMMYFUNCTION("""COMPUTED_VALUE"""),1.0)</f>
        <v>1</v>
      </c>
      <c r="BT87" s="22">
        <f>IFERROR(__xludf.DUMMYFUNCTION("""COMPUTED_VALUE"""),0.0)</f>
        <v>0</v>
      </c>
      <c r="BU87" s="22">
        <f>IFERROR(__xludf.DUMMYFUNCTION("""COMPUTED_VALUE"""),1.0)</f>
        <v>1</v>
      </c>
      <c r="BV87" s="22">
        <f>IFERROR(__xludf.DUMMYFUNCTION("""COMPUTED_VALUE"""),1.0)</f>
        <v>1</v>
      </c>
      <c r="BW87" s="22">
        <f>IFERROR(__xludf.DUMMYFUNCTION("""COMPUTED_VALUE"""),1.0)</f>
        <v>1</v>
      </c>
      <c r="BX87" s="22">
        <f>IFERROR(__xludf.DUMMYFUNCTION("""COMPUTED_VALUE"""),1.0)</f>
        <v>1</v>
      </c>
      <c r="BY87" s="22">
        <f>IFERROR(__xludf.DUMMYFUNCTION("""COMPUTED_VALUE"""),0.0)</f>
        <v>0</v>
      </c>
      <c r="BZ87" s="22">
        <f>IFERROR(__xludf.DUMMYFUNCTION("""COMPUTED_VALUE"""),0.0)</f>
        <v>0</v>
      </c>
      <c r="CA87" s="22">
        <f>IFERROR(__xludf.DUMMYFUNCTION("""COMPUTED_VALUE"""),2.0)</f>
        <v>2</v>
      </c>
      <c r="CB87" s="22">
        <f>IFERROR(__xludf.DUMMYFUNCTION("""COMPUTED_VALUE"""),4.0)</f>
        <v>4</v>
      </c>
      <c r="CC87" s="61">
        <f>IFERROR(__xludf.DUMMYFUNCTION("""COMPUTED_VALUE"""),2.5)</f>
        <v>2.5</v>
      </c>
      <c r="CD87" s="62" t="str">
        <f>IFERROR(__xludf.DUMMYFUNCTION("""COMPUTED_VALUE"""),"subpar")</f>
        <v>subpar</v>
      </c>
      <c r="CE87" s="22" t="s">
        <v>175</v>
      </c>
      <c r="CF87" s="24">
        <v>5.0</v>
      </c>
      <c r="CG87" s="22" t="b">
        <v>0</v>
      </c>
      <c r="CH87" s="22" t="b">
        <v>1</v>
      </c>
      <c r="CI87" s="24">
        <v>5.0</v>
      </c>
      <c r="CJ87" s="22">
        <v>0.0</v>
      </c>
      <c r="CK87" s="22">
        <v>0.0</v>
      </c>
      <c r="CL87" s="22">
        <v>0.0</v>
      </c>
      <c r="CM87" s="22">
        <v>0.0</v>
      </c>
      <c r="CN87" s="22">
        <v>0.0</v>
      </c>
      <c r="CO87" s="22">
        <v>0.0</v>
      </c>
      <c r="CP87" s="22">
        <v>1.0</v>
      </c>
      <c r="CQ87" s="22">
        <v>0.0</v>
      </c>
      <c r="CR87" s="22">
        <v>1.0</v>
      </c>
      <c r="CS87" s="22">
        <v>1.0</v>
      </c>
      <c r="CT87" s="22">
        <v>1.0</v>
      </c>
      <c r="CU87" s="22">
        <v>1.0</v>
      </c>
      <c r="CV87" s="22">
        <v>0.0</v>
      </c>
      <c r="CW87" s="22">
        <v>0.0</v>
      </c>
      <c r="CX87" s="22">
        <v>2.0</v>
      </c>
      <c r="CY87" s="22">
        <v>4.0</v>
      </c>
      <c r="CZ87" s="61">
        <v>2.5</v>
      </c>
      <c r="DA87" s="62" t="s">
        <v>568</v>
      </c>
    </row>
    <row r="88">
      <c r="A88" s="16" t="s">
        <v>213</v>
      </c>
      <c r="B88" s="16" t="s">
        <v>214</v>
      </c>
      <c r="C88" s="34" t="s">
        <v>31</v>
      </c>
      <c r="D88" s="16" t="s">
        <v>95</v>
      </c>
      <c r="E88" s="17" t="b">
        <f t="shared" ref="E88:K88" si="441">If(IFERROR(SEARCH(E$1, $D88),0) &gt;= 1, true,false)</f>
        <v>1</v>
      </c>
      <c r="F88" s="17" t="b">
        <f t="shared" si="441"/>
        <v>0</v>
      </c>
      <c r="G88" s="17" t="b">
        <f t="shared" si="441"/>
        <v>0</v>
      </c>
      <c r="H88" s="17" t="b">
        <f t="shared" si="441"/>
        <v>0</v>
      </c>
      <c r="I88" s="17" t="b">
        <f t="shared" si="441"/>
        <v>0</v>
      </c>
      <c r="J88" s="17" t="b">
        <f t="shared" si="441"/>
        <v>1</v>
      </c>
      <c r="K88" s="17" t="b">
        <f t="shared" si="441"/>
        <v>0</v>
      </c>
      <c r="L88" s="18" t="b">
        <v>1</v>
      </c>
      <c r="M88" s="18" t="b">
        <v>0</v>
      </c>
      <c r="N88" s="18" t="b">
        <v>0</v>
      </c>
      <c r="O88" s="18" t="b">
        <v>0</v>
      </c>
      <c r="P88" s="16" t="str">
        <f t="shared" si="7"/>
        <v>Stedelijk Museum Hoogstraten</v>
      </c>
      <c r="Q88" s="19">
        <v>0.0</v>
      </c>
      <c r="R88" s="18" t="b">
        <v>0</v>
      </c>
      <c r="S88" s="18" t="b">
        <v>1</v>
      </c>
      <c r="T88" s="30">
        <v>0.0</v>
      </c>
      <c r="U88" s="21">
        <f t="shared" si="8"/>
        <v>0</v>
      </c>
      <c r="V88" s="21">
        <f t="shared" ref="V88:AB88" si="442">if(OR(AW88 = $AO$4, AW88 = $AQ$4), 1, 0)</f>
        <v>1</v>
      </c>
      <c r="W88" s="21">
        <f t="shared" si="442"/>
        <v>0</v>
      </c>
      <c r="X88" s="21">
        <f t="shared" si="442"/>
        <v>0</v>
      </c>
      <c r="Y88" s="21">
        <f t="shared" si="442"/>
        <v>0</v>
      </c>
      <c r="Z88" s="21">
        <f t="shared" si="442"/>
        <v>0</v>
      </c>
      <c r="AA88" s="21">
        <f t="shared" si="442"/>
        <v>1</v>
      </c>
      <c r="AB88" s="21">
        <f t="shared" si="442"/>
        <v>0</v>
      </c>
      <c r="AC88" s="21">
        <f t="shared" si="10"/>
        <v>2</v>
      </c>
      <c r="AD88" s="21">
        <f t="shared" si="11"/>
        <v>1</v>
      </c>
      <c r="AE88" s="21">
        <f t="shared" ref="AE88:AH88" si="443">if(OR(BD88 = $AO$6, BD88 = $AS$6, BD88 = $AT$6, BD88 = $AU$6), 1, 0)</f>
        <v>1</v>
      </c>
      <c r="AF88" s="21">
        <f t="shared" si="443"/>
        <v>0</v>
      </c>
      <c r="AG88" s="21">
        <f t="shared" si="443"/>
        <v>0</v>
      </c>
      <c r="AH88" s="21">
        <f t="shared" si="443"/>
        <v>0</v>
      </c>
      <c r="AI88" s="21">
        <f t="shared" si="13"/>
        <v>1</v>
      </c>
      <c r="AJ88" s="21">
        <f t="shared" si="14"/>
        <v>4</v>
      </c>
      <c r="AK88" s="59">
        <f t="shared" si="15"/>
        <v>2.5</v>
      </c>
      <c r="AL88" s="60" t="str">
        <f t="shared" si="16"/>
        <v>subpar</v>
      </c>
      <c r="AW88" s="22" t="str">
        <f t="shared" ref="AW88:BC88" si="444">IF(IFERROR(SEARCH(E$1, $D88),0) &gt;= 1, E$1,0)</f>
        <v>Geschiedenis en archeologie</v>
      </c>
      <c r="AX88" s="22">
        <f t="shared" si="444"/>
        <v>0</v>
      </c>
      <c r="AY88" s="22">
        <f t="shared" si="444"/>
        <v>0</v>
      </c>
      <c r="AZ88" s="22">
        <f t="shared" si="444"/>
        <v>0</v>
      </c>
      <c r="BA88" s="22">
        <f t="shared" si="444"/>
        <v>0</v>
      </c>
      <c r="BB88" s="22" t="str">
        <f t="shared" si="444"/>
        <v>Beeldende kunst</v>
      </c>
      <c r="BC88" s="22">
        <f t="shared" si="444"/>
        <v>0</v>
      </c>
      <c r="BD88" s="22" t="str">
        <f t="shared" ref="BD88:BG88" si="445">IF(L88 = true, BD$1, 0)</f>
        <v>Shop</v>
      </c>
      <c r="BE88" s="22">
        <f t="shared" si="445"/>
        <v>0</v>
      </c>
      <c r="BF88" s="22">
        <f t="shared" si="445"/>
        <v>0</v>
      </c>
      <c r="BG88" s="22">
        <f t="shared" si="445"/>
        <v>0</v>
      </c>
      <c r="BH88" s="22" t="str">
        <f>IFERROR(__xludf.DUMMYFUNCTION("""COMPUTED_VALUE"""),"Middelheimmuseum")</f>
        <v>Middelheimmuseum</v>
      </c>
      <c r="BI88" s="24">
        <f>IFERROR(__xludf.DUMMYFUNCTION("""COMPUTED_VALUE"""),0.0)</f>
        <v>0</v>
      </c>
      <c r="BJ88" s="22" t="b">
        <f>IFERROR(__xludf.DUMMYFUNCTION("""COMPUTED_VALUE"""),FALSE)</f>
        <v>0</v>
      </c>
      <c r="BK88" s="22" t="b">
        <f>IFERROR(__xludf.DUMMYFUNCTION("""COMPUTED_VALUE"""),TRUE)</f>
        <v>1</v>
      </c>
      <c r="BL88" s="24">
        <f>IFERROR(__xludf.DUMMYFUNCTION("""COMPUTED_VALUE"""),0.0)</f>
        <v>0</v>
      </c>
      <c r="BM88" s="22">
        <f>IFERROR(__xludf.DUMMYFUNCTION("""COMPUTED_VALUE"""),0.0)</f>
        <v>0</v>
      </c>
      <c r="BN88" s="22">
        <f>IFERROR(__xludf.DUMMYFUNCTION("""COMPUTED_VALUE"""),0.0)</f>
        <v>0</v>
      </c>
      <c r="BO88" s="22">
        <f>IFERROR(__xludf.DUMMYFUNCTION("""COMPUTED_VALUE"""),0.0)</f>
        <v>0</v>
      </c>
      <c r="BP88" s="22">
        <f>IFERROR(__xludf.DUMMYFUNCTION("""COMPUTED_VALUE"""),0.0)</f>
        <v>0</v>
      </c>
      <c r="BQ88" s="22">
        <f>IFERROR(__xludf.DUMMYFUNCTION("""COMPUTED_VALUE"""),0.0)</f>
        <v>0</v>
      </c>
      <c r="BR88" s="22">
        <f>IFERROR(__xludf.DUMMYFUNCTION("""COMPUTED_VALUE"""),0.0)</f>
        <v>0</v>
      </c>
      <c r="BS88" s="22">
        <f>IFERROR(__xludf.DUMMYFUNCTION("""COMPUTED_VALUE"""),1.0)</f>
        <v>1</v>
      </c>
      <c r="BT88" s="22">
        <f>IFERROR(__xludf.DUMMYFUNCTION("""COMPUTED_VALUE"""),0.0)</f>
        <v>0</v>
      </c>
      <c r="BU88" s="22">
        <f>IFERROR(__xludf.DUMMYFUNCTION("""COMPUTED_VALUE"""),1.0)</f>
        <v>1</v>
      </c>
      <c r="BV88" s="22">
        <f>IFERROR(__xludf.DUMMYFUNCTION("""COMPUTED_VALUE"""),1.0)</f>
        <v>1</v>
      </c>
      <c r="BW88" s="22">
        <f>IFERROR(__xludf.DUMMYFUNCTION("""COMPUTED_VALUE"""),1.0)</f>
        <v>1</v>
      </c>
      <c r="BX88" s="22">
        <f>IFERROR(__xludf.DUMMYFUNCTION("""COMPUTED_VALUE"""),1.0)</f>
        <v>1</v>
      </c>
      <c r="BY88" s="22">
        <f>IFERROR(__xludf.DUMMYFUNCTION("""COMPUTED_VALUE"""),0.0)</f>
        <v>0</v>
      </c>
      <c r="BZ88" s="22">
        <f>IFERROR(__xludf.DUMMYFUNCTION("""COMPUTED_VALUE"""),0.0)</f>
        <v>0</v>
      </c>
      <c r="CA88" s="22">
        <f>IFERROR(__xludf.DUMMYFUNCTION("""COMPUTED_VALUE"""),2.0)</f>
        <v>2</v>
      </c>
      <c r="CB88" s="22">
        <f>IFERROR(__xludf.DUMMYFUNCTION("""COMPUTED_VALUE"""),4.0)</f>
        <v>4</v>
      </c>
      <c r="CC88" s="61">
        <f>IFERROR(__xludf.DUMMYFUNCTION("""COMPUTED_VALUE"""),2.5)</f>
        <v>2.5</v>
      </c>
      <c r="CD88" s="62" t="str">
        <f>IFERROR(__xludf.DUMMYFUNCTION("""COMPUTED_VALUE"""),"subpar")</f>
        <v>subpar</v>
      </c>
      <c r="CE88" s="22" t="s">
        <v>181</v>
      </c>
      <c r="CF88" s="24">
        <v>0.0</v>
      </c>
      <c r="CG88" s="22" t="b">
        <v>0</v>
      </c>
      <c r="CH88" s="22" t="b">
        <v>1</v>
      </c>
      <c r="CI88" s="24">
        <v>0.0</v>
      </c>
      <c r="CJ88" s="22">
        <v>0.0</v>
      </c>
      <c r="CK88" s="22">
        <v>0.0</v>
      </c>
      <c r="CL88" s="22">
        <v>0.0</v>
      </c>
      <c r="CM88" s="22">
        <v>0.0</v>
      </c>
      <c r="CN88" s="22">
        <v>0.0</v>
      </c>
      <c r="CO88" s="22">
        <v>0.0</v>
      </c>
      <c r="CP88" s="22">
        <v>1.0</v>
      </c>
      <c r="CQ88" s="22">
        <v>0.0</v>
      </c>
      <c r="CR88" s="22">
        <v>1.0</v>
      </c>
      <c r="CS88" s="22">
        <v>1.0</v>
      </c>
      <c r="CT88" s="22">
        <v>1.0</v>
      </c>
      <c r="CU88" s="22">
        <v>1.0</v>
      </c>
      <c r="CV88" s="22">
        <v>0.0</v>
      </c>
      <c r="CW88" s="22">
        <v>0.0</v>
      </c>
      <c r="CX88" s="22">
        <v>2.0</v>
      </c>
      <c r="CY88" s="22">
        <v>4.0</v>
      </c>
      <c r="CZ88" s="61">
        <v>2.5</v>
      </c>
      <c r="DA88" s="62" t="s">
        <v>568</v>
      </c>
    </row>
    <row r="89">
      <c r="A89" s="16" t="s">
        <v>215</v>
      </c>
      <c r="B89" s="16" t="s">
        <v>216</v>
      </c>
      <c r="C89" s="34" t="s">
        <v>31</v>
      </c>
      <c r="D89" s="16" t="s">
        <v>156</v>
      </c>
      <c r="E89" s="17" t="b">
        <f t="shared" ref="E89:K89" si="446">If(IFERROR(SEARCH(E$1, $D89),0) &gt;= 1, true,false)</f>
        <v>1</v>
      </c>
      <c r="F89" s="17" t="b">
        <f t="shared" si="446"/>
        <v>0</v>
      </c>
      <c r="G89" s="17" t="b">
        <f t="shared" si="446"/>
        <v>0</v>
      </c>
      <c r="H89" s="17" t="b">
        <f t="shared" si="446"/>
        <v>1</v>
      </c>
      <c r="I89" s="17" t="b">
        <f t="shared" si="446"/>
        <v>0</v>
      </c>
      <c r="J89" s="17" t="b">
        <f t="shared" si="446"/>
        <v>0</v>
      </c>
      <c r="K89" s="17" t="b">
        <f t="shared" si="446"/>
        <v>0</v>
      </c>
      <c r="L89" s="18" t="b">
        <v>1</v>
      </c>
      <c r="M89" s="18" t="b">
        <v>1</v>
      </c>
      <c r="N89" s="18" t="b">
        <v>1</v>
      </c>
      <c r="O89" s="18" t="b">
        <v>0</v>
      </c>
      <c r="P89" s="16" t="str">
        <f t="shared" si="7"/>
        <v>Suske en Wiske Museum</v>
      </c>
      <c r="Q89" s="19">
        <v>15.0</v>
      </c>
      <c r="R89" s="18" t="b">
        <v>0</v>
      </c>
      <c r="S89" s="18" t="b">
        <v>0</v>
      </c>
      <c r="T89" s="21"/>
      <c r="U89" s="21">
        <f t="shared" si="8"/>
        <v>0</v>
      </c>
      <c r="V89" s="21">
        <f t="shared" ref="V89:AB89" si="447">if(OR(AW89 = $AO$4, AW89 = $AQ$4), 1, 0)</f>
        <v>1</v>
      </c>
      <c r="W89" s="21">
        <f t="shared" si="447"/>
        <v>0</v>
      </c>
      <c r="X89" s="21">
        <f t="shared" si="447"/>
        <v>0</v>
      </c>
      <c r="Y89" s="21">
        <f t="shared" si="447"/>
        <v>0</v>
      </c>
      <c r="Z89" s="21">
        <f t="shared" si="447"/>
        <v>0</v>
      </c>
      <c r="AA89" s="21">
        <f t="shared" si="447"/>
        <v>0</v>
      </c>
      <c r="AB89" s="21">
        <f t="shared" si="447"/>
        <v>0</v>
      </c>
      <c r="AC89" s="21">
        <f t="shared" si="10"/>
        <v>1</v>
      </c>
      <c r="AD89" s="21">
        <f t="shared" si="11"/>
        <v>0</v>
      </c>
      <c r="AE89" s="21">
        <f t="shared" ref="AE89:AH89" si="448">if(OR(BD89 = $AO$6, BD89 = $AS$6, BD89 = $AT$6, BD89 = $AU$6), 1, 0)</f>
        <v>1</v>
      </c>
      <c r="AF89" s="21">
        <f t="shared" si="448"/>
        <v>1</v>
      </c>
      <c r="AG89" s="21">
        <f t="shared" si="448"/>
        <v>1</v>
      </c>
      <c r="AH89" s="21">
        <f t="shared" si="448"/>
        <v>0</v>
      </c>
      <c r="AI89" s="21">
        <f t="shared" si="13"/>
        <v>3</v>
      </c>
      <c r="AJ89" s="21">
        <f t="shared" si="14"/>
        <v>4</v>
      </c>
      <c r="AK89" s="59">
        <f t="shared" si="15"/>
        <v>2.5</v>
      </c>
      <c r="AL89" s="60" t="str">
        <f t="shared" si="16"/>
        <v>subpar</v>
      </c>
      <c r="AW89" s="22" t="str">
        <f t="shared" ref="AW89:BC89" si="449">IF(IFERROR(SEARCH(E$1, $D89),0) &gt;= 1, E$1,0)</f>
        <v>Geschiedenis en archeologie</v>
      </c>
      <c r="AX89" s="22">
        <f t="shared" si="449"/>
        <v>0</v>
      </c>
      <c r="AY89" s="22">
        <f t="shared" si="449"/>
        <v>0</v>
      </c>
      <c r="AZ89" s="22" t="str">
        <f t="shared" si="449"/>
        <v>Literatuur</v>
      </c>
      <c r="BA89" s="22">
        <f t="shared" si="449"/>
        <v>0</v>
      </c>
      <c r="BB89" s="22">
        <f t="shared" si="449"/>
        <v>0</v>
      </c>
      <c r="BC89" s="22">
        <f t="shared" si="449"/>
        <v>0</v>
      </c>
      <c r="BD89" s="22" t="str">
        <f t="shared" ref="BD89:BG89" si="450">IF(L89 = true, BD$1, 0)</f>
        <v>Shop</v>
      </c>
      <c r="BE89" s="22" t="str">
        <f t="shared" si="450"/>
        <v>Café</v>
      </c>
      <c r="BF89" s="22" t="str">
        <f t="shared" si="450"/>
        <v>Parking</v>
      </c>
      <c r="BG89" s="22">
        <f t="shared" si="450"/>
        <v>0</v>
      </c>
      <c r="BH89" s="22" t="str">
        <f>IFERROR(__xludf.DUMMYFUNCTION("""COMPUTED_VALUE"""),"Museum Mayer van den Bergh")</f>
        <v>Museum Mayer van den Bergh</v>
      </c>
      <c r="BI89" s="24">
        <f>IFERROR(__xludf.DUMMYFUNCTION("""COMPUTED_VALUE"""),10.0)</f>
        <v>10</v>
      </c>
      <c r="BJ89" s="22" t="b">
        <f>IFERROR(__xludf.DUMMYFUNCTION("""COMPUTED_VALUE"""),TRUE)</f>
        <v>1</v>
      </c>
      <c r="BK89" s="22" t="b">
        <f>IFERROR(__xludf.DUMMYFUNCTION("""COMPUTED_VALUE"""),FALSE)</f>
        <v>0</v>
      </c>
      <c r="BL89" s="22"/>
      <c r="BM89" s="22">
        <f>IFERROR(__xludf.DUMMYFUNCTION("""COMPUTED_VALUE"""),0.0)</f>
        <v>0</v>
      </c>
      <c r="BN89" s="22">
        <f>IFERROR(__xludf.DUMMYFUNCTION("""COMPUTED_VALUE"""),1.0)</f>
        <v>1</v>
      </c>
      <c r="BO89" s="22">
        <f>IFERROR(__xludf.DUMMYFUNCTION("""COMPUTED_VALUE"""),0.0)</f>
        <v>0</v>
      </c>
      <c r="BP89" s="22">
        <f>IFERROR(__xludf.DUMMYFUNCTION("""COMPUTED_VALUE"""),0.0)</f>
        <v>0</v>
      </c>
      <c r="BQ89" s="22">
        <f>IFERROR(__xludf.DUMMYFUNCTION("""COMPUTED_VALUE"""),0.0)</f>
        <v>0</v>
      </c>
      <c r="BR89" s="22">
        <f>IFERROR(__xludf.DUMMYFUNCTION("""COMPUTED_VALUE"""),0.0)</f>
        <v>0</v>
      </c>
      <c r="BS89" s="22">
        <f>IFERROR(__xludf.DUMMYFUNCTION("""COMPUTED_VALUE"""),1.0)</f>
        <v>1</v>
      </c>
      <c r="BT89" s="22">
        <f>IFERROR(__xludf.DUMMYFUNCTION("""COMPUTED_VALUE"""),0.0)</f>
        <v>0</v>
      </c>
      <c r="BU89" s="22">
        <f>IFERROR(__xludf.DUMMYFUNCTION("""COMPUTED_VALUE"""),2.0)</f>
        <v>2</v>
      </c>
      <c r="BV89" s="22">
        <f>IFERROR(__xludf.DUMMYFUNCTION("""COMPUTED_VALUE"""),1.0)</f>
        <v>1</v>
      </c>
      <c r="BW89" s="22">
        <f>IFERROR(__xludf.DUMMYFUNCTION("""COMPUTED_VALUE"""),1.0)</f>
        <v>1</v>
      </c>
      <c r="BX89" s="22">
        <f>IFERROR(__xludf.DUMMYFUNCTION("""COMPUTED_VALUE"""),0.0)</f>
        <v>0</v>
      </c>
      <c r="BY89" s="22">
        <f>IFERROR(__xludf.DUMMYFUNCTION("""COMPUTED_VALUE"""),0.0)</f>
        <v>0</v>
      </c>
      <c r="BZ89" s="22">
        <f>IFERROR(__xludf.DUMMYFUNCTION("""COMPUTED_VALUE"""),0.0)</f>
        <v>0</v>
      </c>
      <c r="CA89" s="22">
        <f>IFERROR(__xludf.DUMMYFUNCTION("""COMPUTED_VALUE"""),1.0)</f>
        <v>1</v>
      </c>
      <c r="CB89" s="22">
        <f>IFERROR(__xludf.DUMMYFUNCTION("""COMPUTED_VALUE"""),4.0)</f>
        <v>4</v>
      </c>
      <c r="CC89" s="61">
        <f>IFERROR(__xludf.DUMMYFUNCTION("""COMPUTED_VALUE"""),2.5)</f>
        <v>2.5</v>
      </c>
      <c r="CD89" s="62" t="str">
        <f>IFERROR(__xludf.DUMMYFUNCTION("""COMPUTED_VALUE"""),"subpar")</f>
        <v>subpar</v>
      </c>
      <c r="CE89" s="22" t="s">
        <v>191</v>
      </c>
      <c r="CF89" s="24">
        <v>10.0</v>
      </c>
      <c r="CG89" s="22" t="b">
        <v>1</v>
      </c>
      <c r="CH89" s="22" t="b">
        <v>0</v>
      </c>
      <c r="CI89" s="22"/>
      <c r="CJ89" s="22">
        <v>0.0</v>
      </c>
      <c r="CK89" s="22">
        <v>1.0</v>
      </c>
      <c r="CL89" s="22">
        <v>0.0</v>
      </c>
      <c r="CM89" s="22">
        <v>0.0</v>
      </c>
      <c r="CN89" s="22">
        <v>0.0</v>
      </c>
      <c r="CO89" s="22">
        <v>0.0</v>
      </c>
      <c r="CP89" s="22">
        <v>1.0</v>
      </c>
      <c r="CQ89" s="22">
        <v>0.0</v>
      </c>
      <c r="CR89" s="22">
        <v>2.0</v>
      </c>
      <c r="CS89" s="22">
        <v>1.0</v>
      </c>
      <c r="CT89" s="22">
        <v>1.0</v>
      </c>
      <c r="CU89" s="22">
        <v>0.0</v>
      </c>
      <c r="CV89" s="22">
        <v>0.0</v>
      </c>
      <c r="CW89" s="22">
        <v>0.0</v>
      </c>
      <c r="CX89" s="22">
        <v>1.0</v>
      </c>
      <c r="CY89" s="22">
        <v>4.0</v>
      </c>
      <c r="CZ89" s="61">
        <v>2.5</v>
      </c>
      <c r="DA89" s="62" t="s">
        <v>568</v>
      </c>
    </row>
    <row r="90">
      <c r="A90" s="16" t="s">
        <v>217</v>
      </c>
      <c r="B90" s="16"/>
      <c r="C90" s="34" t="s">
        <v>31</v>
      </c>
      <c r="D90" s="16" t="s">
        <v>198</v>
      </c>
      <c r="E90" s="17" t="b">
        <f t="shared" ref="E90:K90" si="451">If(IFERROR(SEARCH(E$1, $D90),0) &gt;= 1, true,false)</f>
        <v>1</v>
      </c>
      <c r="F90" s="17" t="b">
        <f t="shared" si="451"/>
        <v>0</v>
      </c>
      <c r="G90" s="17" t="b">
        <f t="shared" si="451"/>
        <v>0</v>
      </c>
      <c r="H90" s="17" t="b">
        <f t="shared" si="451"/>
        <v>0</v>
      </c>
      <c r="I90" s="17" t="b">
        <f t="shared" si="451"/>
        <v>1</v>
      </c>
      <c r="J90" s="17" t="b">
        <f t="shared" si="451"/>
        <v>1</v>
      </c>
      <c r="K90" s="17" t="b">
        <f t="shared" si="451"/>
        <v>0</v>
      </c>
      <c r="L90" s="18" t="b">
        <v>1</v>
      </c>
      <c r="M90" s="18" t="b">
        <v>1</v>
      </c>
      <c r="N90" s="18" t="b">
        <v>0</v>
      </c>
      <c r="O90" s="18" t="b">
        <v>0</v>
      </c>
      <c r="P90" s="16" t="str">
        <f t="shared" si="7"/>
        <v>Taxandriamuseum</v>
      </c>
      <c r="Q90" s="19">
        <v>5.0</v>
      </c>
      <c r="R90" s="18" t="b">
        <v>0</v>
      </c>
      <c r="S90" s="18" t="b">
        <v>1</v>
      </c>
      <c r="T90" s="29">
        <v>5.0</v>
      </c>
      <c r="U90" s="21">
        <f t="shared" si="8"/>
        <v>0</v>
      </c>
      <c r="V90" s="21">
        <f t="shared" ref="V90:AB90" si="452">if(OR(AW90 = $AO$4, AW90 = $AQ$4), 1, 0)</f>
        <v>1</v>
      </c>
      <c r="W90" s="21">
        <f t="shared" si="452"/>
        <v>0</v>
      </c>
      <c r="X90" s="21">
        <f t="shared" si="452"/>
        <v>0</v>
      </c>
      <c r="Y90" s="21">
        <f t="shared" si="452"/>
        <v>0</v>
      </c>
      <c r="Z90" s="21">
        <f t="shared" si="452"/>
        <v>0</v>
      </c>
      <c r="AA90" s="21">
        <f t="shared" si="452"/>
        <v>1</v>
      </c>
      <c r="AB90" s="21">
        <f t="shared" si="452"/>
        <v>0</v>
      </c>
      <c r="AC90" s="21">
        <f t="shared" si="10"/>
        <v>2</v>
      </c>
      <c r="AD90" s="21">
        <f t="shared" si="11"/>
        <v>1</v>
      </c>
      <c r="AE90" s="21">
        <f t="shared" ref="AE90:AH90" si="453">if(OR(BD90 = $AO$6, BD90 = $AS$6, BD90 = $AT$6, BD90 = $AU$6), 1, 0)</f>
        <v>1</v>
      </c>
      <c r="AF90" s="21">
        <f t="shared" si="453"/>
        <v>1</v>
      </c>
      <c r="AG90" s="21">
        <f t="shared" si="453"/>
        <v>0</v>
      </c>
      <c r="AH90" s="21">
        <f t="shared" si="453"/>
        <v>0</v>
      </c>
      <c r="AI90" s="21">
        <f t="shared" si="13"/>
        <v>2</v>
      </c>
      <c r="AJ90" s="21">
        <f t="shared" si="14"/>
        <v>5</v>
      </c>
      <c r="AK90" s="59">
        <f t="shared" si="15"/>
        <v>3.125</v>
      </c>
      <c r="AL90" s="60" t="str">
        <f t="shared" si="16"/>
        <v>good</v>
      </c>
      <c r="AW90" s="22" t="str">
        <f t="shared" ref="AW90:BC90" si="454">IF(IFERROR(SEARCH(E$1, $D90),0) &gt;= 1, E$1,0)</f>
        <v>Geschiedenis en archeologie</v>
      </c>
      <c r="AX90" s="22">
        <f t="shared" si="454"/>
        <v>0</v>
      </c>
      <c r="AY90" s="22">
        <f t="shared" si="454"/>
        <v>0</v>
      </c>
      <c r="AZ90" s="22">
        <f t="shared" si="454"/>
        <v>0</v>
      </c>
      <c r="BA90" s="22" t="str">
        <f t="shared" si="454"/>
        <v>Architectuur</v>
      </c>
      <c r="BB90" s="22" t="str">
        <f t="shared" si="454"/>
        <v>Beeldende kunst</v>
      </c>
      <c r="BC90" s="22">
        <f t="shared" si="454"/>
        <v>0</v>
      </c>
      <c r="BD90" s="22" t="str">
        <f t="shared" ref="BD90:BG90" si="455">IF(L90 = true, BD$1, 0)</f>
        <v>Shop</v>
      </c>
      <c r="BE90" s="22" t="str">
        <f t="shared" si="455"/>
        <v>Café</v>
      </c>
      <c r="BF90" s="22">
        <f t="shared" si="455"/>
        <v>0</v>
      </c>
      <c r="BG90" s="22">
        <f t="shared" si="455"/>
        <v>0</v>
      </c>
      <c r="BH90" s="22" t="str">
        <f>IFERROR(__xludf.DUMMYFUNCTION("""COMPUTED_VALUE"""),"Museum Vleeshuis")</f>
        <v>Museum Vleeshuis</v>
      </c>
      <c r="BI90" s="24">
        <f>IFERROR(__xludf.DUMMYFUNCTION("""COMPUTED_VALUE"""),8.0)</f>
        <v>8</v>
      </c>
      <c r="BJ90" s="22" t="b">
        <f>IFERROR(__xludf.DUMMYFUNCTION("""COMPUTED_VALUE"""),TRUE)</f>
        <v>1</v>
      </c>
      <c r="BK90" s="22" t="b">
        <f>IFERROR(__xludf.DUMMYFUNCTION("""COMPUTED_VALUE"""),FALSE)</f>
        <v>0</v>
      </c>
      <c r="BL90" s="22"/>
      <c r="BM90" s="22">
        <f>IFERROR(__xludf.DUMMYFUNCTION("""COMPUTED_VALUE"""),0.0)</f>
        <v>0</v>
      </c>
      <c r="BN90" s="22">
        <f>IFERROR(__xludf.DUMMYFUNCTION("""COMPUTED_VALUE"""),1.0)</f>
        <v>1</v>
      </c>
      <c r="BO90" s="22">
        <f>IFERROR(__xludf.DUMMYFUNCTION("""COMPUTED_VALUE"""),0.0)</f>
        <v>0</v>
      </c>
      <c r="BP90" s="22">
        <f>IFERROR(__xludf.DUMMYFUNCTION("""COMPUTED_VALUE"""),0.0)</f>
        <v>0</v>
      </c>
      <c r="BQ90" s="22">
        <f>IFERROR(__xludf.DUMMYFUNCTION("""COMPUTED_VALUE"""),0.0)</f>
        <v>0</v>
      </c>
      <c r="BR90" s="22">
        <f>IFERROR(__xludf.DUMMYFUNCTION("""COMPUTED_VALUE"""),0.0)</f>
        <v>0</v>
      </c>
      <c r="BS90" s="22">
        <f>IFERROR(__xludf.DUMMYFUNCTION("""COMPUTED_VALUE"""),1.0)</f>
        <v>1</v>
      </c>
      <c r="BT90" s="22">
        <f>IFERROR(__xludf.DUMMYFUNCTION("""COMPUTED_VALUE"""),0.0)</f>
        <v>0</v>
      </c>
      <c r="BU90" s="22">
        <f>IFERROR(__xludf.DUMMYFUNCTION("""COMPUTED_VALUE"""),2.0)</f>
        <v>2</v>
      </c>
      <c r="BV90" s="22">
        <f>IFERROR(__xludf.DUMMYFUNCTION("""COMPUTED_VALUE"""),1.0)</f>
        <v>1</v>
      </c>
      <c r="BW90" s="22">
        <f>IFERROR(__xludf.DUMMYFUNCTION("""COMPUTED_VALUE"""),1.0)</f>
        <v>1</v>
      </c>
      <c r="BX90" s="22">
        <f>IFERROR(__xludf.DUMMYFUNCTION("""COMPUTED_VALUE"""),0.0)</f>
        <v>0</v>
      </c>
      <c r="BY90" s="22">
        <f>IFERROR(__xludf.DUMMYFUNCTION("""COMPUTED_VALUE"""),0.0)</f>
        <v>0</v>
      </c>
      <c r="BZ90" s="22">
        <f>IFERROR(__xludf.DUMMYFUNCTION("""COMPUTED_VALUE"""),0.0)</f>
        <v>0</v>
      </c>
      <c r="CA90" s="22">
        <f>IFERROR(__xludf.DUMMYFUNCTION("""COMPUTED_VALUE"""),1.0)</f>
        <v>1</v>
      </c>
      <c r="CB90" s="22">
        <f>IFERROR(__xludf.DUMMYFUNCTION("""COMPUTED_VALUE"""),4.0)</f>
        <v>4</v>
      </c>
      <c r="CC90" s="61">
        <f>IFERROR(__xludf.DUMMYFUNCTION("""COMPUTED_VALUE"""),2.5)</f>
        <v>2.5</v>
      </c>
      <c r="CD90" s="62" t="str">
        <f>IFERROR(__xludf.DUMMYFUNCTION("""COMPUTED_VALUE"""),"subpar")</f>
        <v>subpar</v>
      </c>
      <c r="CE90" s="22" t="s">
        <v>196</v>
      </c>
      <c r="CF90" s="24">
        <v>8.0</v>
      </c>
      <c r="CG90" s="22" t="b">
        <v>1</v>
      </c>
      <c r="CH90" s="22" t="b">
        <v>0</v>
      </c>
      <c r="CI90" s="22"/>
      <c r="CJ90" s="22">
        <v>0.0</v>
      </c>
      <c r="CK90" s="22">
        <v>1.0</v>
      </c>
      <c r="CL90" s="22">
        <v>0.0</v>
      </c>
      <c r="CM90" s="22">
        <v>0.0</v>
      </c>
      <c r="CN90" s="22">
        <v>0.0</v>
      </c>
      <c r="CO90" s="22">
        <v>0.0</v>
      </c>
      <c r="CP90" s="22">
        <v>1.0</v>
      </c>
      <c r="CQ90" s="22">
        <v>0.0</v>
      </c>
      <c r="CR90" s="22">
        <v>2.0</v>
      </c>
      <c r="CS90" s="22">
        <v>1.0</v>
      </c>
      <c r="CT90" s="22">
        <v>1.0</v>
      </c>
      <c r="CU90" s="22">
        <v>0.0</v>
      </c>
      <c r="CV90" s="22">
        <v>0.0</v>
      </c>
      <c r="CW90" s="22">
        <v>0.0</v>
      </c>
      <c r="CX90" s="22">
        <v>1.0</v>
      </c>
      <c r="CY90" s="22">
        <v>4.0</v>
      </c>
      <c r="CZ90" s="61">
        <v>2.5</v>
      </c>
      <c r="DA90" s="62" t="s">
        <v>568</v>
      </c>
    </row>
    <row r="91">
      <c r="A91" s="16" t="s">
        <v>218</v>
      </c>
      <c r="B91" s="16"/>
      <c r="C91" s="34" t="s">
        <v>31</v>
      </c>
      <c r="D91" s="16" t="s">
        <v>107</v>
      </c>
      <c r="E91" s="17" t="b">
        <f t="shared" ref="E91:K91" si="456">If(IFERROR(SEARCH(E$1, $D91),0) &gt;= 1, true,false)</f>
        <v>1</v>
      </c>
      <c r="F91" s="17" t="b">
        <f t="shared" si="456"/>
        <v>1</v>
      </c>
      <c r="G91" s="17" t="b">
        <f t="shared" si="456"/>
        <v>0</v>
      </c>
      <c r="H91" s="17" t="b">
        <f t="shared" si="456"/>
        <v>0</v>
      </c>
      <c r="I91" s="17" t="b">
        <f t="shared" si="456"/>
        <v>0</v>
      </c>
      <c r="J91" s="17" t="b">
        <f t="shared" si="456"/>
        <v>0</v>
      </c>
      <c r="K91" s="17" t="b">
        <f t="shared" si="456"/>
        <v>0</v>
      </c>
      <c r="L91" s="18" t="b">
        <v>1</v>
      </c>
      <c r="M91" s="18" t="b">
        <v>1</v>
      </c>
      <c r="N91" s="18" t="b">
        <v>1</v>
      </c>
      <c r="O91" s="18" t="b">
        <v>1</v>
      </c>
      <c r="P91" s="16" t="str">
        <f t="shared" si="7"/>
        <v>‘t Grom</v>
      </c>
      <c r="Q91" s="19">
        <v>7.0</v>
      </c>
      <c r="R91" s="18" t="b">
        <v>0</v>
      </c>
      <c r="S91" s="18" t="b">
        <v>1</v>
      </c>
      <c r="T91" s="30">
        <v>7.0</v>
      </c>
      <c r="U91" s="21">
        <f t="shared" si="8"/>
        <v>0</v>
      </c>
      <c r="V91" s="21">
        <f t="shared" ref="V91:AB91" si="457">if(OR(AW91 = $AO$4, AW91 = $AQ$4), 1, 0)</f>
        <v>1</v>
      </c>
      <c r="W91" s="21">
        <f t="shared" si="457"/>
        <v>0</v>
      </c>
      <c r="X91" s="21">
        <f t="shared" si="457"/>
        <v>0</v>
      </c>
      <c r="Y91" s="21">
        <f t="shared" si="457"/>
        <v>0</v>
      </c>
      <c r="Z91" s="21">
        <f t="shared" si="457"/>
        <v>0</v>
      </c>
      <c r="AA91" s="21">
        <f t="shared" si="457"/>
        <v>0</v>
      </c>
      <c r="AB91" s="21">
        <f t="shared" si="457"/>
        <v>0</v>
      </c>
      <c r="AC91" s="21">
        <f t="shared" si="10"/>
        <v>1</v>
      </c>
      <c r="AD91" s="21">
        <f t="shared" si="11"/>
        <v>1</v>
      </c>
      <c r="AE91" s="21">
        <f t="shared" ref="AE91:AH91" si="458">if(OR(BD91 = $AO$6, BD91 = $AS$6, BD91 = $AT$6, BD91 = $AU$6), 1, 0)</f>
        <v>1</v>
      </c>
      <c r="AF91" s="21">
        <f t="shared" si="458"/>
        <v>1</v>
      </c>
      <c r="AG91" s="21">
        <f t="shared" si="458"/>
        <v>1</v>
      </c>
      <c r="AH91" s="21">
        <f t="shared" si="458"/>
        <v>1</v>
      </c>
      <c r="AI91" s="21">
        <f t="shared" si="13"/>
        <v>4</v>
      </c>
      <c r="AJ91" s="21">
        <f t="shared" si="14"/>
        <v>6</v>
      </c>
      <c r="AK91" s="59">
        <f t="shared" si="15"/>
        <v>3.75</v>
      </c>
      <c r="AL91" s="60" t="str">
        <f t="shared" si="16"/>
        <v>good</v>
      </c>
      <c r="AW91" s="22" t="str">
        <f t="shared" ref="AW91:BC91" si="459">IF(IFERROR(SEARCH(E$1, $D91),0) &gt;= 1, E$1,0)</f>
        <v>Geschiedenis en archeologie</v>
      </c>
      <c r="AX91" s="22" t="str">
        <f t="shared" si="459"/>
        <v>Wetenschap en technologie</v>
      </c>
      <c r="AY91" s="22">
        <f t="shared" si="459"/>
        <v>0</v>
      </c>
      <c r="AZ91" s="22">
        <f t="shared" si="459"/>
        <v>0</v>
      </c>
      <c r="BA91" s="22">
        <f t="shared" si="459"/>
        <v>0</v>
      </c>
      <c r="BB91" s="22">
        <f t="shared" si="459"/>
        <v>0</v>
      </c>
      <c r="BC91" s="22">
        <f t="shared" si="459"/>
        <v>0</v>
      </c>
      <c r="BD91" s="22" t="str">
        <f t="shared" ref="BD91:BG91" si="460">IF(L91 = true, BD$1, 0)</f>
        <v>Shop</v>
      </c>
      <c r="BE91" s="22" t="str">
        <f t="shared" si="460"/>
        <v>Café</v>
      </c>
      <c r="BF91" s="22" t="str">
        <f t="shared" si="460"/>
        <v>Parking</v>
      </c>
      <c r="BG91" s="22" t="str">
        <f t="shared" si="460"/>
        <v>Restaurant</v>
      </c>
      <c r="BH91" s="22" t="str">
        <f>IFERROR(__xludf.DUMMYFUNCTION("""COMPUTED_VALUE"""),"Red Star Line Museum")</f>
        <v>Red Star Line Museum</v>
      </c>
      <c r="BI91" s="24">
        <f>IFERROR(__xludf.DUMMYFUNCTION("""COMPUTED_VALUE"""),10.0)</f>
        <v>10</v>
      </c>
      <c r="BJ91" s="22" t="b">
        <f>IFERROR(__xludf.DUMMYFUNCTION("""COMPUTED_VALUE"""),FALSE)</f>
        <v>0</v>
      </c>
      <c r="BK91" s="22" t="b">
        <f>IFERROR(__xludf.DUMMYFUNCTION("""COMPUTED_VALUE"""),TRUE)</f>
        <v>1</v>
      </c>
      <c r="BL91" s="24">
        <f>IFERROR(__xludf.DUMMYFUNCTION("""COMPUTED_VALUE"""),0.0)</f>
        <v>0</v>
      </c>
      <c r="BM91" s="22">
        <f>IFERROR(__xludf.DUMMYFUNCTION("""COMPUTED_VALUE"""),0.0)</f>
        <v>0</v>
      </c>
      <c r="BN91" s="22">
        <f>IFERROR(__xludf.DUMMYFUNCTION("""COMPUTED_VALUE"""),1.0)</f>
        <v>1</v>
      </c>
      <c r="BO91" s="22">
        <f>IFERROR(__xludf.DUMMYFUNCTION("""COMPUTED_VALUE"""),0.0)</f>
        <v>0</v>
      </c>
      <c r="BP91" s="22">
        <f>IFERROR(__xludf.DUMMYFUNCTION("""COMPUTED_VALUE"""),0.0)</f>
        <v>0</v>
      </c>
      <c r="BQ91" s="22">
        <f>IFERROR(__xludf.DUMMYFUNCTION("""COMPUTED_VALUE"""),0.0)</f>
        <v>0</v>
      </c>
      <c r="BR91" s="22">
        <f>IFERROR(__xludf.DUMMYFUNCTION("""COMPUTED_VALUE"""),0.0)</f>
        <v>0</v>
      </c>
      <c r="BS91" s="22">
        <f>IFERROR(__xludf.DUMMYFUNCTION("""COMPUTED_VALUE"""),0.0)</f>
        <v>0</v>
      </c>
      <c r="BT91" s="22">
        <f>IFERROR(__xludf.DUMMYFUNCTION("""COMPUTED_VALUE"""),0.0)</f>
        <v>0</v>
      </c>
      <c r="BU91" s="22">
        <f>IFERROR(__xludf.DUMMYFUNCTION("""COMPUTED_VALUE"""),1.0)</f>
        <v>1</v>
      </c>
      <c r="BV91" s="22">
        <f>IFERROR(__xludf.DUMMYFUNCTION("""COMPUTED_VALUE"""),1.0)</f>
        <v>1</v>
      </c>
      <c r="BW91" s="22">
        <f>IFERROR(__xludf.DUMMYFUNCTION("""COMPUTED_VALUE"""),1.0)</f>
        <v>1</v>
      </c>
      <c r="BX91" s="22">
        <f>IFERROR(__xludf.DUMMYFUNCTION("""COMPUTED_VALUE"""),1.0)</f>
        <v>1</v>
      </c>
      <c r="BY91" s="22">
        <f>IFERROR(__xludf.DUMMYFUNCTION("""COMPUTED_VALUE"""),0.0)</f>
        <v>0</v>
      </c>
      <c r="BZ91" s="22">
        <f>IFERROR(__xludf.DUMMYFUNCTION("""COMPUTED_VALUE"""),0.0)</f>
        <v>0</v>
      </c>
      <c r="CA91" s="22">
        <f>IFERROR(__xludf.DUMMYFUNCTION("""COMPUTED_VALUE"""),2.0)</f>
        <v>2</v>
      </c>
      <c r="CB91" s="22">
        <f>IFERROR(__xludf.DUMMYFUNCTION("""COMPUTED_VALUE"""),4.0)</f>
        <v>4</v>
      </c>
      <c r="CC91" s="61">
        <f>IFERROR(__xludf.DUMMYFUNCTION("""COMPUTED_VALUE"""),2.5)</f>
        <v>2.5</v>
      </c>
      <c r="CD91" s="62" t="str">
        <f>IFERROR(__xludf.DUMMYFUNCTION("""COMPUTED_VALUE"""),"subpar")</f>
        <v>subpar</v>
      </c>
      <c r="CE91" s="22" t="s">
        <v>201</v>
      </c>
      <c r="CF91" s="24">
        <v>10.0</v>
      </c>
      <c r="CG91" s="22" t="b">
        <v>0</v>
      </c>
      <c r="CH91" s="22" t="b">
        <v>1</v>
      </c>
      <c r="CI91" s="24">
        <v>0.0</v>
      </c>
      <c r="CJ91" s="22">
        <v>0.0</v>
      </c>
      <c r="CK91" s="22">
        <v>1.0</v>
      </c>
      <c r="CL91" s="22">
        <v>0.0</v>
      </c>
      <c r="CM91" s="22">
        <v>0.0</v>
      </c>
      <c r="CN91" s="22">
        <v>0.0</v>
      </c>
      <c r="CO91" s="22">
        <v>0.0</v>
      </c>
      <c r="CP91" s="22">
        <v>0.0</v>
      </c>
      <c r="CQ91" s="22">
        <v>0.0</v>
      </c>
      <c r="CR91" s="22">
        <v>1.0</v>
      </c>
      <c r="CS91" s="22">
        <v>1.0</v>
      </c>
      <c r="CT91" s="22">
        <v>1.0</v>
      </c>
      <c r="CU91" s="22">
        <v>1.0</v>
      </c>
      <c r="CV91" s="22">
        <v>0.0</v>
      </c>
      <c r="CW91" s="22">
        <v>0.0</v>
      </c>
      <c r="CX91" s="22">
        <v>2.0</v>
      </c>
      <c r="CY91" s="22">
        <v>4.0</v>
      </c>
      <c r="CZ91" s="61">
        <v>2.5</v>
      </c>
      <c r="DA91" s="62" t="s">
        <v>568</v>
      </c>
    </row>
    <row r="92">
      <c r="A92" s="16" t="s">
        <v>219</v>
      </c>
      <c r="B92" s="16"/>
      <c r="C92" s="34" t="s">
        <v>31</v>
      </c>
      <c r="D92" s="16" t="s">
        <v>220</v>
      </c>
      <c r="E92" s="17" t="b">
        <f t="shared" ref="E92:K92" si="461">If(IFERROR(SEARCH(E$1, $D92),0) &gt;= 1, true,false)</f>
        <v>1</v>
      </c>
      <c r="F92" s="17" t="b">
        <f t="shared" si="461"/>
        <v>1</v>
      </c>
      <c r="G92" s="17" t="b">
        <f t="shared" si="461"/>
        <v>1</v>
      </c>
      <c r="H92" s="17" t="b">
        <f t="shared" si="461"/>
        <v>0</v>
      </c>
      <c r="I92" s="17" t="b">
        <f t="shared" si="461"/>
        <v>1</v>
      </c>
      <c r="J92" s="17" t="b">
        <f t="shared" si="461"/>
        <v>0</v>
      </c>
      <c r="K92" s="17" t="b">
        <f t="shared" si="461"/>
        <v>1</v>
      </c>
      <c r="L92" s="18" t="b">
        <v>1</v>
      </c>
      <c r="M92" s="18" t="b">
        <v>0</v>
      </c>
      <c r="N92" s="18" t="b">
        <v>0</v>
      </c>
      <c r="O92" s="18" t="b">
        <v>0</v>
      </c>
      <c r="P92" s="16" t="str">
        <f t="shared" si="7"/>
        <v>Het steen, The Antwerp Story</v>
      </c>
      <c r="Q92" s="19">
        <v>7.0</v>
      </c>
      <c r="R92" s="18" t="b">
        <v>0</v>
      </c>
      <c r="S92" s="18" t="b">
        <v>1</v>
      </c>
      <c r="T92" s="30">
        <v>7.0</v>
      </c>
      <c r="U92" s="21">
        <f t="shared" si="8"/>
        <v>0</v>
      </c>
      <c r="V92" s="21">
        <f t="shared" ref="V92:AB92" si="462">if(OR(AW92 = $AO$4, AW92 = $AQ$4), 1, 0)</f>
        <v>1</v>
      </c>
      <c r="W92" s="21">
        <f t="shared" si="462"/>
        <v>0</v>
      </c>
      <c r="X92" s="21">
        <f t="shared" si="462"/>
        <v>0</v>
      </c>
      <c r="Y92" s="21">
        <f t="shared" si="462"/>
        <v>0</v>
      </c>
      <c r="Z92" s="21">
        <f t="shared" si="462"/>
        <v>0</v>
      </c>
      <c r="AA92" s="21">
        <f t="shared" si="462"/>
        <v>0</v>
      </c>
      <c r="AB92" s="21">
        <f t="shared" si="462"/>
        <v>0</v>
      </c>
      <c r="AC92" s="21">
        <f t="shared" si="10"/>
        <v>1</v>
      </c>
      <c r="AD92" s="21">
        <f t="shared" si="11"/>
        <v>1</v>
      </c>
      <c r="AE92" s="21">
        <f t="shared" ref="AE92:AH92" si="463">if(OR(BD92 = $AO$6, BD92 = $AS$6, BD92 = $AT$6, BD92 = $AU$6), 1, 0)</f>
        <v>1</v>
      </c>
      <c r="AF92" s="21">
        <f t="shared" si="463"/>
        <v>0</v>
      </c>
      <c r="AG92" s="21">
        <f t="shared" si="463"/>
        <v>0</v>
      </c>
      <c r="AH92" s="21">
        <f t="shared" si="463"/>
        <v>0</v>
      </c>
      <c r="AI92" s="21">
        <f t="shared" si="13"/>
        <v>1</v>
      </c>
      <c r="AJ92" s="21">
        <f t="shared" si="14"/>
        <v>3</v>
      </c>
      <c r="AK92" s="59">
        <f t="shared" si="15"/>
        <v>1.875</v>
      </c>
      <c r="AL92" s="60" t="str">
        <f t="shared" si="16"/>
        <v>subpar</v>
      </c>
      <c r="AW92" s="22" t="str">
        <f t="shared" ref="AW92:BC92" si="464">IF(IFERROR(SEARCH(E$1, $D92),0) &gt;= 1, E$1,0)</f>
        <v>Geschiedenis en archeologie</v>
      </c>
      <c r="AX92" s="22" t="str">
        <f t="shared" si="464"/>
        <v>Wetenschap en technologie</v>
      </c>
      <c r="AY92" s="22" t="str">
        <f t="shared" si="464"/>
        <v>Mode</v>
      </c>
      <c r="AZ92" s="22">
        <f t="shared" si="464"/>
        <v>0</v>
      </c>
      <c r="BA92" s="22" t="str">
        <f t="shared" si="464"/>
        <v>Architectuur</v>
      </c>
      <c r="BB92" s="22">
        <f t="shared" si="464"/>
        <v>0</v>
      </c>
      <c r="BC92" s="22" t="str">
        <f t="shared" si="464"/>
        <v>Toegepaste kunst en design</v>
      </c>
      <c r="BD92" s="22" t="str">
        <f t="shared" ref="BD92:BG92" si="465">IF(L92 = true, BD$1, 0)</f>
        <v>Shop</v>
      </c>
      <c r="BE92" s="22">
        <f t="shared" si="465"/>
        <v>0</v>
      </c>
      <c r="BF92" s="22">
        <f t="shared" si="465"/>
        <v>0</v>
      </c>
      <c r="BG92" s="22">
        <f t="shared" si="465"/>
        <v>0</v>
      </c>
      <c r="BH92" s="22" t="str">
        <f>IFERROR(__xludf.DUMMYFUNCTION("""COMPUTED_VALUE"""),"Sint-Pauluskerk")</f>
        <v>Sint-Pauluskerk</v>
      </c>
      <c r="BI92" s="24">
        <f>IFERROR(__xludf.DUMMYFUNCTION("""COMPUTED_VALUE"""),5.0)</f>
        <v>5</v>
      </c>
      <c r="BJ92" s="22" t="b">
        <f>IFERROR(__xludf.DUMMYFUNCTION("""COMPUTED_VALUE"""),FALSE)</f>
        <v>0</v>
      </c>
      <c r="BK92" s="22" t="b">
        <f>IFERROR(__xludf.DUMMYFUNCTION("""COMPUTED_VALUE"""),TRUE)</f>
        <v>1</v>
      </c>
      <c r="BL92" s="24">
        <f>IFERROR(__xludf.DUMMYFUNCTION("""COMPUTED_VALUE"""),5.0)</f>
        <v>5</v>
      </c>
      <c r="BM92" s="22">
        <f>IFERROR(__xludf.DUMMYFUNCTION("""COMPUTED_VALUE"""),0.0)</f>
        <v>0</v>
      </c>
      <c r="BN92" s="22">
        <f>IFERROR(__xludf.DUMMYFUNCTION("""COMPUTED_VALUE"""),1.0)</f>
        <v>1</v>
      </c>
      <c r="BO92" s="22">
        <f>IFERROR(__xludf.DUMMYFUNCTION("""COMPUTED_VALUE"""),0.0)</f>
        <v>0</v>
      </c>
      <c r="BP92" s="22">
        <f>IFERROR(__xludf.DUMMYFUNCTION("""COMPUTED_VALUE"""),0.0)</f>
        <v>0</v>
      </c>
      <c r="BQ92" s="22">
        <f>IFERROR(__xludf.DUMMYFUNCTION("""COMPUTED_VALUE"""),0.0)</f>
        <v>0</v>
      </c>
      <c r="BR92" s="22">
        <f>IFERROR(__xludf.DUMMYFUNCTION("""COMPUTED_VALUE"""),0.0)</f>
        <v>0</v>
      </c>
      <c r="BS92" s="22">
        <f>IFERROR(__xludf.DUMMYFUNCTION("""COMPUTED_VALUE"""),1.0)</f>
        <v>1</v>
      </c>
      <c r="BT92" s="22">
        <f>IFERROR(__xludf.DUMMYFUNCTION("""COMPUTED_VALUE"""),0.0)</f>
        <v>0</v>
      </c>
      <c r="BU92" s="22">
        <f>IFERROR(__xludf.DUMMYFUNCTION("""COMPUTED_VALUE"""),2.0)</f>
        <v>2</v>
      </c>
      <c r="BV92" s="22">
        <f>IFERROR(__xludf.DUMMYFUNCTION("""COMPUTED_VALUE"""),1.0)</f>
        <v>1</v>
      </c>
      <c r="BW92" s="22">
        <f>IFERROR(__xludf.DUMMYFUNCTION("""COMPUTED_VALUE"""),1.0)</f>
        <v>1</v>
      </c>
      <c r="BX92" s="22">
        <f>IFERROR(__xludf.DUMMYFUNCTION("""COMPUTED_VALUE"""),0.0)</f>
        <v>0</v>
      </c>
      <c r="BY92" s="22">
        <f>IFERROR(__xludf.DUMMYFUNCTION("""COMPUTED_VALUE"""),0.0)</f>
        <v>0</v>
      </c>
      <c r="BZ92" s="22">
        <f>IFERROR(__xludf.DUMMYFUNCTION("""COMPUTED_VALUE"""),0.0)</f>
        <v>0</v>
      </c>
      <c r="CA92" s="22">
        <f>IFERROR(__xludf.DUMMYFUNCTION("""COMPUTED_VALUE"""),1.0)</f>
        <v>1</v>
      </c>
      <c r="CB92" s="22">
        <f>IFERROR(__xludf.DUMMYFUNCTION("""COMPUTED_VALUE"""),4.0)</f>
        <v>4</v>
      </c>
      <c r="CC92" s="61">
        <f>IFERROR(__xludf.DUMMYFUNCTION("""COMPUTED_VALUE"""),2.5)</f>
        <v>2.5</v>
      </c>
      <c r="CD92" s="62" t="str">
        <f>IFERROR(__xludf.DUMMYFUNCTION("""COMPUTED_VALUE"""),"subpar")</f>
        <v>subpar</v>
      </c>
      <c r="CE92" s="22" t="s">
        <v>205</v>
      </c>
      <c r="CF92" s="24">
        <v>5.0</v>
      </c>
      <c r="CG92" s="22" t="b">
        <v>0</v>
      </c>
      <c r="CH92" s="22" t="b">
        <v>1</v>
      </c>
      <c r="CI92" s="24">
        <v>5.0</v>
      </c>
      <c r="CJ92" s="22">
        <v>0.0</v>
      </c>
      <c r="CK92" s="22">
        <v>1.0</v>
      </c>
      <c r="CL92" s="22">
        <v>0.0</v>
      </c>
      <c r="CM92" s="22">
        <v>0.0</v>
      </c>
      <c r="CN92" s="22">
        <v>0.0</v>
      </c>
      <c r="CO92" s="22">
        <v>0.0</v>
      </c>
      <c r="CP92" s="22">
        <v>1.0</v>
      </c>
      <c r="CQ92" s="22">
        <v>0.0</v>
      </c>
      <c r="CR92" s="22">
        <v>2.0</v>
      </c>
      <c r="CS92" s="22">
        <v>1.0</v>
      </c>
      <c r="CT92" s="22">
        <v>1.0</v>
      </c>
      <c r="CU92" s="22">
        <v>0.0</v>
      </c>
      <c r="CV92" s="22">
        <v>0.0</v>
      </c>
      <c r="CW92" s="22">
        <v>0.0</v>
      </c>
      <c r="CX92" s="22">
        <v>1.0</v>
      </c>
      <c r="CY92" s="22">
        <v>4.0</v>
      </c>
      <c r="CZ92" s="61">
        <v>2.5</v>
      </c>
      <c r="DA92" s="62" t="s">
        <v>568</v>
      </c>
    </row>
    <row r="93">
      <c r="A93" s="16" t="s">
        <v>221</v>
      </c>
      <c r="B93" s="16" t="s">
        <v>222</v>
      </c>
      <c r="C93" s="17" t="s">
        <v>34</v>
      </c>
      <c r="D93" s="16" t="s">
        <v>9</v>
      </c>
      <c r="E93" s="17" t="b">
        <f t="shared" ref="E93:K93" si="466">If(IFERROR(SEARCH(E$1, $D93),0) &gt;= 1, true,false)</f>
        <v>0</v>
      </c>
      <c r="F93" s="17" t="b">
        <f t="shared" si="466"/>
        <v>0</v>
      </c>
      <c r="G93" s="17" t="b">
        <f t="shared" si="466"/>
        <v>0</v>
      </c>
      <c r="H93" s="17" t="b">
        <f t="shared" si="466"/>
        <v>0</v>
      </c>
      <c r="I93" s="17" t="b">
        <f t="shared" si="466"/>
        <v>0</v>
      </c>
      <c r="J93" s="17" t="b">
        <f t="shared" si="466"/>
        <v>1</v>
      </c>
      <c r="K93" s="17" t="b">
        <f t="shared" si="466"/>
        <v>0</v>
      </c>
      <c r="L93" s="18" t="b">
        <v>1</v>
      </c>
      <c r="M93" s="18" t="b">
        <v>1</v>
      </c>
      <c r="N93" s="18" t="b">
        <v>1</v>
      </c>
      <c r="O93" s="18" t="b">
        <v>1</v>
      </c>
      <c r="P93" s="16" t="str">
        <f t="shared" si="7"/>
        <v>Stichting Folon</v>
      </c>
      <c r="Q93" s="19">
        <v>12.0</v>
      </c>
      <c r="R93" s="18" t="b">
        <v>0</v>
      </c>
      <c r="S93" s="18" t="b">
        <v>1</v>
      </c>
      <c r="T93" s="30">
        <v>10.0</v>
      </c>
      <c r="U93" s="21">
        <f t="shared" si="8"/>
        <v>0</v>
      </c>
      <c r="V93" s="21">
        <f t="shared" ref="V93:AB93" si="467">if(OR(AW93 = $AO$4, AW93 = $AQ$4), 1, 0)</f>
        <v>0</v>
      </c>
      <c r="W93" s="21">
        <f t="shared" si="467"/>
        <v>0</v>
      </c>
      <c r="X93" s="21">
        <f t="shared" si="467"/>
        <v>0</v>
      </c>
      <c r="Y93" s="21">
        <f t="shared" si="467"/>
        <v>0</v>
      </c>
      <c r="Z93" s="21">
        <f t="shared" si="467"/>
        <v>0</v>
      </c>
      <c r="AA93" s="21">
        <f t="shared" si="467"/>
        <v>1</v>
      </c>
      <c r="AB93" s="21">
        <f t="shared" si="467"/>
        <v>0</v>
      </c>
      <c r="AC93" s="21">
        <f t="shared" si="10"/>
        <v>1</v>
      </c>
      <c r="AD93" s="21">
        <f t="shared" si="11"/>
        <v>0</v>
      </c>
      <c r="AE93" s="21">
        <f t="shared" ref="AE93:AH93" si="468">if(OR(BD93 = $AO$6, BD93 = $AS$6, BD93 = $AT$6, BD93 = $AU$6), 1, 0)</f>
        <v>1</v>
      </c>
      <c r="AF93" s="21">
        <f t="shared" si="468"/>
        <v>1</v>
      </c>
      <c r="AG93" s="21">
        <f t="shared" si="468"/>
        <v>1</v>
      </c>
      <c r="AH93" s="21">
        <f t="shared" si="468"/>
        <v>1</v>
      </c>
      <c r="AI93" s="21">
        <f t="shared" si="13"/>
        <v>4</v>
      </c>
      <c r="AJ93" s="21">
        <f t="shared" si="14"/>
        <v>5</v>
      </c>
      <c r="AK93" s="59">
        <f t="shared" si="15"/>
        <v>3.125</v>
      </c>
      <c r="AL93" s="60" t="str">
        <f t="shared" si="16"/>
        <v>good</v>
      </c>
      <c r="AW93" s="22">
        <f t="shared" ref="AW93:BC93" si="469">IF(IFERROR(SEARCH(E$1, $D93),0) &gt;= 1, E$1,0)</f>
        <v>0</v>
      </c>
      <c r="AX93" s="22">
        <f t="shared" si="469"/>
        <v>0</v>
      </c>
      <c r="AY93" s="22">
        <f t="shared" si="469"/>
        <v>0</v>
      </c>
      <c r="AZ93" s="22">
        <f t="shared" si="469"/>
        <v>0</v>
      </c>
      <c r="BA93" s="22">
        <f t="shared" si="469"/>
        <v>0</v>
      </c>
      <c r="BB93" s="22" t="str">
        <f t="shared" si="469"/>
        <v>Beeldende kunst</v>
      </c>
      <c r="BC93" s="22">
        <f t="shared" si="469"/>
        <v>0</v>
      </c>
      <c r="BD93" s="22" t="str">
        <f t="shared" ref="BD93:BG93" si="470">IF(L93 = true, BD$1, 0)</f>
        <v>Shop</v>
      </c>
      <c r="BE93" s="22" t="str">
        <f t="shared" si="470"/>
        <v>Café</v>
      </c>
      <c r="BF93" s="22" t="str">
        <f t="shared" si="470"/>
        <v>Parking</v>
      </c>
      <c r="BG93" s="22" t="str">
        <f t="shared" si="470"/>
        <v>Restaurant</v>
      </c>
      <c r="BH93" s="22" t="str">
        <f>IFERROR(__xludf.DUMMYFUNCTION("""COMPUTED_VALUE"""),"Speelgoedmuseum")</f>
        <v>Speelgoedmuseum</v>
      </c>
      <c r="BI93" s="24">
        <f>IFERROR(__xludf.DUMMYFUNCTION("""COMPUTED_VALUE"""),17.5)</f>
        <v>17.5</v>
      </c>
      <c r="BJ93" s="22" t="b">
        <f>IFERROR(__xludf.DUMMYFUNCTION("""COMPUTED_VALUE"""),FALSE)</f>
        <v>0</v>
      </c>
      <c r="BK93" s="22" t="b">
        <f>IFERROR(__xludf.DUMMYFUNCTION("""COMPUTED_VALUE"""),FALSE)</f>
        <v>0</v>
      </c>
      <c r="BL93" s="22"/>
      <c r="BM93" s="22">
        <f>IFERROR(__xludf.DUMMYFUNCTION("""COMPUTED_VALUE"""),0.0)</f>
        <v>0</v>
      </c>
      <c r="BN93" s="22">
        <f>IFERROR(__xludf.DUMMYFUNCTION("""COMPUTED_VALUE"""),1.0)</f>
        <v>1</v>
      </c>
      <c r="BO93" s="22">
        <f>IFERROR(__xludf.DUMMYFUNCTION("""COMPUTED_VALUE"""),0.0)</f>
        <v>0</v>
      </c>
      <c r="BP93" s="22">
        <f>IFERROR(__xludf.DUMMYFUNCTION("""COMPUTED_VALUE"""),0.0)</f>
        <v>0</v>
      </c>
      <c r="BQ93" s="22">
        <f>IFERROR(__xludf.DUMMYFUNCTION("""COMPUTED_VALUE"""),0.0)</f>
        <v>0</v>
      </c>
      <c r="BR93" s="22">
        <f>IFERROR(__xludf.DUMMYFUNCTION("""COMPUTED_VALUE"""),0.0)</f>
        <v>0</v>
      </c>
      <c r="BS93" s="22">
        <f>IFERROR(__xludf.DUMMYFUNCTION("""COMPUTED_VALUE"""),0.0)</f>
        <v>0</v>
      </c>
      <c r="BT93" s="22">
        <f>IFERROR(__xludf.DUMMYFUNCTION("""COMPUTED_VALUE"""),0.0)</f>
        <v>0</v>
      </c>
      <c r="BU93" s="22">
        <f>IFERROR(__xludf.DUMMYFUNCTION("""COMPUTED_VALUE"""),1.0)</f>
        <v>1</v>
      </c>
      <c r="BV93" s="22">
        <f>IFERROR(__xludf.DUMMYFUNCTION("""COMPUTED_VALUE"""),0.0)</f>
        <v>0</v>
      </c>
      <c r="BW93" s="22">
        <f>IFERROR(__xludf.DUMMYFUNCTION("""COMPUTED_VALUE"""),1.0)</f>
        <v>1</v>
      </c>
      <c r="BX93" s="22">
        <f>IFERROR(__xludf.DUMMYFUNCTION("""COMPUTED_VALUE"""),1.0)</f>
        <v>1</v>
      </c>
      <c r="BY93" s="22">
        <f>IFERROR(__xludf.DUMMYFUNCTION("""COMPUTED_VALUE"""),1.0)</f>
        <v>1</v>
      </c>
      <c r="BZ93" s="22">
        <f>IFERROR(__xludf.DUMMYFUNCTION("""COMPUTED_VALUE"""),0.0)</f>
        <v>0</v>
      </c>
      <c r="CA93" s="22">
        <f>IFERROR(__xludf.DUMMYFUNCTION("""COMPUTED_VALUE"""),3.0)</f>
        <v>3</v>
      </c>
      <c r="CB93" s="22">
        <f>IFERROR(__xludf.DUMMYFUNCTION("""COMPUTED_VALUE"""),4.0)</f>
        <v>4</v>
      </c>
      <c r="CC93" s="61">
        <f>IFERROR(__xludf.DUMMYFUNCTION("""COMPUTED_VALUE"""),2.5)</f>
        <v>2.5</v>
      </c>
      <c r="CD93" s="62" t="str">
        <f>IFERROR(__xludf.DUMMYFUNCTION("""COMPUTED_VALUE"""),"subpar")</f>
        <v>subpar</v>
      </c>
      <c r="CE93" s="22" t="s">
        <v>208</v>
      </c>
      <c r="CF93" s="24">
        <v>17.5</v>
      </c>
      <c r="CG93" s="22" t="b">
        <v>0</v>
      </c>
      <c r="CH93" s="22" t="b">
        <v>0</v>
      </c>
      <c r="CI93" s="22"/>
      <c r="CJ93" s="22">
        <v>0.0</v>
      </c>
      <c r="CK93" s="22">
        <v>1.0</v>
      </c>
      <c r="CL93" s="22">
        <v>0.0</v>
      </c>
      <c r="CM93" s="22">
        <v>0.0</v>
      </c>
      <c r="CN93" s="22">
        <v>0.0</v>
      </c>
      <c r="CO93" s="22">
        <v>0.0</v>
      </c>
      <c r="CP93" s="22">
        <v>0.0</v>
      </c>
      <c r="CQ93" s="22">
        <v>0.0</v>
      </c>
      <c r="CR93" s="22">
        <v>1.0</v>
      </c>
      <c r="CS93" s="22">
        <v>0.0</v>
      </c>
      <c r="CT93" s="22">
        <v>1.0</v>
      </c>
      <c r="CU93" s="22">
        <v>1.0</v>
      </c>
      <c r="CV93" s="22">
        <v>1.0</v>
      </c>
      <c r="CW93" s="22">
        <v>0.0</v>
      </c>
      <c r="CX93" s="22">
        <v>3.0</v>
      </c>
      <c r="CY93" s="22">
        <v>4.0</v>
      </c>
      <c r="CZ93" s="61">
        <v>2.5</v>
      </c>
      <c r="DA93" s="62" t="s">
        <v>568</v>
      </c>
    </row>
    <row r="94">
      <c r="A94" s="16" t="s">
        <v>223</v>
      </c>
      <c r="B94" s="16" t="s">
        <v>224</v>
      </c>
      <c r="C94" s="17" t="s">
        <v>34</v>
      </c>
      <c r="D94" s="16" t="s">
        <v>9</v>
      </c>
      <c r="E94" s="17" t="b">
        <f t="shared" ref="E94:K94" si="471">If(IFERROR(SEARCH(E$1, $D94),0) &gt;= 1, true,false)</f>
        <v>0</v>
      </c>
      <c r="F94" s="17" t="b">
        <f t="shared" si="471"/>
        <v>0</v>
      </c>
      <c r="G94" s="17" t="b">
        <f t="shared" si="471"/>
        <v>0</v>
      </c>
      <c r="H94" s="17" t="b">
        <f t="shared" si="471"/>
        <v>0</v>
      </c>
      <c r="I94" s="17" t="b">
        <f t="shared" si="471"/>
        <v>0</v>
      </c>
      <c r="J94" s="17" t="b">
        <f t="shared" si="471"/>
        <v>1</v>
      </c>
      <c r="K94" s="17" t="b">
        <f t="shared" si="471"/>
        <v>0</v>
      </c>
      <c r="L94" s="18" t="b">
        <v>1</v>
      </c>
      <c r="M94" s="18" t="b">
        <v>1</v>
      </c>
      <c r="N94" s="18" t="b">
        <v>0</v>
      </c>
      <c r="O94" s="18" t="b">
        <v>1</v>
      </c>
      <c r="P94" s="16" t="str">
        <f t="shared" si="7"/>
        <v>Hergé Museum</v>
      </c>
      <c r="Q94" s="19">
        <v>12.0</v>
      </c>
      <c r="R94" s="18" t="b">
        <v>0</v>
      </c>
      <c r="S94" s="18" t="b">
        <v>1</v>
      </c>
      <c r="T94" s="35">
        <v>12.0</v>
      </c>
      <c r="U94" s="21">
        <f t="shared" si="8"/>
        <v>0</v>
      </c>
      <c r="V94" s="21">
        <f t="shared" ref="V94:AB94" si="472">if(OR(AW94 = $AO$4, AW94 = $AQ$4), 1, 0)</f>
        <v>0</v>
      </c>
      <c r="W94" s="21">
        <f t="shared" si="472"/>
        <v>0</v>
      </c>
      <c r="X94" s="21">
        <f t="shared" si="472"/>
        <v>0</v>
      </c>
      <c r="Y94" s="21">
        <f t="shared" si="472"/>
        <v>0</v>
      </c>
      <c r="Z94" s="21">
        <f t="shared" si="472"/>
        <v>0</v>
      </c>
      <c r="AA94" s="21">
        <f t="shared" si="472"/>
        <v>1</v>
      </c>
      <c r="AB94" s="21">
        <f t="shared" si="472"/>
        <v>0</v>
      </c>
      <c r="AC94" s="21">
        <f t="shared" si="10"/>
        <v>1</v>
      </c>
      <c r="AD94" s="21">
        <f t="shared" si="11"/>
        <v>0</v>
      </c>
      <c r="AE94" s="21">
        <f t="shared" ref="AE94:AH94" si="473">if(OR(BD94 = $AO$6, BD94 = $AS$6, BD94 = $AT$6, BD94 = $AU$6), 1, 0)</f>
        <v>1</v>
      </c>
      <c r="AF94" s="21">
        <f t="shared" si="473"/>
        <v>1</v>
      </c>
      <c r="AG94" s="21">
        <f t="shared" si="473"/>
        <v>0</v>
      </c>
      <c r="AH94" s="21">
        <f t="shared" si="473"/>
        <v>1</v>
      </c>
      <c r="AI94" s="21">
        <f t="shared" si="13"/>
        <v>3</v>
      </c>
      <c r="AJ94" s="21">
        <f t="shared" si="14"/>
        <v>4</v>
      </c>
      <c r="AK94" s="59">
        <f t="shared" si="15"/>
        <v>2.5</v>
      </c>
      <c r="AL94" s="60" t="str">
        <f t="shared" si="16"/>
        <v>subpar</v>
      </c>
      <c r="AW94" s="22">
        <f t="shared" ref="AW94:BC94" si="474">IF(IFERROR(SEARCH(E$1, $D94),0) &gt;= 1, E$1,0)</f>
        <v>0</v>
      </c>
      <c r="AX94" s="22">
        <f t="shared" si="474"/>
        <v>0</v>
      </c>
      <c r="AY94" s="22">
        <f t="shared" si="474"/>
        <v>0</v>
      </c>
      <c r="AZ94" s="22">
        <f t="shared" si="474"/>
        <v>0</v>
      </c>
      <c r="BA94" s="22">
        <f t="shared" si="474"/>
        <v>0</v>
      </c>
      <c r="BB94" s="22" t="str">
        <f t="shared" si="474"/>
        <v>Beeldende kunst</v>
      </c>
      <c r="BC94" s="22">
        <f t="shared" si="474"/>
        <v>0</v>
      </c>
      <c r="BD94" s="22" t="str">
        <f t="shared" ref="BD94:BG94" si="475">IF(L94 = true, BD$1, 0)</f>
        <v>Shop</v>
      </c>
      <c r="BE94" s="22" t="str">
        <f t="shared" si="475"/>
        <v>Café</v>
      </c>
      <c r="BF94" s="22">
        <f t="shared" si="475"/>
        <v>0</v>
      </c>
      <c r="BG94" s="22" t="str">
        <f t="shared" si="475"/>
        <v>Restaurant</v>
      </c>
      <c r="BH94" s="22" t="str">
        <f>IFERROR(__xludf.DUMMYFUNCTION("""COMPUTED_VALUE"""),"Stadsmuseum Lier")</f>
        <v>Stadsmuseum Lier</v>
      </c>
      <c r="BI94" s="24">
        <f>IFERROR(__xludf.DUMMYFUNCTION("""COMPUTED_VALUE"""),4.0)</f>
        <v>4</v>
      </c>
      <c r="BJ94" s="22" t="b">
        <f>IFERROR(__xludf.DUMMYFUNCTION("""COMPUTED_VALUE"""),FALSE)</f>
        <v>0</v>
      </c>
      <c r="BK94" s="22" t="b">
        <f>IFERROR(__xludf.DUMMYFUNCTION("""COMPUTED_VALUE"""),TRUE)</f>
        <v>1</v>
      </c>
      <c r="BL94" s="24">
        <f>IFERROR(__xludf.DUMMYFUNCTION("""COMPUTED_VALUE"""),4.0)</f>
        <v>4</v>
      </c>
      <c r="BM94" s="22">
        <f>IFERROR(__xludf.DUMMYFUNCTION("""COMPUTED_VALUE"""),0.0)</f>
        <v>0</v>
      </c>
      <c r="BN94" s="22">
        <f>IFERROR(__xludf.DUMMYFUNCTION("""COMPUTED_VALUE"""),1.0)</f>
        <v>1</v>
      </c>
      <c r="BO94" s="22">
        <f>IFERROR(__xludf.DUMMYFUNCTION("""COMPUTED_VALUE"""),0.0)</f>
        <v>0</v>
      </c>
      <c r="BP94" s="22">
        <f>IFERROR(__xludf.DUMMYFUNCTION("""COMPUTED_VALUE"""),0.0)</f>
        <v>0</v>
      </c>
      <c r="BQ94" s="22">
        <f>IFERROR(__xludf.DUMMYFUNCTION("""COMPUTED_VALUE"""),0.0)</f>
        <v>0</v>
      </c>
      <c r="BR94" s="22">
        <f>IFERROR(__xludf.DUMMYFUNCTION("""COMPUTED_VALUE"""),0.0)</f>
        <v>0</v>
      </c>
      <c r="BS94" s="22">
        <f>IFERROR(__xludf.DUMMYFUNCTION("""COMPUTED_VALUE"""),1.0)</f>
        <v>1</v>
      </c>
      <c r="BT94" s="22">
        <f>IFERROR(__xludf.DUMMYFUNCTION("""COMPUTED_VALUE"""),0.0)</f>
        <v>0</v>
      </c>
      <c r="BU94" s="22">
        <f>IFERROR(__xludf.DUMMYFUNCTION("""COMPUTED_VALUE"""),2.0)</f>
        <v>2</v>
      </c>
      <c r="BV94" s="22">
        <f>IFERROR(__xludf.DUMMYFUNCTION("""COMPUTED_VALUE"""),1.0)</f>
        <v>1</v>
      </c>
      <c r="BW94" s="22">
        <f>IFERROR(__xludf.DUMMYFUNCTION("""COMPUTED_VALUE"""),1.0)</f>
        <v>1</v>
      </c>
      <c r="BX94" s="22">
        <f>IFERROR(__xludf.DUMMYFUNCTION("""COMPUTED_VALUE"""),0.0)</f>
        <v>0</v>
      </c>
      <c r="BY94" s="22">
        <f>IFERROR(__xludf.DUMMYFUNCTION("""COMPUTED_VALUE"""),0.0)</f>
        <v>0</v>
      </c>
      <c r="BZ94" s="22">
        <f>IFERROR(__xludf.DUMMYFUNCTION("""COMPUTED_VALUE"""),0.0)</f>
        <v>0</v>
      </c>
      <c r="CA94" s="22">
        <f>IFERROR(__xludf.DUMMYFUNCTION("""COMPUTED_VALUE"""),1.0)</f>
        <v>1</v>
      </c>
      <c r="CB94" s="22">
        <f>IFERROR(__xludf.DUMMYFUNCTION("""COMPUTED_VALUE"""),4.0)</f>
        <v>4</v>
      </c>
      <c r="CC94" s="61">
        <f>IFERROR(__xludf.DUMMYFUNCTION("""COMPUTED_VALUE"""),2.5)</f>
        <v>2.5</v>
      </c>
      <c r="CD94" s="62" t="str">
        <f>IFERROR(__xludf.DUMMYFUNCTION("""COMPUTED_VALUE"""),"subpar")</f>
        <v>subpar</v>
      </c>
      <c r="CE94" s="22" t="s">
        <v>210</v>
      </c>
      <c r="CF94" s="24">
        <v>4.0</v>
      </c>
      <c r="CG94" s="22" t="b">
        <v>0</v>
      </c>
      <c r="CH94" s="22" t="b">
        <v>1</v>
      </c>
      <c r="CI94" s="24">
        <v>4.0</v>
      </c>
      <c r="CJ94" s="22">
        <v>0.0</v>
      </c>
      <c r="CK94" s="22">
        <v>1.0</v>
      </c>
      <c r="CL94" s="22">
        <v>0.0</v>
      </c>
      <c r="CM94" s="22">
        <v>0.0</v>
      </c>
      <c r="CN94" s="22">
        <v>0.0</v>
      </c>
      <c r="CO94" s="22">
        <v>0.0</v>
      </c>
      <c r="CP94" s="22">
        <v>1.0</v>
      </c>
      <c r="CQ94" s="22">
        <v>0.0</v>
      </c>
      <c r="CR94" s="22">
        <v>2.0</v>
      </c>
      <c r="CS94" s="22">
        <v>1.0</v>
      </c>
      <c r="CT94" s="22">
        <v>1.0</v>
      </c>
      <c r="CU94" s="22">
        <v>0.0</v>
      </c>
      <c r="CV94" s="22">
        <v>0.0</v>
      </c>
      <c r="CW94" s="22">
        <v>0.0</v>
      </c>
      <c r="CX94" s="22">
        <v>1.0</v>
      </c>
      <c r="CY94" s="22">
        <v>4.0</v>
      </c>
      <c r="CZ94" s="61">
        <v>2.5</v>
      </c>
      <c r="DA94" s="62" t="s">
        <v>568</v>
      </c>
    </row>
    <row r="95">
      <c r="A95" s="16"/>
      <c r="B95" s="16" t="s">
        <v>225</v>
      </c>
      <c r="C95" s="17" t="s">
        <v>34</v>
      </c>
      <c r="D95" s="16" t="s">
        <v>9</v>
      </c>
      <c r="E95" s="17" t="b">
        <f t="shared" ref="E95:K95" si="476">If(IFERROR(SEARCH(E$1, $D95),0) &gt;= 1, true,false)</f>
        <v>0</v>
      </c>
      <c r="F95" s="17" t="b">
        <f t="shared" si="476"/>
        <v>0</v>
      </c>
      <c r="G95" s="17" t="b">
        <f t="shared" si="476"/>
        <v>0</v>
      </c>
      <c r="H95" s="17" t="b">
        <f t="shared" si="476"/>
        <v>0</v>
      </c>
      <c r="I95" s="17" t="b">
        <f t="shared" si="476"/>
        <v>0</v>
      </c>
      <c r="J95" s="17" t="b">
        <f t="shared" si="476"/>
        <v>1</v>
      </c>
      <c r="K95" s="17" t="b">
        <f t="shared" si="476"/>
        <v>0</v>
      </c>
      <c r="L95" s="18" t="b">
        <v>1</v>
      </c>
      <c r="M95" s="18" t="b">
        <v>1</v>
      </c>
      <c r="N95" s="18" t="b">
        <v>1</v>
      </c>
      <c r="O95" s="18" t="b">
        <v>1</v>
      </c>
      <c r="P95" s="16" t="str">
        <f t="shared" si="7"/>
        <v>Musée L</v>
      </c>
      <c r="Q95" s="19">
        <v>8.0</v>
      </c>
      <c r="R95" s="18" t="b">
        <v>0</v>
      </c>
      <c r="S95" s="18" t="b">
        <v>1</v>
      </c>
      <c r="T95" s="35">
        <v>8.0</v>
      </c>
      <c r="U95" s="21">
        <f t="shared" si="8"/>
        <v>0</v>
      </c>
      <c r="V95" s="21">
        <f t="shared" ref="V95:AB95" si="477">if(OR(AW95 = $AO$4, AW95 = $AQ$4), 1, 0)</f>
        <v>0</v>
      </c>
      <c r="W95" s="21">
        <f t="shared" si="477"/>
        <v>0</v>
      </c>
      <c r="X95" s="21">
        <f t="shared" si="477"/>
        <v>0</v>
      </c>
      <c r="Y95" s="21">
        <f t="shared" si="477"/>
        <v>0</v>
      </c>
      <c r="Z95" s="21">
        <f t="shared" si="477"/>
        <v>0</v>
      </c>
      <c r="AA95" s="21">
        <f t="shared" si="477"/>
        <v>1</v>
      </c>
      <c r="AB95" s="21">
        <f t="shared" si="477"/>
        <v>0</v>
      </c>
      <c r="AC95" s="21">
        <f t="shared" si="10"/>
        <v>1</v>
      </c>
      <c r="AD95" s="21">
        <f t="shared" si="11"/>
        <v>1</v>
      </c>
      <c r="AE95" s="21">
        <f t="shared" ref="AE95:AH95" si="478">if(OR(BD95 = $AO$6, BD95 = $AS$6, BD95 = $AT$6, BD95 = $AU$6), 1, 0)</f>
        <v>1</v>
      </c>
      <c r="AF95" s="21">
        <f t="shared" si="478"/>
        <v>1</v>
      </c>
      <c r="AG95" s="21">
        <f t="shared" si="478"/>
        <v>1</v>
      </c>
      <c r="AH95" s="21">
        <f t="shared" si="478"/>
        <v>1</v>
      </c>
      <c r="AI95" s="21">
        <f t="shared" si="13"/>
        <v>4</v>
      </c>
      <c r="AJ95" s="21">
        <f t="shared" si="14"/>
        <v>6</v>
      </c>
      <c r="AK95" s="59">
        <f t="shared" si="15"/>
        <v>3.75</v>
      </c>
      <c r="AL95" s="60" t="str">
        <f t="shared" si="16"/>
        <v>good</v>
      </c>
      <c r="AW95" s="22">
        <f t="shared" ref="AW95:BC95" si="479">IF(IFERROR(SEARCH(E$1, $D95),0) &gt;= 1, E$1,0)</f>
        <v>0</v>
      </c>
      <c r="AX95" s="22">
        <f t="shared" si="479"/>
        <v>0</v>
      </c>
      <c r="AY95" s="22">
        <f t="shared" si="479"/>
        <v>0</v>
      </c>
      <c r="AZ95" s="22">
        <f t="shared" si="479"/>
        <v>0</v>
      </c>
      <c r="BA95" s="22">
        <f t="shared" si="479"/>
        <v>0</v>
      </c>
      <c r="BB95" s="22" t="str">
        <f t="shared" si="479"/>
        <v>Beeldende kunst</v>
      </c>
      <c r="BC95" s="22">
        <f t="shared" si="479"/>
        <v>0</v>
      </c>
      <c r="BD95" s="22" t="str">
        <f t="shared" ref="BD95:BG95" si="480">IF(L95 = true, BD$1, 0)</f>
        <v>Shop</v>
      </c>
      <c r="BE95" s="22" t="str">
        <f t="shared" si="480"/>
        <v>Café</v>
      </c>
      <c r="BF95" s="22" t="str">
        <f t="shared" si="480"/>
        <v>Parking</v>
      </c>
      <c r="BG95" s="22" t="str">
        <f t="shared" si="480"/>
        <v>Restaurant</v>
      </c>
      <c r="BH95" s="22" t="str">
        <f>IFERROR(__xludf.DUMMYFUNCTION("""COMPUTED_VALUE"""),"Stedelijk Museum Hoogstraten")</f>
        <v>Stedelijk Museum Hoogstraten</v>
      </c>
      <c r="BI95" s="24">
        <f>IFERROR(__xludf.DUMMYFUNCTION("""COMPUTED_VALUE"""),0.0)</f>
        <v>0</v>
      </c>
      <c r="BJ95" s="22" t="b">
        <f>IFERROR(__xludf.DUMMYFUNCTION("""COMPUTED_VALUE"""),FALSE)</f>
        <v>0</v>
      </c>
      <c r="BK95" s="22" t="b">
        <f>IFERROR(__xludf.DUMMYFUNCTION("""COMPUTED_VALUE"""),TRUE)</f>
        <v>1</v>
      </c>
      <c r="BL95" s="24">
        <f>IFERROR(__xludf.DUMMYFUNCTION("""COMPUTED_VALUE"""),0.0)</f>
        <v>0</v>
      </c>
      <c r="BM95" s="22">
        <f>IFERROR(__xludf.DUMMYFUNCTION("""COMPUTED_VALUE"""),0.0)</f>
        <v>0</v>
      </c>
      <c r="BN95" s="22">
        <f>IFERROR(__xludf.DUMMYFUNCTION("""COMPUTED_VALUE"""),1.0)</f>
        <v>1</v>
      </c>
      <c r="BO95" s="22">
        <f>IFERROR(__xludf.DUMMYFUNCTION("""COMPUTED_VALUE"""),0.0)</f>
        <v>0</v>
      </c>
      <c r="BP95" s="22">
        <f>IFERROR(__xludf.DUMMYFUNCTION("""COMPUTED_VALUE"""),0.0)</f>
        <v>0</v>
      </c>
      <c r="BQ95" s="22">
        <f>IFERROR(__xludf.DUMMYFUNCTION("""COMPUTED_VALUE"""),0.0)</f>
        <v>0</v>
      </c>
      <c r="BR95" s="22">
        <f>IFERROR(__xludf.DUMMYFUNCTION("""COMPUTED_VALUE"""),0.0)</f>
        <v>0</v>
      </c>
      <c r="BS95" s="22">
        <f>IFERROR(__xludf.DUMMYFUNCTION("""COMPUTED_VALUE"""),1.0)</f>
        <v>1</v>
      </c>
      <c r="BT95" s="22">
        <f>IFERROR(__xludf.DUMMYFUNCTION("""COMPUTED_VALUE"""),0.0)</f>
        <v>0</v>
      </c>
      <c r="BU95" s="22">
        <f>IFERROR(__xludf.DUMMYFUNCTION("""COMPUTED_VALUE"""),2.0)</f>
        <v>2</v>
      </c>
      <c r="BV95" s="22">
        <f>IFERROR(__xludf.DUMMYFUNCTION("""COMPUTED_VALUE"""),1.0)</f>
        <v>1</v>
      </c>
      <c r="BW95" s="22">
        <f>IFERROR(__xludf.DUMMYFUNCTION("""COMPUTED_VALUE"""),1.0)</f>
        <v>1</v>
      </c>
      <c r="BX95" s="22">
        <f>IFERROR(__xludf.DUMMYFUNCTION("""COMPUTED_VALUE"""),0.0)</f>
        <v>0</v>
      </c>
      <c r="BY95" s="22">
        <f>IFERROR(__xludf.DUMMYFUNCTION("""COMPUTED_VALUE"""),0.0)</f>
        <v>0</v>
      </c>
      <c r="BZ95" s="22">
        <f>IFERROR(__xludf.DUMMYFUNCTION("""COMPUTED_VALUE"""),0.0)</f>
        <v>0</v>
      </c>
      <c r="CA95" s="22">
        <f>IFERROR(__xludf.DUMMYFUNCTION("""COMPUTED_VALUE"""),1.0)</f>
        <v>1</v>
      </c>
      <c r="CB95" s="22">
        <f>IFERROR(__xludf.DUMMYFUNCTION("""COMPUTED_VALUE"""),4.0)</f>
        <v>4</v>
      </c>
      <c r="CC95" s="61">
        <f>IFERROR(__xludf.DUMMYFUNCTION("""COMPUTED_VALUE"""),2.5)</f>
        <v>2.5</v>
      </c>
      <c r="CD95" s="62" t="str">
        <f>IFERROR(__xludf.DUMMYFUNCTION("""COMPUTED_VALUE"""),"subpar")</f>
        <v>subpar</v>
      </c>
      <c r="CE95" s="22" t="s">
        <v>213</v>
      </c>
      <c r="CF95" s="24">
        <v>0.0</v>
      </c>
      <c r="CG95" s="22" t="b">
        <v>0</v>
      </c>
      <c r="CH95" s="22" t="b">
        <v>1</v>
      </c>
      <c r="CI95" s="24">
        <v>0.0</v>
      </c>
      <c r="CJ95" s="22">
        <v>0.0</v>
      </c>
      <c r="CK95" s="22">
        <v>1.0</v>
      </c>
      <c r="CL95" s="22">
        <v>0.0</v>
      </c>
      <c r="CM95" s="22">
        <v>0.0</v>
      </c>
      <c r="CN95" s="22">
        <v>0.0</v>
      </c>
      <c r="CO95" s="22">
        <v>0.0</v>
      </c>
      <c r="CP95" s="22">
        <v>1.0</v>
      </c>
      <c r="CQ95" s="22">
        <v>0.0</v>
      </c>
      <c r="CR95" s="22">
        <v>2.0</v>
      </c>
      <c r="CS95" s="22">
        <v>1.0</v>
      </c>
      <c r="CT95" s="22">
        <v>1.0</v>
      </c>
      <c r="CU95" s="22">
        <v>0.0</v>
      </c>
      <c r="CV95" s="22">
        <v>0.0</v>
      </c>
      <c r="CW95" s="22">
        <v>0.0</v>
      </c>
      <c r="CX95" s="22">
        <v>1.0</v>
      </c>
      <c r="CY95" s="22">
        <v>4.0</v>
      </c>
      <c r="CZ95" s="61">
        <v>2.5</v>
      </c>
      <c r="DA95" s="62" t="s">
        <v>568</v>
      </c>
    </row>
    <row r="96">
      <c r="A96" s="16" t="s">
        <v>226</v>
      </c>
      <c r="B96" s="16" t="s">
        <v>227</v>
      </c>
      <c r="C96" s="17" t="s">
        <v>34</v>
      </c>
      <c r="D96" s="16" t="s">
        <v>9</v>
      </c>
      <c r="E96" s="17" t="b">
        <f t="shared" ref="E96:K96" si="481">If(IFERROR(SEARCH(E$1, $D96),0) &gt;= 1, true,false)</f>
        <v>0</v>
      </c>
      <c r="F96" s="17" t="b">
        <f t="shared" si="481"/>
        <v>0</v>
      </c>
      <c r="G96" s="17" t="b">
        <f t="shared" si="481"/>
        <v>0</v>
      </c>
      <c r="H96" s="17" t="b">
        <f t="shared" si="481"/>
        <v>0</v>
      </c>
      <c r="I96" s="17" t="b">
        <f t="shared" si="481"/>
        <v>0</v>
      </c>
      <c r="J96" s="17" t="b">
        <f t="shared" si="481"/>
        <v>1</v>
      </c>
      <c r="K96" s="17" t="b">
        <f t="shared" si="481"/>
        <v>0</v>
      </c>
      <c r="L96" s="18" t="b">
        <v>1</v>
      </c>
      <c r="M96" s="18" t="b">
        <v>0</v>
      </c>
      <c r="N96" s="18" t="b">
        <v>1</v>
      </c>
      <c r="O96" s="18" t="b">
        <v>0</v>
      </c>
      <c r="P96" s="16" t="str">
        <f t="shared" si="7"/>
        <v>Marthe Donas museum</v>
      </c>
      <c r="Q96" s="19">
        <v>2.0</v>
      </c>
      <c r="R96" s="18" t="b">
        <v>0</v>
      </c>
      <c r="S96" s="18" t="b">
        <v>1</v>
      </c>
      <c r="T96" s="31">
        <v>2.0</v>
      </c>
      <c r="U96" s="21">
        <f t="shared" si="8"/>
        <v>0</v>
      </c>
      <c r="V96" s="21">
        <f t="shared" ref="V96:AB96" si="482">if(OR(AW96 = $AO$4, AW96 = $AQ$4), 1, 0)</f>
        <v>0</v>
      </c>
      <c r="W96" s="21">
        <f t="shared" si="482"/>
        <v>0</v>
      </c>
      <c r="X96" s="21">
        <f t="shared" si="482"/>
        <v>0</v>
      </c>
      <c r="Y96" s="21">
        <f t="shared" si="482"/>
        <v>0</v>
      </c>
      <c r="Z96" s="21">
        <f t="shared" si="482"/>
        <v>0</v>
      </c>
      <c r="AA96" s="21">
        <f t="shared" si="482"/>
        <v>1</v>
      </c>
      <c r="AB96" s="21">
        <f t="shared" si="482"/>
        <v>0</v>
      </c>
      <c r="AC96" s="21">
        <f t="shared" si="10"/>
        <v>1</v>
      </c>
      <c r="AD96" s="21">
        <f t="shared" si="11"/>
        <v>1</v>
      </c>
      <c r="AE96" s="21">
        <f t="shared" ref="AE96:AH96" si="483">if(OR(BD96 = $AO$6, BD96 = $AS$6, BD96 = $AT$6, BD96 = $AU$6), 1, 0)</f>
        <v>1</v>
      </c>
      <c r="AF96" s="21">
        <f t="shared" si="483"/>
        <v>0</v>
      </c>
      <c r="AG96" s="21">
        <f t="shared" si="483"/>
        <v>1</v>
      </c>
      <c r="AH96" s="21">
        <f t="shared" si="483"/>
        <v>0</v>
      </c>
      <c r="AI96" s="21">
        <f t="shared" si="13"/>
        <v>2</v>
      </c>
      <c r="AJ96" s="21">
        <f t="shared" si="14"/>
        <v>4</v>
      </c>
      <c r="AK96" s="59">
        <f t="shared" si="15"/>
        <v>2.5</v>
      </c>
      <c r="AL96" s="60" t="str">
        <f t="shared" si="16"/>
        <v>subpar</v>
      </c>
      <c r="AW96" s="22">
        <f t="shared" ref="AW96:BC96" si="484">IF(IFERROR(SEARCH(E$1, $D96),0) &gt;= 1, E$1,0)</f>
        <v>0</v>
      </c>
      <c r="AX96" s="22">
        <f t="shared" si="484"/>
        <v>0</v>
      </c>
      <c r="AY96" s="22">
        <f t="shared" si="484"/>
        <v>0</v>
      </c>
      <c r="AZ96" s="22">
        <f t="shared" si="484"/>
        <v>0</v>
      </c>
      <c r="BA96" s="22">
        <f t="shared" si="484"/>
        <v>0</v>
      </c>
      <c r="BB96" s="22" t="str">
        <f t="shared" si="484"/>
        <v>Beeldende kunst</v>
      </c>
      <c r="BC96" s="22">
        <f t="shared" si="484"/>
        <v>0</v>
      </c>
      <c r="BD96" s="22" t="str">
        <f t="shared" ref="BD96:BG96" si="485">IF(L96 = true, BD$1, 0)</f>
        <v>Shop</v>
      </c>
      <c r="BE96" s="22">
        <f t="shared" si="485"/>
        <v>0</v>
      </c>
      <c r="BF96" s="22" t="str">
        <f t="shared" si="485"/>
        <v>Parking</v>
      </c>
      <c r="BG96" s="22">
        <f t="shared" si="485"/>
        <v>0</v>
      </c>
      <c r="BH96" s="22" t="str">
        <f>IFERROR(__xludf.DUMMYFUNCTION("""COMPUTED_VALUE"""),"Suske en Wiske Museum")</f>
        <v>Suske en Wiske Museum</v>
      </c>
      <c r="BI96" s="24">
        <f>IFERROR(__xludf.DUMMYFUNCTION("""COMPUTED_VALUE"""),15.0)</f>
        <v>15</v>
      </c>
      <c r="BJ96" s="22" t="b">
        <f>IFERROR(__xludf.DUMMYFUNCTION("""COMPUTED_VALUE"""),FALSE)</f>
        <v>0</v>
      </c>
      <c r="BK96" s="22" t="b">
        <f>IFERROR(__xludf.DUMMYFUNCTION("""COMPUTED_VALUE"""),FALSE)</f>
        <v>0</v>
      </c>
      <c r="BL96" s="22"/>
      <c r="BM96" s="22">
        <f>IFERROR(__xludf.DUMMYFUNCTION("""COMPUTED_VALUE"""),0.0)</f>
        <v>0</v>
      </c>
      <c r="BN96" s="22">
        <f>IFERROR(__xludf.DUMMYFUNCTION("""COMPUTED_VALUE"""),1.0)</f>
        <v>1</v>
      </c>
      <c r="BO96" s="22">
        <f>IFERROR(__xludf.DUMMYFUNCTION("""COMPUTED_VALUE"""),0.0)</f>
        <v>0</v>
      </c>
      <c r="BP96" s="22">
        <f>IFERROR(__xludf.DUMMYFUNCTION("""COMPUTED_VALUE"""),0.0)</f>
        <v>0</v>
      </c>
      <c r="BQ96" s="22">
        <f>IFERROR(__xludf.DUMMYFUNCTION("""COMPUTED_VALUE"""),0.0)</f>
        <v>0</v>
      </c>
      <c r="BR96" s="22">
        <f>IFERROR(__xludf.DUMMYFUNCTION("""COMPUTED_VALUE"""),0.0)</f>
        <v>0</v>
      </c>
      <c r="BS96" s="22">
        <f>IFERROR(__xludf.DUMMYFUNCTION("""COMPUTED_VALUE"""),0.0)</f>
        <v>0</v>
      </c>
      <c r="BT96" s="22">
        <f>IFERROR(__xludf.DUMMYFUNCTION("""COMPUTED_VALUE"""),0.0)</f>
        <v>0</v>
      </c>
      <c r="BU96" s="22">
        <f>IFERROR(__xludf.DUMMYFUNCTION("""COMPUTED_VALUE"""),1.0)</f>
        <v>1</v>
      </c>
      <c r="BV96" s="22">
        <f>IFERROR(__xludf.DUMMYFUNCTION("""COMPUTED_VALUE"""),0.0)</f>
        <v>0</v>
      </c>
      <c r="BW96" s="22">
        <f>IFERROR(__xludf.DUMMYFUNCTION("""COMPUTED_VALUE"""),1.0)</f>
        <v>1</v>
      </c>
      <c r="BX96" s="22">
        <f>IFERROR(__xludf.DUMMYFUNCTION("""COMPUTED_VALUE"""),1.0)</f>
        <v>1</v>
      </c>
      <c r="BY96" s="22">
        <f>IFERROR(__xludf.DUMMYFUNCTION("""COMPUTED_VALUE"""),1.0)</f>
        <v>1</v>
      </c>
      <c r="BZ96" s="22">
        <f>IFERROR(__xludf.DUMMYFUNCTION("""COMPUTED_VALUE"""),0.0)</f>
        <v>0</v>
      </c>
      <c r="CA96" s="22">
        <f>IFERROR(__xludf.DUMMYFUNCTION("""COMPUTED_VALUE"""),3.0)</f>
        <v>3</v>
      </c>
      <c r="CB96" s="22">
        <f>IFERROR(__xludf.DUMMYFUNCTION("""COMPUTED_VALUE"""),4.0)</f>
        <v>4</v>
      </c>
      <c r="CC96" s="61">
        <f>IFERROR(__xludf.DUMMYFUNCTION("""COMPUTED_VALUE"""),2.5)</f>
        <v>2.5</v>
      </c>
      <c r="CD96" s="62" t="str">
        <f>IFERROR(__xludf.DUMMYFUNCTION("""COMPUTED_VALUE"""),"subpar")</f>
        <v>subpar</v>
      </c>
      <c r="CE96" s="22" t="s">
        <v>215</v>
      </c>
      <c r="CF96" s="24">
        <v>15.0</v>
      </c>
      <c r="CG96" s="22" t="b">
        <v>0</v>
      </c>
      <c r="CH96" s="22" t="b">
        <v>0</v>
      </c>
      <c r="CI96" s="22"/>
      <c r="CJ96" s="22">
        <v>0.0</v>
      </c>
      <c r="CK96" s="22">
        <v>1.0</v>
      </c>
      <c r="CL96" s="22">
        <v>0.0</v>
      </c>
      <c r="CM96" s="22">
        <v>0.0</v>
      </c>
      <c r="CN96" s="22">
        <v>0.0</v>
      </c>
      <c r="CO96" s="22">
        <v>0.0</v>
      </c>
      <c r="CP96" s="22">
        <v>0.0</v>
      </c>
      <c r="CQ96" s="22">
        <v>0.0</v>
      </c>
      <c r="CR96" s="22">
        <v>1.0</v>
      </c>
      <c r="CS96" s="22">
        <v>0.0</v>
      </c>
      <c r="CT96" s="22">
        <v>1.0</v>
      </c>
      <c r="CU96" s="22">
        <v>1.0</v>
      </c>
      <c r="CV96" s="22">
        <v>1.0</v>
      </c>
      <c r="CW96" s="22">
        <v>0.0</v>
      </c>
      <c r="CX96" s="22">
        <v>3.0</v>
      </c>
      <c r="CY96" s="22">
        <v>4.0</v>
      </c>
      <c r="CZ96" s="61">
        <v>2.5</v>
      </c>
      <c r="DA96" s="62" t="s">
        <v>568</v>
      </c>
    </row>
    <row r="97">
      <c r="A97" s="16" t="s">
        <v>228</v>
      </c>
      <c r="B97" s="16" t="s">
        <v>229</v>
      </c>
      <c r="C97" s="17" t="s">
        <v>34</v>
      </c>
      <c r="D97" s="16" t="s">
        <v>4</v>
      </c>
      <c r="E97" s="17" t="b">
        <f t="shared" ref="E97:K97" si="486">If(IFERROR(SEARCH(E$1, $D97),0) &gt;= 1, true,false)</f>
        <v>1</v>
      </c>
      <c r="F97" s="17" t="b">
        <f t="shared" si="486"/>
        <v>0</v>
      </c>
      <c r="G97" s="17" t="b">
        <f t="shared" si="486"/>
        <v>0</v>
      </c>
      <c r="H97" s="17" t="b">
        <f t="shared" si="486"/>
        <v>0</v>
      </c>
      <c r="I97" s="17" t="b">
        <f t="shared" si="486"/>
        <v>0</v>
      </c>
      <c r="J97" s="17" t="b">
        <f t="shared" si="486"/>
        <v>0</v>
      </c>
      <c r="K97" s="17" t="b">
        <f t="shared" si="486"/>
        <v>0</v>
      </c>
      <c r="L97" s="18" t="b">
        <v>1</v>
      </c>
      <c r="M97" s="18" t="b">
        <v>0</v>
      </c>
      <c r="N97" s="18" t="b">
        <v>0</v>
      </c>
      <c r="O97" s="18" t="b">
        <v>0</v>
      </c>
      <c r="P97" s="16" t="str">
        <f t="shared" si="7"/>
        <v>Wellington Museum</v>
      </c>
      <c r="Q97" s="19">
        <v>10.0</v>
      </c>
      <c r="R97" s="20" t="b">
        <v>0</v>
      </c>
      <c r="S97" s="18" t="b">
        <v>1</v>
      </c>
      <c r="T97" s="29">
        <v>8.0</v>
      </c>
      <c r="U97" s="21">
        <f t="shared" si="8"/>
        <v>0</v>
      </c>
      <c r="V97" s="21">
        <f t="shared" ref="V97:AB97" si="487">if(OR(AW97 = $AO$4, AW97 = $AQ$4), 1, 0)</f>
        <v>1</v>
      </c>
      <c r="W97" s="21">
        <f t="shared" si="487"/>
        <v>0</v>
      </c>
      <c r="X97" s="21">
        <f t="shared" si="487"/>
        <v>0</v>
      </c>
      <c r="Y97" s="21">
        <f t="shared" si="487"/>
        <v>0</v>
      </c>
      <c r="Z97" s="21">
        <f t="shared" si="487"/>
        <v>0</v>
      </c>
      <c r="AA97" s="21">
        <f t="shared" si="487"/>
        <v>0</v>
      </c>
      <c r="AB97" s="21">
        <f t="shared" si="487"/>
        <v>0</v>
      </c>
      <c r="AC97" s="21">
        <f t="shared" si="10"/>
        <v>1</v>
      </c>
      <c r="AD97" s="21">
        <f t="shared" si="11"/>
        <v>1</v>
      </c>
      <c r="AE97" s="21">
        <f t="shared" ref="AE97:AH97" si="488">if(OR(BD97 = $AO$6, BD97 = $AS$6, BD97 = $AT$6, BD97 = $AU$6), 1, 0)</f>
        <v>1</v>
      </c>
      <c r="AF97" s="21">
        <f t="shared" si="488"/>
        <v>0</v>
      </c>
      <c r="AG97" s="21">
        <f t="shared" si="488"/>
        <v>0</v>
      </c>
      <c r="AH97" s="21">
        <f t="shared" si="488"/>
        <v>0</v>
      </c>
      <c r="AI97" s="21">
        <f t="shared" si="13"/>
        <v>1</v>
      </c>
      <c r="AJ97" s="21">
        <f t="shared" si="14"/>
        <v>3</v>
      </c>
      <c r="AK97" s="59">
        <f t="shared" si="15"/>
        <v>1.875</v>
      </c>
      <c r="AL97" s="60" t="str">
        <f t="shared" si="16"/>
        <v>subpar</v>
      </c>
      <c r="AW97" s="22" t="str">
        <f t="shared" ref="AW97:BC97" si="489">IF(IFERROR(SEARCH(E$1, $D97),0) &gt;= 1, E$1,0)</f>
        <v>Geschiedenis en archeologie</v>
      </c>
      <c r="AX97" s="22">
        <f t="shared" si="489"/>
        <v>0</v>
      </c>
      <c r="AY97" s="22">
        <f t="shared" si="489"/>
        <v>0</v>
      </c>
      <c r="AZ97" s="22">
        <f t="shared" si="489"/>
        <v>0</v>
      </c>
      <c r="BA97" s="22">
        <f t="shared" si="489"/>
        <v>0</v>
      </c>
      <c r="BB97" s="22">
        <f t="shared" si="489"/>
        <v>0</v>
      </c>
      <c r="BC97" s="22">
        <f t="shared" si="489"/>
        <v>0</v>
      </c>
      <c r="BD97" s="22" t="str">
        <f t="shared" ref="BD97:BG97" si="490">IF(L97 = true, BD$1, 0)</f>
        <v>Shop</v>
      </c>
      <c r="BE97" s="22">
        <f t="shared" si="490"/>
        <v>0</v>
      </c>
      <c r="BF97" s="22">
        <f t="shared" si="490"/>
        <v>0</v>
      </c>
      <c r="BG97" s="22">
        <f t="shared" si="490"/>
        <v>0</v>
      </c>
      <c r="BH97" s="22" t="str">
        <f>IFERROR(__xludf.DUMMYFUNCTION("""COMPUTED_VALUE"""),"Hergé Museum")</f>
        <v>Hergé Museum</v>
      </c>
      <c r="BI97" s="24">
        <f>IFERROR(__xludf.DUMMYFUNCTION("""COMPUTED_VALUE"""),12.0)</f>
        <v>12</v>
      </c>
      <c r="BJ97" s="22" t="b">
        <f>IFERROR(__xludf.DUMMYFUNCTION("""COMPUTED_VALUE"""),FALSE)</f>
        <v>0</v>
      </c>
      <c r="BK97" s="22" t="b">
        <f>IFERROR(__xludf.DUMMYFUNCTION("""COMPUTED_VALUE"""),TRUE)</f>
        <v>1</v>
      </c>
      <c r="BL97" s="24">
        <f>IFERROR(__xludf.DUMMYFUNCTION("""COMPUTED_VALUE"""),12.0)</f>
        <v>12</v>
      </c>
      <c r="BM97" s="22">
        <f>IFERROR(__xludf.DUMMYFUNCTION("""COMPUTED_VALUE"""),0.0)</f>
        <v>0</v>
      </c>
      <c r="BN97" s="22">
        <f>IFERROR(__xludf.DUMMYFUNCTION("""COMPUTED_VALUE"""),0.0)</f>
        <v>0</v>
      </c>
      <c r="BO97" s="22">
        <f>IFERROR(__xludf.DUMMYFUNCTION("""COMPUTED_VALUE"""),0.0)</f>
        <v>0</v>
      </c>
      <c r="BP97" s="22">
        <f>IFERROR(__xludf.DUMMYFUNCTION("""COMPUTED_VALUE"""),0.0)</f>
        <v>0</v>
      </c>
      <c r="BQ97" s="22">
        <f>IFERROR(__xludf.DUMMYFUNCTION("""COMPUTED_VALUE"""),0.0)</f>
        <v>0</v>
      </c>
      <c r="BR97" s="22">
        <f>IFERROR(__xludf.DUMMYFUNCTION("""COMPUTED_VALUE"""),0.0)</f>
        <v>0</v>
      </c>
      <c r="BS97" s="22">
        <f>IFERROR(__xludf.DUMMYFUNCTION("""COMPUTED_VALUE"""),1.0)</f>
        <v>1</v>
      </c>
      <c r="BT97" s="22">
        <f>IFERROR(__xludf.DUMMYFUNCTION("""COMPUTED_VALUE"""),0.0)</f>
        <v>0</v>
      </c>
      <c r="BU97" s="22">
        <f>IFERROR(__xludf.DUMMYFUNCTION("""COMPUTED_VALUE"""),1.0)</f>
        <v>1</v>
      </c>
      <c r="BV97" s="22">
        <f>IFERROR(__xludf.DUMMYFUNCTION("""COMPUTED_VALUE"""),0.0)</f>
        <v>0</v>
      </c>
      <c r="BW97" s="22">
        <f>IFERROR(__xludf.DUMMYFUNCTION("""COMPUTED_VALUE"""),1.0)</f>
        <v>1</v>
      </c>
      <c r="BX97" s="22">
        <f>IFERROR(__xludf.DUMMYFUNCTION("""COMPUTED_VALUE"""),1.0)</f>
        <v>1</v>
      </c>
      <c r="BY97" s="22">
        <f>IFERROR(__xludf.DUMMYFUNCTION("""COMPUTED_VALUE"""),0.0)</f>
        <v>0</v>
      </c>
      <c r="BZ97" s="22">
        <f>IFERROR(__xludf.DUMMYFUNCTION("""COMPUTED_VALUE"""),1.0)</f>
        <v>1</v>
      </c>
      <c r="CA97" s="22">
        <f>IFERROR(__xludf.DUMMYFUNCTION("""COMPUTED_VALUE"""),3.0)</f>
        <v>3</v>
      </c>
      <c r="CB97" s="22">
        <f>IFERROR(__xludf.DUMMYFUNCTION("""COMPUTED_VALUE"""),4.0)</f>
        <v>4</v>
      </c>
      <c r="CC97" s="61">
        <f>IFERROR(__xludf.DUMMYFUNCTION("""COMPUTED_VALUE"""),2.5)</f>
        <v>2.5</v>
      </c>
      <c r="CD97" s="62" t="str">
        <f>IFERROR(__xludf.DUMMYFUNCTION("""COMPUTED_VALUE"""),"subpar")</f>
        <v>subpar</v>
      </c>
      <c r="CE97" s="22" t="s">
        <v>223</v>
      </c>
      <c r="CF97" s="24">
        <v>12.0</v>
      </c>
      <c r="CG97" s="22" t="b">
        <v>0</v>
      </c>
      <c r="CH97" s="22" t="b">
        <v>1</v>
      </c>
      <c r="CI97" s="24">
        <v>12.0</v>
      </c>
      <c r="CJ97" s="22">
        <v>0.0</v>
      </c>
      <c r="CK97" s="22">
        <v>0.0</v>
      </c>
      <c r="CL97" s="22">
        <v>0.0</v>
      </c>
      <c r="CM97" s="22">
        <v>0.0</v>
      </c>
      <c r="CN97" s="22">
        <v>0.0</v>
      </c>
      <c r="CO97" s="22">
        <v>0.0</v>
      </c>
      <c r="CP97" s="22">
        <v>1.0</v>
      </c>
      <c r="CQ97" s="22">
        <v>0.0</v>
      </c>
      <c r="CR97" s="22">
        <v>1.0</v>
      </c>
      <c r="CS97" s="22">
        <v>0.0</v>
      </c>
      <c r="CT97" s="22">
        <v>1.0</v>
      </c>
      <c r="CU97" s="22">
        <v>1.0</v>
      </c>
      <c r="CV97" s="22">
        <v>0.0</v>
      </c>
      <c r="CW97" s="22">
        <v>1.0</v>
      </c>
      <c r="CX97" s="22">
        <v>3.0</v>
      </c>
      <c r="CY97" s="22">
        <v>4.0</v>
      </c>
      <c r="CZ97" s="61">
        <v>2.5</v>
      </c>
      <c r="DA97" s="62" t="s">
        <v>568</v>
      </c>
    </row>
    <row r="98">
      <c r="A98" s="16" t="s">
        <v>230</v>
      </c>
      <c r="B98" s="16"/>
      <c r="C98" s="17" t="s">
        <v>38</v>
      </c>
      <c r="D98" s="16" t="s">
        <v>54</v>
      </c>
      <c r="E98" s="17" t="b">
        <f t="shared" ref="E98:K98" si="491">If(IFERROR(SEARCH(E$1, $D98),0) &gt;= 1, true,false)</f>
        <v>1</v>
      </c>
      <c r="F98" s="17" t="b">
        <f t="shared" si="491"/>
        <v>1</v>
      </c>
      <c r="G98" s="17" t="b">
        <f t="shared" si="491"/>
        <v>0</v>
      </c>
      <c r="H98" s="17" t="b">
        <f t="shared" si="491"/>
        <v>0</v>
      </c>
      <c r="I98" s="17" t="b">
        <f t="shared" si="491"/>
        <v>0</v>
      </c>
      <c r="J98" s="17" t="b">
        <f t="shared" si="491"/>
        <v>1</v>
      </c>
      <c r="K98" s="17" t="b">
        <f t="shared" si="491"/>
        <v>0</v>
      </c>
      <c r="L98" s="18" t="b">
        <v>1</v>
      </c>
      <c r="M98" s="18" t="b">
        <v>1</v>
      </c>
      <c r="N98" s="18" t="b">
        <v>1</v>
      </c>
      <c r="O98" s="18" t="b">
        <v>1</v>
      </c>
      <c r="P98" s="16" t="str">
        <f t="shared" si="7"/>
        <v>AfricaMuseum</v>
      </c>
      <c r="Q98" s="19">
        <v>13.0</v>
      </c>
      <c r="R98" s="18" t="b">
        <v>0</v>
      </c>
      <c r="S98" s="18" t="b">
        <v>1</v>
      </c>
      <c r="T98" s="27">
        <v>13.0</v>
      </c>
      <c r="U98" s="21">
        <f t="shared" si="8"/>
        <v>0</v>
      </c>
      <c r="V98" s="21">
        <f t="shared" ref="V98:AB98" si="492">if(OR(AW98 = $AO$4, AW98 = $AQ$4), 1, 0)</f>
        <v>1</v>
      </c>
      <c r="W98" s="21">
        <f t="shared" si="492"/>
        <v>0</v>
      </c>
      <c r="X98" s="21">
        <f t="shared" si="492"/>
        <v>0</v>
      </c>
      <c r="Y98" s="21">
        <f t="shared" si="492"/>
        <v>0</v>
      </c>
      <c r="Z98" s="21">
        <f t="shared" si="492"/>
        <v>0</v>
      </c>
      <c r="AA98" s="21">
        <f t="shared" si="492"/>
        <v>1</v>
      </c>
      <c r="AB98" s="21">
        <f t="shared" si="492"/>
        <v>0</v>
      </c>
      <c r="AC98" s="21">
        <f t="shared" si="10"/>
        <v>2</v>
      </c>
      <c r="AD98" s="21">
        <f t="shared" si="11"/>
        <v>0</v>
      </c>
      <c r="AE98" s="21">
        <f t="shared" ref="AE98:AH98" si="493">if(OR(BD98 = $AO$6, BD98 = $AS$6, BD98 = $AT$6, BD98 = $AU$6), 1, 0)</f>
        <v>1</v>
      </c>
      <c r="AF98" s="21">
        <f t="shared" si="493"/>
        <v>1</v>
      </c>
      <c r="AG98" s="21">
        <f t="shared" si="493"/>
        <v>1</v>
      </c>
      <c r="AH98" s="21">
        <f t="shared" si="493"/>
        <v>1</v>
      </c>
      <c r="AI98" s="21">
        <f t="shared" si="13"/>
        <v>4</v>
      </c>
      <c r="AJ98" s="21">
        <f t="shared" si="14"/>
        <v>6</v>
      </c>
      <c r="AK98" s="59">
        <f t="shared" si="15"/>
        <v>3.75</v>
      </c>
      <c r="AL98" s="60" t="str">
        <f t="shared" si="16"/>
        <v>good</v>
      </c>
      <c r="AW98" s="22" t="str">
        <f t="shared" ref="AW98:BC98" si="494">IF(IFERROR(SEARCH(E$1, $D98),0) &gt;= 1, E$1,0)</f>
        <v>Geschiedenis en archeologie</v>
      </c>
      <c r="AX98" s="22" t="str">
        <f t="shared" si="494"/>
        <v>Wetenschap en technologie</v>
      </c>
      <c r="AY98" s="22">
        <f t="shared" si="494"/>
        <v>0</v>
      </c>
      <c r="AZ98" s="22">
        <f t="shared" si="494"/>
        <v>0</v>
      </c>
      <c r="BA98" s="22">
        <f t="shared" si="494"/>
        <v>0</v>
      </c>
      <c r="BB98" s="22" t="str">
        <f t="shared" si="494"/>
        <v>Beeldende kunst</v>
      </c>
      <c r="BC98" s="22">
        <f t="shared" si="494"/>
        <v>0</v>
      </c>
      <c r="BD98" s="22" t="str">
        <f t="shared" ref="BD98:BG98" si="495">IF(L98 = true, BD$1, 0)</f>
        <v>Shop</v>
      </c>
      <c r="BE98" s="22" t="str">
        <f t="shared" si="495"/>
        <v>Café</v>
      </c>
      <c r="BF98" s="22" t="str">
        <f t="shared" si="495"/>
        <v>Parking</v>
      </c>
      <c r="BG98" s="22" t="str">
        <f t="shared" si="495"/>
        <v>Restaurant</v>
      </c>
      <c r="BH98" s="22" t="str">
        <f>IFERROR(__xludf.DUMMYFUNCTION("""COMPUTED_VALUE"""),"Marthe Donas museum")</f>
        <v>Marthe Donas museum</v>
      </c>
      <c r="BI98" s="24">
        <f>IFERROR(__xludf.DUMMYFUNCTION("""COMPUTED_VALUE"""),2.0)</f>
        <v>2</v>
      </c>
      <c r="BJ98" s="22" t="b">
        <f>IFERROR(__xludf.DUMMYFUNCTION("""COMPUTED_VALUE"""),FALSE)</f>
        <v>0</v>
      </c>
      <c r="BK98" s="22" t="b">
        <f>IFERROR(__xludf.DUMMYFUNCTION("""COMPUTED_VALUE"""),TRUE)</f>
        <v>1</v>
      </c>
      <c r="BL98" s="24">
        <f>IFERROR(__xludf.DUMMYFUNCTION("""COMPUTED_VALUE"""),2.0)</f>
        <v>2</v>
      </c>
      <c r="BM98" s="22">
        <f>IFERROR(__xludf.DUMMYFUNCTION("""COMPUTED_VALUE"""),0.0)</f>
        <v>0</v>
      </c>
      <c r="BN98" s="22">
        <f>IFERROR(__xludf.DUMMYFUNCTION("""COMPUTED_VALUE"""),0.0)</f>
        <v>0</v>
      </c>
      <c r="BO98" s="22">
        <f>IFERROR(__xludf.DUMMYFUNCTION("""COMPUTED_VALUE"""),0.0)</f>
        <v>0</v>
      </c>
      <c r="BP98" s="22">
        <f>IFERROR(__xludf.DUMMYFUNCTION("""COMPUTED_VALUE"""),0.0)</f>
        <v>0</v>
      </c>
      <c r="BQ98" s="22">
        <f>IFERROR(__xludf.DUMMYFUNCTION("""COMPUTED_VALUE"""),0.0)</f>
        <v>0</v>
      </c>
      <c r="BR98" s="22">
        <f>IFERROR(__xludf.DUMMYFUNCTION("""COMPUTED_VALUE"""),0.0)</f>
        <v>0</v>
      </c>
      <c r="BS98" s="22">
        <f>IFERROR(__xludf.DUMMYFUNCTION("""COMPUTED_VALUE"""),1.0)</f>
        <v>1</v>
      </c>
      <c r="BT98" s="22">
        <f>IFERROR(__xludf.DUMMYFUNCTION("""COMPUTED_VALUE"""),0.0)</f>
        <v>0</v>
      </c>
      <c r="BU98" s="22">
        <f>IFERROR(__xludf.DUMMYFUNCTION("""COMPUTED_VALUE"""),1.0)</f>
        <v>1</v>
      </c>
      <c r="BV98" s="22">
        <f>IFERROR(__xludf.DUMMYFUNCTION("""COMPUTED_VALUE"""),1.0)</f>
        <v>1</v>
      </c>
      <c r="BW98" s="22">
        <f>IFERROR(__xludf.DUMMYFUNCTION("""COMPUTED_VALUE"""),1.0)</f>
        <v>1</v>
      </c>
      <c r="BX98" s="22">
        <f>IFERROR(__xludf.DUMMYFUNCTION("""COMPUTED_VALUE"""),0.0)</f>
        <v>0</v>
      </c>
      <c r="BY98" s="22">
        <f>IFERROR(__xludf.DUMMYFUNCTION("""COMPUTED_VALUE"""),1.0)</f>
        <v>1</v>
      </c>
      <c r="BZ98" s="22">
        <f>IFERROR(__xludf.DUMMYFUNCTION("""COMPUTED_VALUE"""),0.0)</f>
        <v>0</v>
      </c>
      <c r="CA98" s="22">
        <f>IFERROR(__xludf.DUMMYFUNCTION("""COMPUTED_VALUE"""),2.0)</f>
        <v>2</v>
      </c>
      <c r="CB98" s="22">
        <f>IFERROR(__xludf.DUMMYFUNCTION("""COMPUTED_VALUE"""),4.0)</f>
        <v>4</v>
      </c>
      <c r="CC98" s="61">
        <f>IFERROR(__xludf.DUMMYFUNCTION("""COMPUTED_VALUE"""),2.5)</f>
        <v>2.5</v>
      </c>
      <c r="CD98" s="62" t="str">
        <f>IFERROR(__xludf.DUMMYFUNCTION("""COMPUTED_VALUE"""),"subpar")</f>
        <v>subpar</v>
      </c>
      <c r="CE98" s="22" t="s">
        <v>226</v>
      </c>
      <c r="CF98" s="24">
        <v>2.0</v>
      </c>
      <c r="CG98" s="22" t="b">
        <v>0</v>
      </c>
      <c r="CH98" s="22" t="b">
        <v>1</v>
      </c>
      <c r="CI98" s="24">
        <v>2.0</v>
      </c>
      <c r="CJ98" s="22">
        <v>0.0</v>
      </c>
      <c r="CK98" s="22">
        <v>0.0</v>
      </c>
      <c r="CL98" s="22">
        <v>0.0</v>
      </c>
      <c r="CM98" s="22">
        <v>0.0</v>
      </c>
      <c r="CN98" s="22">
        <v>0.0</v>
      </c>
      <c r="CO98" s="22">
        <v>0.0</v>
      </c>
      <c r="CP98" s="22">
        <v>1.0</v>
      </c>
      <c r="CQ98" s="22">
        <v>0.0</v>
      </c>
      <c r="CR98" s="22">
        <v>1.0</v>
      </c>
      <c r="CS98" s="22">
        <v>1.0</v>
      </c>
      <c r="CT98" s="22">
        <v>1.0</v>
      </c>
      <c r="CU98" s="22">
        <v>0.0</v>
      </c>
      <c r="CV98" s="22">
        <v>1.0</v>
      </c>
      <c r="CW98" s="22">
        <v>0.0</v>
      </c>
      <c r="CX98" s="22">
        <v>2.0</v>
      </c>
      <c r="CY98" s="22">
        <v>4.0</v>
      </c>
      <c r="CZ98" s="61">
        <v>2.5</v>
      </c>
      <c r="DA98" s="62" t="s">
        <v>568</v>
      </c>
    </row>
    <row r="99">
      <c r="A99" s="16" t="s">
        <v>231</v>
      </c>
      <c r="B99" s="16" t="s">
        <v>232</v>
      </c>
      <c r="C99" s="17" t="s">
        <v>38</v>
      </c>
      <c r="D99" s="16" t="s">
        <v>4</v>
      </c>
      <c r="E99" s="17" t="b">
        <f t="shared" ref="E99:K99" si="496">If(IFERROR(SEARCH(E$1, $D99),0) &gt;= 1, true,false)</f>
        <v>1</v>
      </c>
      <c r="F99" s="17" t="b">
        <f t="shared" si="496"/>
        <v>0</v>
      </c>
      <c r="G99" s="17" t="b">
        <f t="shared" si="496"/>
        <v>0</v>
      </c>
      <c r="H99" s="17" t="b">
        <f t="shared" si="496"/>
        <v>0</v>
      </c>
      <c r="I99" s="17" t="b">
        <f t="shared" si="496"/>
        <v>0</v>
      </c>
      <c r="J99" s="17" t="b">
        <f t="shared" si="496"/>
        <v>0</v>
      </c>
      <c r="K99" s="17" t="b">
        <f t="shared" si="496"/>
        <v>0</v>
      </c>
      <c r="L99" s="18" t="b">
        <v>1</v>
      </c>
      <c r="M99" s="18" t="b">
        <v>0</v>
      </c>
      <c r="N99" s="18" t="b">
        <v>1</v>
      </c>
      <c r="O99" s="18" t="b">
        <v>0</v>
      </c>
      <c r="P99" s="16" t="str">
        <f t="shared" si="7"/>
        <v>Damiaanmuseum</v>
      </c>
      <c r="Q99" s="19">
        <v>7.0</v>
      </c>
      <c r="R99" s="18" t="b">
        <v>0</v>
      </c>
      <c r="S99" s="18" t="b">
        <v>0</v>
      </c>
      <c r="U99" s="21">
        <f t="shared" si="8"/>
        <v>0</v>
      </c>
      <c r="V99" s="21">
        <f t="shared" ref="V99:AB99" si="497">if(OR(AW99 = $AO$4, AW99 = $AQ$4), 1, 0)</f>
        <v>1</v>
      </c>
      <c r="W99" s="21">
        <f t="shared" si="497"/>
        <v>0</v>
      </c>
      <c r="X99" s="21">
        <f t="shared" si="497"/>
        <v>0</v>
      </c>
      <c r="Y99" s="21">
        <f t="shared" si="497"/>
        <v>0</v>
      </c>
      <c r="Z99" s="21">
        <f t="shared" si="497"/>
        <v>0</v>
      </c>
      <c r="AA99" s="21">
        <f t="shared" si="497"/>
        <v>0</v>
      </c>
      <c r="AB99" s="21">
        <f t="shared" si="497"/>
        <v>0</v>
      </c>
      <c r="AC99" s="21">
        <f t="shared" si="10"/>
        <v>1</v>
      </c>
      <c r="AD99" s="21">
        <f t="shared" si="11"/>
        <v>1</v>
      </c>
      <c r="AE99" s="21">
        <f t="shared" ref="AE99:AH99" si="498">if(OR(BD99 = $AO$6, BD99 = $AS$6, BD99 = $AT$6, BD99 = $AU$6), 1, 0)</f>
        <v>1</v>
      </c>
      <c r="AF99" s="21">
        <f t="shared" si="498"/>
        <v>0</v>
      </c>
      <c r="AG99" s="21">
        <f t="shared" si="498"/>
        <v>1</v>
      </c>
      <c r="AH99" s="21">
        <f t="shared" si="498"/>
        <v>0</v>
      </c>
      <c r="AI99" s="21">
        <f t="shared" si="13"/>
        <v>2</v>
      </c>
      <c r="AJ99" s="21">
        <f t="shared" si="14"/>
        <v>4</v>
      </c>
      <c r="AK99" s="59">
        <f t="shared" si="15"/>
        <v>2.5</v>
      </c>
      <c r="AL99" s="60" t="str">
        <f t="shared" si="16"/>
        <v>subpar</v>
      </c>
      <c r="AW99" s="22" t="str">
        <f t="shared" ref="AW99:BC99" si="499">IF(IFERROR(SEARCH(E$1, $D99),0) &gt;= 1, E$1,0)</f>
        <v>Geschiedenis en archeologie</v>
      </c>
      <c r="AX99" s="22">
        <f t="shared" si="499"/>
        <v>0</v>
      </c>
      <c r="AY99" s="22">
        <f t="shared" si="499"/>
        <v>0</v>
      </c>
      <c r="AZ99" s="22">
        <f t="shared" si="499"/>
        <v>0</v>
      </c>
      <c r="BA99" s="22">
        <f t="shared" si="499"/>
        <v>0</v>
      </c>
      <c r="BB99" s="22">
        <f t="shared" si="499"/>
        <v>0</v>
      </c>
      <c r="BC99" s="22">
        <f t="shared" si="499"/>
        <v>0</v>
      </c>
      <c r="BD99" s="22" t="str">
        <f t="shared" ref="BD99:BG99" si="500">IF(L99 = true, BD$1, 0)</f>
        <v>Shop</v>
      </c>
      <c r="BE99" s="22">
        <f t="shared" si="500"/>
        <v>0</v>
      </c>
      <c r="BF99" s="22" t="str">
        <f t="shared" si="500"/>
        <v>Parking</v>
      </c>
      <c r="BG99" s="22">
        <f t="shared" si="500"/>
        <v>0</v>
      </c>
      <c r="BH99" s="22" t="str">
        <f>IFERROR(__xludf.DUMMYFUNCTION("""COMPUTED_VALUE"""),"Damiaanmuseum")</f>
        <v>Damiaanmuseum</v>
      </c>
      <c r="BI99" s="24">
        <f>IFERROR(__xludf.DUMMYFUNCTION("""COMPUTED_VALUE"""),7.0)</f>
        <v>7</v>
      </c>
      <c r="BJ99" s="22" t="b">
        <f>IFERROR(__xludf.DUMMYFUNCTION("""COMPUTED_VALUE"""),FALSE)</f>
        <v>0</v>
      </c>
      <c r="BK99" s="22" t="b">
        <f>IFERROR(__xludf.DUMMYFUNCTION("""COMPUTED_VALUE"""),FALSE)</f>
        <v>0</v>
      </c>
      <c r="BL99" s="22"/>
      <c r="BM99" s="22">
        <f>IFERROR(__xludf.DUMMYFUNCTION("""COMPUTED_VALUE"""),0.0)</f>
        <v>0</v>
      </c>
      <c r="BN99" s="22">
        <f>IFERROR(__xludf.DUMMYFUNCTION("""COMPUTED_VALUE"""),1.0)</f>
        <v>1</v>
      </c>
      <c r="BO99" s="22">
        <f>IFERROR(__xludf.DUMMYFUNCTION("""COMPUTED_VALUE"""),0.0)</f>
        <v>0</v>
      </c>
      <c r="BP99" s="22">
        <f>IFERROR(__xludf.DUMMYFUNCTION("""COMPUTED_VALUE"""),0.0)</f>
        <v>0</v>
      </c>
      <c r="BQ99" s="22">
        <f>IFERROR(__xludf.DUMMYFUNCTION("""COMPUTED_VALUE"""),0.0)</f>
        <v>0</v>
      </c>
      <c r="BR99" s="22">
        <f>IFERROR(__xludf.DUMMYFUNCTION("""COMPUTED_VALUE"""),0.0)</f>
        <v>0</v>
      </c>
      <c r="BS99" s="22">
        <f>IFERROR(__xludf.DUMMYFUNCTION("""COMPUTED_VALUE"""),0.0)</f>
        <v>0</v>
      </c>
      <c r="BT99" s="22">
        <f>IFERROR(__xludf.DUMMYFUNCTION("""COMPUTED_VALUE"""),0.0)</f>
        <v>0</v>
      </c>
      <c r="BU99" s="22">
        <f>IFERROR(__xludf.DUMMYFUNCTION("""COMPUTED_VALUE"""),1.0)</f>
        <v>1</v>
      </c>
      <c r="BV99" s="22">
        <f>IFERROR(__xludf.DUMMYFUNCTION("""COMPUTED_VALUE"""),1.0)</f>
        <v>1</v>
      </c>
      <c r="BW99" s="22">
        <f>IFERROR(__xludf.DUMMYFUNCTION("""COMPUTED_VALUE"""),1.0)</f>
        <v>1</v>
      </c>
      <c r="BX99" s="22">
        <f>IFERROR(__xludf.DUMMYFUNCTION("""COMPUTED_VALUE"""),0.0)</f>
        <v>0</v>
      </c>
      <c r="BY99" s="22">
        <f>IFERROR(__xludf.DUMMYFUNCTION("""COMPUTED_VALUE"""),1.0)</f>
        <v>1</v>
      </c>
      <c r="BZ99" s="22">
        <f>IFERROR(__xludf.DUMMYFUNCTION("""COMPUTED_VALUE"""),0.0)</f>
        <v>0</v>
      </c>
      <c r="CA99" s="22">
        <f>IFERROR(__xludf.DUMMYFUNCTION("""COMPUTED_VALUE"""),2.0)</f>
        <v>2</v>
      </c>
      <c r="CB99" s="22">
        <f>IFERROR(__xludf.DUMMYFUNCTION("""COMPUTED_VALUE"""),4.0)</f>
        <v>4</v>
      </c>
      <c r="CC99" s="61">
        <f>IFERROR(__xludf.DUMMYFUNCTION("""COMPUTED_VALUE"""),2.5)</f>
        <v>2.5</v>
      </c>
      <c r="CD99" s="62" t="str">
        <f>IFERROR(__xludf.DUMMYFUNCTION("""COMPUTED_VALUE"""),"subpar")</f>
        <v>subpar</v>
      </c>
      <c r="CE99" s="22" t="s">
        <v>231</v>
      </c>
      <c r="CF99" s="24">
        <v>7.0</v>
      </c>
      <c r="CG99" s="22" t="b">
        <v>0</v>
      </c>
      <c r="CH99" s="22" t="b">
        <v>0</v>
      </c>
      <c r="CI99" s="22"/>
      <c r="CJ99" s="22">
        <v>0.0</v>
      </c>
      <c r="CK99" s="22">
        <v>1.0</v>
      </c>
      <c r="CL99" s="22">
        <v>0.0</v>
      </c>
      <c r="CM99" s="22">
        <v>0.0</v>
      </c>
      <c r="CN99" s="22">
        <v>0.0</v>
      </c>
      <c r="CO99" s="22">
        <v>0.0</v>
      </c>
      <c r="CP99" s="22">
        <v>0.0</v>
      </c>
      <c r="CQ99" s="22">
        <v>0.0</v>
      </c>
      <c r="CR99" s="22">
        <v>1.0</v>
      </c>
      <c r="CS99" s="22">
        <v>1.0</v>
      </c>
      <c r="CT99" s="22">
        <v>1.0</v>
      </c>
      <c r="CU99" s="22">
        <v>0.0</v>
      </c>
      <c r="CV99" s="22">
        <v>1.0</v>
      </c>
      <c r="CW99" s="22">
        <v>0.0</v>
      </c>
      <c r="CX99" s="22">
        <v>2.0</v>
      </c>
      <c r="CY99" s="22">
        <v>4.0</v>
      </c>
      <c r="CZ99" s="61">
        <v>2.5</v>
      </c>
      <c r="DA99" s="62" t="s">
        <v>568</v>
      </c>
    </row>
    <row r="100">
      <c r="A100" s="16" t="s">
        <v>233</v>
      </c>
      <c r="B100" s="16" t="s">
        <v>234</v>
      </c>
      <c r="C100" s="17" t="s">
        <v>38</v>
      </c>
      <c r="D100" s="16" t="s">
        <v>95</v>
      </c>
      <c r="E100" s="17" t="b">
        <f t="shared" ref="E100:K100" si="501">If(IFERROR(SEARCH(E$1, $D100),0) &gt;= 1, true,false)</f>
        <v>1</v>
      </c>
      <c r="F100" s="17" t="b">
        <f t="shared" si="501"/>
        <v>0</v>
      </c>
      <c r="G100" s="17" t="b">
        <f t="shared" si="501"/>
        <v>0</v>
      </c>
      <c r="H100" s="17" t="b">
        <f t="shared" si="501"/>
        <v>0</v>
      </c>
      <c r="I100" s="17" t="b">
        <f t="shared" si="501"/>
        <v>0</v>
      </c>
      <c r="J100" s="17" t="b">
        <f t="shared" si="501"/>
        <v>1</v>
      </c>
      <c r="K100" s="17" t="b">
        <f t="shared" si="501"/>
        <v>0</v>
      </c>
      <c r="L100" s="18" t="b">
        <v>1</v>
      </c>
      <c r="M100" s="18" t="b">
        <v>0</v>
      </c>
      <c r="N100" s="18" t="b">
        <v>0</v>
      </c>
      <c r="O100" s="18" t="b">
        <v>1</v>
      </c>
      <c r="P100" s="16" t="str">
        <f t="shared" si="7"/>
        <v>Dru!f, huis van de tafeldruif</v>
      </c>
      <c r="Q100" s="19">
        <v>0.0</v>
      </c>
      <c r="R100" s="18" t="b">
        <v>0</v>
      </c>
      <c r="S100" s="18" t="b">
        <v>1</v>
      </c>
      <c r="T100" s="27">
        <v>0.0</v>
      </c>
      <c r="U100" s="21">
        <f t="shared" si="8"/>
        <v>0</v>
      </c>
      <c r="V100" s="21">
        <f t="shared" ref="V100:AB100" si="502">if(OR(AW100 = $AO$4, AW100 = $AQ$4), 1, 0)</f>
        <v>1</v>
      </c>
      <c r="W100" s="21">
        <f t="shared" si="502"/>
        <v>0</v>
      </c>
      <c r="X100" s="21">
        <f t="shared" si="502"/>
        <v>0</v>
      </c>
      <c r="Y100" s="21">
        <f t="shared" si="502"/>
        <v>0</v>
      </c>
      <c r="Z100" s="21">
        <f t="shared" si="502"/>
        <v>0</v>
      </c>
      <c r="AA100" s="21">
        <f t="shared" si="502"/>
        <v>1</v>
      </c>
      <c r="AB100" s="21">
        <f t="shared" si="502"/>
        <v>0</v>
      </c>
      <c r="AC100" s="21">
        <f t="shared" si="10"/>
        <v>2</v>
      </c>
      <c r="AD100" s="21">
        <f t="shared" si="11"/>
        <v>1</v>
      </c>
      <c r="AE100" s="21">
        <f t="shared" ref="AE100:AH100" si="503">if(OR(BD100 = $AO$6, BD100 = $AS$6, BD100 = $AT$6, BD100 = $AU$6), 1, 0)</f>
        <v>1</v>
      </c>
      <c r="AF100" s="21">
        <f t="shared" si="503"/>
        <v>0</v>
      </c>
      <c r="AG100" s="21">
        <f t="shared" si="503"/>
        <v>0</v>
      </c>
      <c r="AH100" s="21">
        <f t="shared" si="503"/>
        <v>1</v>
      </c>
      <c r="AI100" s="21">
        <f t="shared" si="13"/>
        <v>2</v>
      </c>
      <c r="AJ100" s="21">
        <f t="shared" si="14"/>
        <v>5</v>
      </c>
      <c r="AK100" s="59">
        <f t="shared" si="15"/>
        <v>3.125</v>
      </c>
      <c r="AL100" s="60" t="str">
        <f t="shared" si="16"/>
        <v>good</v>
      </c>
      <c r="AW100" s="22" t="str">
        <f t="shared" ref="AW100:BC100" si="504">IF(IFERROR(SEARCH(E$1, $D100),0) &gt;= 1, E$1,0)</f>
        <v>Geschiedenis en archeologie</v>
      </c>
      <c r="AX100" s="22">
        <f t="shared" si="504"/>
        <v>0</v>
      </c>
      <c r="AY100" s="22">
        <f t="shared" si="504"/>
        <v>0</v>
      </c>
      <c r="AZ100" s="22">
        <f t="shared" si="504"/>
        <v>0</v>
      </c>
      <c r="BA100" s="22">
        <f t="shared" si="504"/>
        <v>0</v>
      </c>
      <c r="BB100" s="22" t="str">
        <f t="shared" si="504"/>
        <v>Beeldende kunst</v>
      </c>
      <c r="BC100" s="22">
        <f t="shared" si="504"/>
        <v>0</v>
      </c>
      <c r="BD100" s="22" t="str">
        <f t="shared" ref="BD100:BG100" si="505">IF(L100 = true, BD$1, 0)</f>
        <v>Shop</v>
      </c>
      <c r="BE100" s="22">
        <f t="shared" si="505"/>
        <v>0</v>
      </c>
      <c r="BF100" s="22">
        <f t="shared" si="505"/>
        <v>0</v>
      </c>
      <c r="BG100" s="22" t="str">
        <f t="shared" si="505"/>
        <v>Restaurant</v>
      </c>
      <c r="BH100" s="22" t="str">
        <f>IFERROR(__xludf.DUMMYFUNCTION("""COMPUTED_VALUE"""),"KADOC-KU Leuven")</f>
        <v>KADOC-KU Leuven</v>
      </c>
      <c r="BI100" s="24">
        <f>IFERROR(__xludf.DUMMYFUNCTION("""COMPUTED_VALUE"""),0.0)</f>
        <v>0</v>
      </c>
      <c r="BJ100" s="22" t="b">
        <f>IFERROR(__xludf.DUMMYFUNCTION("""COMPUTED_VALUE"""),FALSE)</f>
        <v>0</v>
      </c>
      <c r="BK100" s="22" t="b">
        <f>IFERROR(__xludf.DUMMYFUNCTION("""COMPUTED_VALUE"""),TRUE)</f>
        <v>1</v>
      </c>
      <c r="BL100" s="24">
        <f>IFERROR(__xludf.DUMMYFUNCTION("""COMPUTED_VALUE"""),0.0)</f>
        <v>0</v>
      </c>
      <c r="BM100" s="22">
        <f>IFERROR(__xludf.DUMMYFUNCTION("""COMPUTED_VALUE"""),0.0)</f>
        <v>0</v>
      </c>
      <c r="BN100" s="22">
        <f>IFERROR(__xludf.DUMMYFUNCTION("""COMPUTED_VALUE"""),1.0)</f>
        <v>1</v>
      </c>
      <c r="BO100" s="22">
        <f>IFERROR(__xludf.DUMMYFUNCTION("""COMPUTED_VALUE"""),0.0)</f>
        <v>0</v>
      </c>
      <c r="BP100" s="22">
        <f>IFERROR(__xludf.DUMMYFUNCTION("""COMPUTED_VALUE"""),0.0)</f>
        <v>0</v>
      </c>
      <c r="BQ100" s="22">
        <f>IFERROR(__xludf.DUMMYFUNCTION("""COMPUTED_VALUE"""),0.0)</f>
        <v>0</v>
      </c>
      <c r="BR100" s="22">
        <f>IFERROR(__xludf.DUMMYFUNCTION("""COMPUTED_VALUE"""),0.0)</f>
        <v>0</v>
      </c>
      <c r="BS100" s="22">
        <f>IFERROR(__xludf.DUMMYFUNCTION("""COMPUTED_VALUE"""),1.0)</f>
        <v>1</v>
      </c>
      <c r="BT100" s="22">
        <f>IFERROR(__xludf.DUMMYFUNCTION("""COMPUTED_VALUE"""),0.0)</f>
        <v>0</v>
      </c>
      <c r="BU100" s="22">
        <f>IFERROR(__xludf.DUMMYFUNCTION("""COMPUTED_VALUE"""),2.0)</f>
        <v>2</v>
      </c>
      <c r="BV100" s="22">
        <f>IFERROR(__xludf.DUMMYFUNCTION("""COMPUTED_VALUE"""),1.0)</f>
        <v>1</v>
      </c>
      <c r="BW100" s="22">
        <f>IFERROR(__xludf.DUMMYFUNCTION("""COMPUTED_VALUE"""),0.0)</f>
        <v>0</v>
      </c>
      <c r="BX100" s="22">
        <f>IFERROR(__xludf.DUMMYFUNCTION("""COMPUTED_VALUE"""),0.0)</f>
        <v>0</v>
      </c>
      <c r="BY100" s="22">
        <f>IFERROR(__xludf.DUMMYFUNCTION("""COMPUTED_VALUE"""),1.0)</f>
        <v>1</v>
      </c>
      <c r="BZ100" s="22">
        <f>IFERROR(__xludf.DUMMYFUNCTION("""COMPUTED_VALUE"""),0.0)</f>
        <v>0</v>
      </c>
      <c r="CA100" s="22">
        <f>IFERROR(__xludf.DUMMYFUNCTION("""COMPUTED_VALUE"""),1.0)</f>
        <v>1</v>
      </c>
      <c r="CB100" s="22">
        <f>IFERROR(__xludf.DUMMYFUNCTION("""COMPUTED_VALUE"""),4.0)</f>
        <v>4</v>
      </c>
      <c r="CC100" s="61">
        <f>IFERROR(__xludf.DUMMYFUNCTION("""COMPUTED_VALUE"""),2.5)</f>
        <v>2.5</v>
      </c>
      <c r="CD100" s="62" t="str">
        <f>IFERROR(__xludf.DUMMYFUNCTION("""COMPUTED_VALUE"""),"subpar")</f>
        <v>subpar</v>
      </c>
      <c r="CE100" s="22" t="s">
        <v>238</v>
      </c>
      <c r="CF100" s="24">
        <v>0.0</v>
      </c>
      <c r="CG100" s="22" t="b">
        <v>0</v>
      </c>
      <c r="CH100" s="22" t="b">
        <v>1</v>
      </c>
      <c r="CI100" s="24">
        <v>0.0</v>
      </c>
      <c r="CJ100" s="22">
        <v>0.0</v>
      </c>
      <c r="CK100" s="22">
        <v>1.0</v>
      </c>
      <c r="CL100" s="22">
        <v>0.0</v>
      </c>
      <c r="CM100" s="22">
        <v>0.0</v>
      </c>
      <c r="CN100" s="22">
        <v>0.0</v>
      </c>
      <c r="CO100" s="22">
        <v>0.0</v>
      </c>
      <c r="CP100" s="22">
        <v>1.0</v>
      </c>
      <c r="CQ100" s="22">
        <v>0.0</v>
      </c>
      <c r="CR100" s="22">
        <v>2.0</v>
      </c>
      <c r="CS100" s="22">
        <v>1.0</v>
      </c>
      <c r="CT100" s="22">
        <v>0.0</v>
      </c>
      <c r="CU100" s="22">
        <v>0.0</v>
      </c>
      <c r="CV100" s="22">
        <v>1.0</v>
      </c>
      <c r="CW100" s="22">
        <v>0.0</v>
      </c>
      <c r="CX100" s="22">
        <v>1.0</v>
      </c>
      <c r="CY100" s="22">
        <v>4.0</v>
      </c>
      <c r="CZ100" s="61">
        <v>2.5</v>
      </c>
      <c r="DA100" s="62" t="s">
        <v>568</v>
      </c>
    </row>
    <row r="101">
      <c r="A101" s="16" t="s">
        <v>235</v>
      </c>
      <c r="B101" s="16"/>
      <c r="C101" s="17" t="s">
        <v>38</v>
      </c>
      <c r="D101" s="16" t="s">
        <v>9</v>
      </c>
      <c r="E101" s="17" t="b">
        <f t="shared" ref="E101:K101" si="506">If(IFERROR(SEARCH(E$1, $D101),0) &gt;= 1, true,false)</f>
        <v>0</v>
      </c>
      <c r="F101" s="17" t="b">
        <f t="shared" si="506"/>
        <v>0</v>
      </c>
      <c r="G101" s="17" t="b">
        <f t="shared" si="506"/>
        <v>0</v>
      </c>
      <c r="H101" s="17" t="b">
        <f t="shared" si="506"/>
        <v>0</v>
      </c>
      <c r="I101" s="17" t="b">
        <f t="shared" si="506"/>
        <v>0</v>
      </c>
      <c r="J101" s="17" t="b">
        <f t="shared" si="506"/>
        <v>1</v>
      </c>
      <c r="K101" s="17" t="b">
        <f t="shared" si="506"/>
        <v>0</v>
      </c>
      <c r="L101" s="18" t="b">
        <v>1</v>
      </c>
      <c r="M101" s="18" t="b">
        <v>1</v>
      </c>
      <c r="N101" s="18" t="b">
        <v>1</v>
      </c>
      <c r="O101" s="18" t="b">
        <v>0</v>
      </c>
      <c r="P101" s="16" t="str">
        <f t="shared" si="7"/>
        <v>FeliXart Museum</v>
      </c>
      <c r="Q101" s="19">
        <v>10.0</v>
      </c>
      <c r="R101" s="18" t="b">
        <v>0</v>
      </c>
      <c r="S101" s="18" t="b">
        <v>1</v>
      </c>
      <c r="T101" s="27">
        <v>10.0</v>
      </c>
      <c r="U101" s="21">
        <f t="shared" si="8"/>
        <v>0</v>
      </c>
      <c r="V101" s="21">
        <f t="shared" ref="V101:AB101" si="507">if(OR(AW101 = $AO$4, AW101 = $AQ$4), 1, 0)</f>
        <v>0</v>
      </c>
      <c r="W101" s="21">
        <f t="shared" si="507"/>
        <v>0</v>
      </c>
      <c r="X101" s="21">
        <f t="shared" si="507"/>
        <v>0</v>
      </c>
      <c r="Y101" s="21">
        <f t="shared" si="507"/>
        <v>0</v>
      </c>
      <c r="Z101" s="21">
        <f t="shared" si="507"/>
        <v>0</v>
      </c>
      <c r="AA101" s="21">
        <f t="shared" si="507"/>
        <v>1</v>
      </c>
      <c r="AB101" s="21">
        <f t="shared" si="507"/>
        <v>0</v>
      </c>
      <c r="AC101" s="21">
        <f t="shared" si="10"/>
        <v>1</v>
      </c>
      <c r="AD101" s="21">
        <f t="shared" si="11"/>
        <v>1</v>
      </c>
      <c r="AE101" s="21">
        <f t="shared" ref="AE101:AH101" si="508">if(OR(BD101 = $AO$6, BD101 = $AS$6, BD101 = $AT$6, BD101 = $AU$6), 1, 0)</f>
        <v>1</v>
      </c>
      <c r="AF101" s="21">
        <f t="shared" si="508"/>
        <v>1</v>
      </c>
      <c r="AG101" s="21">
        <f t="shared" si="508"/>
        <v>1</v>
      </c>
      <c r="AH101" s="21">
        <f t="shared" si="508"/>
        <v>0</v>
      </c>
      <c r="AI101" s="21">
        <f t="shared" si="13"/>
        <v>3</v>
      </c>
      <c r="AJ101" s="21">
        <f t="shared" si="14"/>
        <v>5</v>
      </c>
      <c r="AK101" s="59">
        <f t="shared" si="15"/>
        <v>3.125</v>
      </c>
      <c r="AL101" s="60" t="str">
        <f t="shared" si="16"/>
        <v>good</v>
      </c>
      <c r="AW101" s="22">
        <f t="shared" ref="AW101:BC101" si="509">IF(IFERROR(SEARCH(E$1, $D101),0) &gt;= 1, E$1,0)</f>
        <v>0</v>
      </c>
      <c r="AX101" s="22">
        <f t="shared" si="509"/>
        <v>0</v>
      </c>
      <c r="AY101" s="22">
        <f t="shared" si="509"/>
        <v>0</v>
      </c>
      <c r="AZ101" s="22">
        <f t="shared" si="509"/>
        <v>0</v>
      </c>
      <c r="BA101" s="22">
        <f t="shared" si="509"/>
        <v>0</v>
      </c>
      <c r="BB101" s="22" t="str">
        <f t="shared" si="509"/>
        <v>Beeldende kunst</v>
      </c>
      <c r="BC101" s="22">
        <f t="shared" si="509"/>
        <v>0</v>
      </c>
      <c r="BD101" s="22" t="str">
        <f t="shared" ref="BD101:BG101" si="510">IF(L101 = true, BD$1, 0)</f>
        <v>Shop</v>
      </c>
      <c r="BE101" s="22" t="str">
        <f t="shared" si="510"/>
        <v>Café</v>
      </c>
      <c r="BF101" s="22" t="str">
        <f t="shared" si="510"/>
        <v>Parking</v>
      </c>
      <c r="BG101" s="22">
        <f t="shared" si="510"/>
        <v>0</v>
      </c>
      <c r="BH101" s="22" t="str">
        <f>IFERROR(__xludf.DUMMYFUNCTION("""COMPUTED_VALUE"""),"Museum 44")</f>
        <v>Museum 44</v>
      </c>
      <c r="BI101" s="24">
        <f>IFERROR(__xludf.DUMMYFUNCTION("""COMPUTED_VALUE"""),8.5)</f>
        <v>8.5</v>
      </c>
      <c r="BJ101" s="22" t="b">
        <f>IFERROR(__xludf.DUMMYFUNCTION("""COMPUTED_VALUE"""),FALSE)</f>
        <v>0</v>
      </c>
      <c r="BK101" s="22" t="b">
        <f>IFERROR(__xludf.DUMMYFUNCTION("""COMPUTED_VALUE"""),FALSE)</f>
        <v>0</v>
      </c>
      <c r="BL101" s="22"/>
      <c r="BM101" s="22">
        <f>IFERROR(__xludf.DUMMYFUNCTION("""COMPUTED_VALUE"""),0.0)</f>
        <v>0</v>
      </c>
      <c r="BN101" s="22">
        <f>IFERROR(__xludf.DUMMYFUNCTION("""COMPUTED_VALUE"""),1.0)</f>
        <v>1</v>
      </c>
      <c r="BO101" s="22">
        <f>IFERROR(__xludf.DUMMYFUNCTION("""COMPUTED_VALUE"""),0.0)</f>
        <v>0</v>
      </c>
      <c r="BP101" s="22">
        <f>IFERROR(__xludf.DUMMYFUNCTION("""COMPUTED_VALUE"""),0.0)</f>
        <v>0</v>
      </c>
      <c r="BQ101" s="22">
        <f>IFERROR(__xludf.DUMMYFUNCTION("""COMPUTED_VALUE"""),0.0)</f>
        <v>0</v>
      </c>
      <c r="BR101" s="22">
        <f>IFERROR(__xludf.DUMMYFUNCTION("""COMPUTED_VALUE"""),0.0)</f>
        <v>0</v>
      </c>
      <c r="BS101" s="22">
        <f>IFERROR(__xludf.DUMMYFUNCTION("""COMPUTED_VALUE"""),0.0)</f>
        <v>0</v>
      </c>
      <c r="BT101" s="22">
        <f>IFERROR(__xludf.DUMMYFUNCTION("""COMPUTED_VALUE"""),0.0)</f>
        <v>0</v>
      </c>
      <c r="BU101" s="22">
        <f>IFERROR(__xludf.DUMMYFUNCTION("""COMPUTED_VALUE"""),1.0)</f>
        <v>1</v>
      </c>
      <c r="BV101" s="22">
        <f>IFERROR(__xludf.DUMMYFUNCTION("""COMPUTED_VALUE"""),1.0)</f>
        <v>1</v>
      </c>
      <c r="BW101" s="22">
        <f>IFERROR(__xludf.DUMMYFUNCTION("""COMPUTED_VALUE"""),1.0)</f>
        <v>1</v>
      </c>
      <c r="BX101" s="22">
        <f>IFERROR(__xludf.DUMMYFUNCTION("""COMPUTED_VALUE"""),0.0)</f>
        <v>0</v>
      </c>
      <c r="BY101" s="22">
        <f>IFERROR(__xludf.DUMMYFUNCTION("""COMPUTED_VALUE"""),1.0)</f>
        <v>1</v>
      </c>
      <c r="BZ101" s="22">
        <f>IFERROR(__xludf.DUMMYFUNCTION("""COMPUTED_VALUE"""),0.0)</f>
        <v>0</v>
      </c>
      <c r="CA101" s="22">
        <f>IFERROR(__xludf.DUMMYFUNCTION("""COMPUTED_VALUE"""),2.0)</f>
        <v>2</v>
      </c>
      <c r="CB101" s="22">
        <f>IFERROR(__xludf.DUMMYFUNCTION("""COMPUTED_VALUE"""),4.0)</f>
        <v>4</v>
      </c>
      <c r="CC101" s="61">
        <f>IFERROR(__xludf.DUMMYFUNCTION("""COMPUTED_VALUE"""),2.5)</f>
        <v>2.5</v>
      </c>
      <c r="CD101" s="62" t="str">
        <f>IFERROR(__xludf.DUMMYFUNCTION("""COMPUTED_VALUE"""),"subpar")</f>
        <v>subpar</v>
      </c>
      <c r="CE101" s="22" t="s">
        <v>242</v>
      </c>
      <c r="CF101" s="24">
        <v>8.5</v>
      </c>
      <c r="CG101" s="22" t="b">
        <v>0</v>
      </c>
      <c r="CH101" s="22" t="b">
        <v>0</v>
      </c>
      <c r="CI101" s="22"/>
      <c r="CJ101" s="22">
        <v>0.0</v>
      </c>
      <c r="CK101" s="22">
        <v>1.0</v>
      </c>
      <c r="CL101" s="22">
        <v>0.0</v>
      </c>
      <c r="CM101" s="22">
        <v>0.0</v>
      </c>
      <c r="CN101" s="22">
        <v>0.0</v>
      </c>
      <c r="CO101" s="22">
        <v>0.0</v>
      </c>
      <c r="CP101" s="22">
        <v>0.0</v>
      </c>
      <c r="CQ101" s="22">
        <v>0.0</v>
      </c>
      <c r="CR101" s="22">
        <v>1.0</v>
      </c>
      <c r="CS101" s="22">
        <v>1.0</v>
      </c>
      <c r="CT101" s="22">
        <v>1.0</v>
      </c>
      <c r="CU101" s="22">
        <v>0.0</v>
      </c>
      <c r="CV101" s="22">
        <v>1.0</v>
      </c>
      <c r="CW101" s="22">
        <v>0.0</v>
      </c>
      <c r="CX101" s="22">
        <v>2.0</v>
      </c>
      <c r="CY101" s="22">
        <v>4.0</v>
      </c>
      <c r="CZ101" s="61">
        <v>2.5</v>
      </c>
      <c r="DA101" s="62" t="s">
        <v>568</v>
      </c>
    </row>
    <row r="102">
      <c r="A102" s="16" t="s">
        <v>236</v>
      </c>
      <c r="B102" s="16" t="s">
        <v>237</v>
      </c>
      <c r="C102" s="17" t="s">
        <v>38</v>
      </c>
      <c r="D102" s="36" t="s">
        <v>4</v>
      </c>
      <c r="E102" s="17" t="b">
        <f t="shared" ref="E102:K102" si="511">If(IFERROR(SEARCH(E$1, $D102),0) &gt;= 1, true,false)</f>
        <v>1</v>
      </c>
      <c r="F102" s="17" t="b">
        <f t="shared" si="511"/>
        <v>0</v>
      </c>
      <c r="G102" s="17" t="b">
        <f t="shared" si="511"/>
        <v>0</v>
      </c>
      <c r="H102" s="17" t="b">
        <f t="shared" si="511"/>
        <v>0</v>
      </c>
      <c r="I102" s="17" t="b">
        <f t="shared" si="511"/>
        <v>0</v>
      </c>
      <c r="J102" s="17" t="b">
        <f t="shared" si="511"/>
        <v>0</v>
      </c>
      <c r="K102" s="17" t="b">
        <f t="shared" si="511"/>
        <v>0</v>
      </c>
      <c r="L102" s="18" t="b">
        <v>0</v>
      </c>
      <c r="M102" s="18" t="b">
        <v>0</v>
      </c>
      <c r="N102" s="18" t="b">
        <v>1</v>
      </c>
      <c r="O102" s="18" t="b">
        <v>0</v>
      </c>
      <c r="P102" s="16" t="str">
        <f t="shared" si="7"/>
        <v>Huis van het Belgisch-Franse Verzet</v>
      </c>
      <c r="Q102" s="19">
        <v>12.0</v>
      </c>
      <c r="R102" s="18" t="b">
        <v>0</v>
      </c>
      <c r="S102" s="18" t="b">
        <v>0</v>
      </c>
      <c r="T102" s="21"/>
      <c r="U102" s="21">
        <f t="shared" si="8"/>
        <v>0</v>
      </c>
      <c r="V102" s="21">
        <f t="shared" ref="V102:AB102" si="512">if(OR(AW102 = $AO$4, AW102 = $AQ$4), 1, 0)</f>
        <v>1</v>
      </c>
      <c r="W102" s="21">
        <f t="shared" si="512"/>
        <v>0</v>
      </c>
      <c r="X102" s="21">
        <f t="shared" si="512"/>
        <v>0</v>
      </c>
      <c r="Y102" s="21">
        <f t="shared" si="512"/>
        <v>0</v>
      </c>
      <c r="Z102" s="21">
        <f t="shared" si="512"/>
        <v>0</v>
      </c>
      <c r="AA102" s="21">
        <f t="shared" si="512"/>
        <v>0</v>
      </c>
      <c r="AB102" s="21">
        <f t="shared" si="512"/>
        <v>0</v>
      </c>
      <c r="AC102" s="21">
        <f t="shared" si="10"/>
        <v>1</v>
      </c>
      <c r="AD102" s="21">
        <f t="shared" si="11"/>
        <v>0</v>
      </c>
      <c r="AE102" s="21">
        <f t="shared" ref="AE102:AH102" si="513">if(OR(BD102 = $AO$6, BD102 = $AS$6, BD102 = $AT$6, BD102 = $AU$6), 1, 0)</f>
        <v>0</v>
      </c>
      <c r="AF102" s="21">
        <f t="shared" si="513"/>
        <v>0</v>
      </c>
      <c r="AG102" s="21">
        <f t="shared" si="513"/>
        <v>1</v>
      </c>
      <c r="AH102" s="21">
        <f t="shared" si="513"/>
        <v>0</v>
      </c>
      <c r="AI102" s="21">
        <f t="shared" si="13"/>
        <v>1</v>
      </c>
      <c r="AJ102" s="21">
        <f t="shared" si="14"/>
        <v>2</v>
      </c>
      <c r="AK102" s="59">
        <f t="shared" si="15"/>
        <v>1.25</v>
      </c>
      <c r="AL102" s="60" t="str">
        <f t="shared" si="16"/>
        <v>subpar</v>
      </c>
      <c r="AW102" s="22" t="str">
        <f t="shared" ref="AW102:BC102" si="514">IF(IFERROR(SEARCH(E$1, $D102),0) &gt;= 1, E$1,0)</f>
        <v>Geschiedenis en archeologie</v>
      </c>
      <c r="AX102" s="22">
        <f t="shared" si="514"/>
        <v>0</v>
      </c>
      <c r="AY102" s="22">
        <f t="shared" si="514"/>
        <v>0</v>
      </c>
      <c r="AZ102" s="22">
        <f t="shared" si="514"/>
        <v>0</v>
      </c>
      <c r="BA102" s="22">
        <f t="shared" si="514"/>
        <v>0</v>
      </c>
      <c r="BB102" s="22">
        <f t="shared" si="514"/>
        <v>0</v>
      </c>
      <c r="BC102" s="22">
        <f t="shared" si="514"/>
        <v>0</v>
      </c>
      <c r="BD102" s="22">
        <f t="shared" ref="BD102:BG102" si="515">IF(L102 = true, BD$1, 0)</f>
        <v>0</v>
      </c>
      <c r="BE102" s="22">
        <f t="shared" si="515"/>
        <v>0</v>
      </c>
      <c r="BF102" s="22" t="str">
        <f t="shared" si="515"/>
        <v>Parking</v>
      </c>
      <c r="BG102" s="22">
        <f t="shared" si="515"/>
        <v>0</v>
      </c>
      <c r="BH102" s="22" t="str">
        <f>IFERROR(__xludf.DUMMYFUNCTION("""COMPUTED_VALUE"""),"DE MINDERE")</f>
        <v>DE MINDERE</v>
      </c>
      <c r="BI102" s="24">
        <f>IFERROR(__xludf.DUMMYFUNCTION("""COMPUTED_VALUE"""),0.0)</f>
        <v>0</v>
      </c>
      <c r="BJ102" s="22" t="b">
        <f>IFERROR(__xludf.DUMMYFUNCTION("""COMPUTED_VALUE"""),FALSE)</f>
        <v>0</v>
      </c>
      <c r="BK102" s="22" t="b">
        <f>IFERROR(__xludf.DUMMYFUNCTION("""COMPUTED_VALUE"""),TRUE)</f>
        <v>1</v>
      </c>
      <c r="BL102" s="24">
        <f>IFERROR(__xludf.DUMMYFUNCTION("""COMPUTED_VALUE"""),0.0)</f>
        <v>0</v>
      </c>
      <c r="BM102" s="22">
        <f>IFERROR(__xludf.DUMMYFUNCTION("""COMPUTED_VALUE"""),0.0)</f>
        <v>0</v>
      </c>
      <c r="BN102" s="22">
        <f>IFERROR(__xludf.DUMMYFUNCTION("""COMPUTED_VALUE"""),1.0)</f>
        <v>1</v>
      </c>
      <c r="BO102" s="22">
        <f>IFERROR(__xludf.DUMMYFUNCTION("""COMPUTED_VALUE"""),0.0)</f>
        <v>0</v>
      </c>
      <c r="BP102" s="22">
        <f>IFERROR(__xludf.DUMMYFUNCTION("""COMPUTED_VALUE"""),0.0)</f>
        <v>0</v>
      </c>
      <c r="BQ102" s="22">
        <f>IFERROR(__xludf.DUMMYFUNCTION("""COMPUTED_VALUE"""),0.0)</f>
        <v>0</v>
      </c>
      <c r="BR102" s="22">
        <f>IFERROR(__xludf.DUMMYFUNCTION("""COMPUTED_VALUE"""),0.0)</f>
        <v>0</v>
      </c>
      <c r="BS102" s="22">
        <f>IFERROR(__xludf.DUMMYFUNCTION("""COMPUTED_VALUE"""),1.0)</f>
        <v>1</v>
      </c>
      <c r="BT102" s="22">
        <f>IFERROR(__xludf.DUMMYFUNCTION("""COMPUTED_VALUE"""),0.0)</f>
        <v>0</v>
      </c>
      <c r="BU102" s="22">
        <f>IFERROR(__xludf.DUMMYFUNCTION("""COMPUTED_VALUE"""),2.0)</f>
        <v>2</v>
      </c>
      <c r="BV102" s="22">
        <f>IFERROR(__xludf.DUMMYFUNCTION("""COMPUTED_VALUE"""),1.0)</f>
        <v>1</v>
      </c>
      <c r="BW102" s="22">
        <f>IFERROR(__xludf.DUMMYFUNCTION("""COMPUTED_VALUE"""),1.0)</f>
        <v>1</v>
      </c>
      <c r="BX102" s="22">
        <f>IFERROR(__xludf.DUMMYFUNCTION("""COMPUTED_VALUE"""),0.0)</f>
        <v>0</v>
      </c>
      <c r="BY102" s="22">
        <f>IFERROR(__xludf.DUMMYFUNCTION("""COMPUTED_VALUE"""),0.0)</f>
        <v>0</v>
      </c>
      <c r="BZ102" s="22">
        <f>IFERROR(__xludf.DUMMYFUNCTION("""COMPUTED_VALUE"""),0.0)</f>
        <v>0</v>
      </c>
      <c r="CA102" s="22">
        <f>IFERROR(__xludf.DUMMYFUNCTION("""COMPUTED_VALUE"""),1.0)</f>
        <v>1</v>
      </c>
      <c r="CB102" s="22">
        <f>IFERROR(__xludf.DUMMYFUNCTION("""COMPUTED_VALUE"""),4.0)</f>
        <v>4</v>
      </c>
      <c r="CC102" s="61">
        <f>IFERROR(__xludf.DUMMYFUNCTION("""COMPUTED_VALUE"""),2.5)</f>
        <v>2.5</v>
      </c>
      <c r="CD102" s="62" t="str">
        <f>IFERROR(__xludf.DUMMYFUNCTION("""COMPUTED_VALUE"""),"subpar")</f>
        <v>subpar</v>
      </c>
      <c r="CE102" s="22" t="s">
        <v>257</v>
      </c>
      <c r="CF102" s="24">
        <v>0.0</v>
      </c>
      <c r="CG102" s="22" t="b">
        <v>0</v>
      </c>
      <c r="CH102" s="22" t="b">
        <v>1</v>
      </c>
      <c r="CI102" s="24">
        <v>0.0</v>
      </c>
      <c r="CJ102" s="22">
        <v>0.0</v>
      </c>
      <c r="CK102" s="22">
        <v>1.0</v>
      </c>
      <c r="CL102" s="22">
        <v>0.0</v>
      </c>
      <c r="CM102" s="22">
        <v>0.0</v>
      </c>
      <c r="CN102" s="22">
        <v>0.0</v>
      </c>
      <c r="CO102" s="22">
        <v>0.0</v>
      </c>
      <c r="CP102" s="22">
        <v>1.0</v>
      </c>
      <c r="CQ102" s="22">
        <v>0.0</v>
      </c>
      <c r="CR102" s="22">
        <v>2.0</v>
      </c>
      <c r="CS102" s="22">
        <v>1.0</v>
      </c>
      <c r="CT102" s="22">
        <v>1.0</v>
      </c>
      <c r="CU102" s="22">
        <v>0.0</v>
      </c>
      <c r="CV102" s="22">
        <v>0.0</v>
      </c>
      <c r="CW102" s="22">
        <v>0.0</v>
      </c>
      <c r="CX102" s="22">
        <v>1.0</v>
      </c>
      <c r="CY102" s="22">
        <v>4.0</v>
      </c>
      <c r="CZ102" s="61">
        <v>2.5</v>
      </c>
      <c r="DA102" s="62" t="s">
        <v>568</v>
      </c>
    </row>
    <row r="103">
      <c r="A103" s="16" t="s">
        <v>238</v>
      </c>
      <c r="B103" s="16"/>
      <c r="C103" s="17" t="s">
        <v>38</v>
      </c>
      <c r="D103" s="16" t="s">
        <v>95</v>
      </c>
      <c r="E103" s="17" t="b">
        <f t="shared" ref="E103:K103" si="516">If(IFERROR(SEARCH(E$1, $D103),0) &gt;= 1, true,false)</f>
        <v>1</v>
      </c>
      <c r="F103" s="17" t="b">
        <f t="shared" si="516"/>
        <v>0</v>
      </c>
      <c r="G103" s="17" t="b">
        <f t="shared" si="516"/>
        <v>0</v>
      </c>
      <c r="H103" s="17" t="b">
        <f t="shared" si="516"/>
        <v>0</v>
      </c>
      <c r="I103" s="17" t="b">
        <f t="shared" si="516"/>
        <v>0</v>
      </c>
      <c r="J103" s="17" t="b">
        <f t="shared" si="516"/>
        <v>1</v>
      </c>
      <c r="K103" s="17" t="b">
        <f t="shared" si="516"/>
        <v>0</v>
      </c>
      <c r="L103" s="18" t="b">
        <v>0</v>
      </c>
      <c r="M103" s="18" t="b">
        <v>0</v>
      </c>
      <c r="N103" s="18" t="b">
        <v>1</v>
      </c>
      <c r="O103" s="18" t="b">
        <v>0</v>
      </c>
      <c r="P103" s="16" t="str">
        <f t="shared" si="7"/>
        <v>KADOC-KU Leuven</v>
      </c>
      <c r="Q103" s="19">
        <v>0.0</v>
      </c>
      <c r="R103" s="18" t="b">
        <v>0</v>
      </c>
      <c r="S103" s="18" t="b">
        <v>1</v>
      </c>
      <c r="T103" s="29">
        <v>0.0</v>
      </c>
      <c r="U103" s="21">
        <f t="shared" si="8"/>
        <v>0</v>
      </c>
      <c r="V103" s="21">
        <f t="shared" ref="V103:AB103" si="517">if(OR(AW103 = $AO$4, AW103 = $AQ$4), 1, 0)</f>
        <v>1</v>
      </c>
      <c r="W103" s="21">
        <f t="shared" si="517"/>
        <v>0</v>
      </c>
      <c r="X103" s="21">
        <f t="shared" si="517"/>
        <v>0</v>
      </c>
      <c r="Y103" s="21">
        <f t="shared" si="517"/>
        <v>0</v>
      </c>
      <c r="Z103" s="21">
        <f t="shared" si="517"/>
        <v>0</v>
      </c>
      <c r="AA103" s="21">
        <f t="shared" si="517"/>
        <v>1</v>
      </c>
      <c r="AB103" s="21">
        <f t="shared" si="517"/>
        <v>0</v>
      </c>
      <c r="AC103" s="21">
        <f t="shared" si="10"/>
        <v>2</v>
      </c>
      <c r="AD103" s="21">
        <f t="shared" si="11"/>
        <v>1</v>
      </c>
      <c r="AE103" s="21">
        <f t="shared" ref="AE103:AH103" si="518">if(OR(BD103 = $AO$6, BD103 = $AS$6, BD103 = $AT$6, BD103 = $AU$6), 1, 0)</f>
        <v>0</v>
      </c>
      <c r="AF103" s="21">
        <f t="shared" si="518"/>
        <v>0</v>
      </c>
      <c r="AG103" s="21">
        <f t="shared" si="518"/>
        <v>1</v>
      </c>
      <c r="AH103" s="21">
        <f t="shared" si="518"/>
        <v>0</v>
      </c>
      <c r="AI103" s="21">
        <f t="shared" si="13"/>
        <v>1</v>
      </c>
      <c r="AJ103" s="21">
        <f t="shared" si="14"/>
        <v>4</v>
      </c>
      <c r="AK103" s="59">
        <f t="shared" si="15"/>
        <v>2.5</v>
      </c>
      <c r="AL103" s="60" t="str">
        <f t="shared" si="16"/>
        <v>subpar</v>
      </c>
      <c r="AW103" s="22" t="str">
        <f t="shared" ref="AW103:BC103" si="519">IF(IFERROR(SEARCH(E$1, $D103),0) &gt;= 1, E$1,0)</f>
        <v>Geschiedenis en archeologie</v>
      </c>
      <c r="AX103" s="22">
        <f t="shared" si="519"/>
        <v>0</v>
      </c>
      <c r="AY103" s="22">
        <f t="shared" si="519"/>
        <v>0</v>
      </c>
      <c r="AZ103" s="22">
        <f t="shared" si="519"/>
        <v>0</v>
      </c>
      <c r="BA103" s="22">
        <f t="shared" si="519"/>
        <v>0</v>
      </c>
      <c r="BB103" s="22" t="str">
        <f t="shared" si="519"/>
        <v>Beeldende kunst</v>
      </c>
      <c r="BC103" s="22">
        <f t="shared" si="519"/>
        <v>0</v>
      </c>
      <c r="BD103" s="22">
        <f t="shared" ref="BD103:BG103" si="520">IF(L103 = true, BD$1, 0)</f>
        <v>0</v>
      </c>
      <c r="BE103" s="22">
        <f t="shared" si="520"/>
        <v>0</v>
      </c>
      <c r="BF103" s="22" t="str">
        <f t="shared" si="520"/>
        <v>Parking</v>
      </c>
      <c r="BG103" s="22">
        <f t="shared" si="520"/>
        <v>0</v>
      </c>
      <c r="BH103" s="22" t="str">
        <f>IFERROR(__xludf.DUMMYFUNCTION("""COMPUTED_VALUE"""),"GlazenHuis")</f>
        <v>GlazenHuis</v>
      </c>
      <c r="BI103" s="24">
        <f>IFERROR(__xludf.DUMMYFUNCTION("""COMPUTED_VALUE"""),5.0)</f>
        <v>5</v>
      </c>
      <c r="BJ103" s="22" t="b">
        <f>IFERROR(__xludf.DUMMYFUNCTION("""COMPUTED_VALUE"""),TRUE)</f>
        <v>1</v>
      </c>
      <c r="BK103" s="22" t="b">
        <f>IFERROR(__xludf.DUMMYFUNCTION("""COMPUTED_VALUE"""),FALSE)</f>
        <v>0</v>
      </c>
      <c r="BL103" s="22"/>
      <c r="BM103" s="22">
        <f>IFERROR(__xludf.DUMMYFUNCTION("""COMPUTED_VALUE"""),0.0)</f>
        <v>0</v>
      </c>
      <c r="BN103" s="22">
        <f>IFERROR(__xludf.DUMMYFUNCTION("""COMPUTED_VALUE"""),1.0)</f>
        <v>1</v>
      </c>
      <c r="BO103" s="22">
        <f>IFERROR(__xludf.DUMMYFUNCTION("""COMPUTED_VALUE"""),0.0)</f>
        <v>0</v>
      </c>
      <c r="BP103" s="22">
        <f>IFERROR(__xludf.DUMMYFUNCTION("""COMPUTED_VALUE"""),0.0)</f>
        <v>0</v>
      </c>
      <c r="BQ103" s="22">
        <f>IFERROR(__xludf.DUMMYFUNCTION("""COMPUTED_VALUE"""),0.0)</f>
        <v>0</v>
      </c>
      <c r="BR103" s="22">
        <f>IFERROR(__xludf.DUMMYFUNCTION("""COMPUTED_VALUE"""),0.0)</f>
        <v>0</v>
      </c>
      <c r="BS103" s="22">
        <f>IFERROR(__xludf.DUMMYFUNCTION("""COMPUTED_VALUE"""),1.0)</f>
        <v>1</v>
      </c>
      <c r="BT103" s="22">
        <f>IFERROR(__xludf.DUMMYFUNCTION("""COMPUTED_VALUE"""),0.0)</f>
        <v>0</v>
      </c>
      <c r="BU103" s="22">
        <f>IFERROR(__xludf.DUMMYFUNCTION("""COMPUTED_VALUE"""),2.0)</f>
        <v>2</v>
      </c>
      <c r="BV103" s="22">
        <f>IFERROR(__xludf.DUMMYFUNCTION("""COMPUTED_VALUE"""),1.0)</f>
        <v>1</v>
      </c>
      <c r="BW103" s="22">
        <f>IFERROR(__xludf.DUMMYFUNCTION("""COMPUTED_VALUE"""),1.0)</f>
        <v>1</v>
      </c>
      <c r="BX103" s="22">
        <f>IFERROR(__xludf.DUMMYFUNCTION("""COMPUTED_VALUE"""),0.0)</f>
        <v>0</v>
      </c>
      <c r="BY103" s="22">
        <f>IFERROR(__xludf.DUMMYFUNCTION("""COMPUTED_VALUE"""),0.0)</f>
        <v>0</v>
      </c>
      <c r="BZ103" s="22">
        <f>IFERROR(__xludf.DUMMYFUNCTION("""COMPUTED_VALUE"""),0.0)</f>
        <v>0</v>
      </c>
      <c r="CA103" s="22">
        <f>IFERROR(__xludf.DUMMYFUNCTION("""COMPUTED_VALUE"""),1.0)</f>
        <v>1</v>
      </c>
      <c r="CB103" s="22">
        <f>IFERROR(__xludf.DUMMYFUNCTION("""COMPUTED_VALUE"""),4.0)</f>
        <v>4</v>
      </c>
      <c r="CC103" s="61">
        <f>IFERROR(__xludf.DUMMYFUNCTION("""COMPUTED_VALUE"""),2.5)</f>
        <v>2.5</v>
      </c>
      <c r="CD103" s="62" t="str">
        <f>IFERROR(__xludf.DUMMYFUNCTION("""COMPUTED_VALUE"""),"subpar")</f>
        <v>subpar</v>
      </c>
      <c r="CE103" s="22" t="s">
        <v>263</v>
      </c>
      <c r="CF103" s="24">
        <v>5.0</v>
      </c>
      <c r="CG103" s="22" t="b">
        <v>1</v>
      </c>
      <c r="CH103" s="22" t="b">
        <v>0</v>
      </c>
      <c r="CI103" s="22"/>
      <c r="CJ103" s="22">
        <v>0.0</v>
      </c>
      <c r="CK103" s="22">
        <v>1.0</v>
      </c>
      <c r="CL103" s="22">
        <v>0.0</v>
      </c>
      <c r="CM103" s="22">
        <v>0.0</v>
      </c>
      <c r="CN103" s="22">
        <v>0.0</v>
      </c>
      <c r="CO103" s="22">
        <v>0.0</v>
      </c>
      <c r="CP103" s="22">
        <v>1.0</v>
      </c>
      <c r="CQ103" s="22">
        <v>0.0</v>
      </c>
      <c r="CR103" s="22">
        <v>2.0</v>
      </c>
      <c r="CS103" s="22">
        <v>1.0</v>
      </c>
      <c r="CT103" s="22">
        <v>1.0</v>
      </c>
      <c r="CU103" s="22">
        <v>0.0</v>
      </c>
      <c r="CV103" s="22">
        <v>0.0</v>
      </c>
      <c r="CW103" s="22">
        <v>0.0</v>
      </c>
      <c r="CX103" s="22">
        <v>1.0</v>
      </c>
      <c r="CY103" s="22">
        <v>4.0</v>
      </c>
      <c r="CZ103" s="61">
        <v>2.5</v>
      </c>
      <c r="DA103" s="62" t="s">
        <v>568</v>
      </c>
    </row>
    <row r="104">
      <c r="A104" s="16" t="s">
        <v>239</v>
      </c>
      <c r="B104" s="16" t="s">
        <v>240</v>
      </c>
      <c r="C104" s="17" t="s">
        <v>38</v>
      </c>
      <c r="D104" s="16" t="s">
        <v>198</v>
      </c>
      <c r="E104" s="17" t="b">
        <f t="shared" ref="E104:K104" si="521">If(IFERROR(SEARCH(E$1, $D104),0) &gt;= 1, true,false)</f>
        <v>1</v>
      </c>
      <c r="F104" s="17" t="b">
        <f t="shared" si="521"/>
        <v>0</v>
      </c>
      <c r="G104" s="17" t="b">
        <f t="shared" si="521"/>
        <v>0</v>
      </c>
      <c r="H104" s="17" t="b">
        <f t="shared" si="521"/>
        <v>0</v>
      </c>
      <c r="I104" s="17" t="b">
        <f t="shared" si="521"/>
        <v>1</v>
      </c>
      <c r="J104" s="17" t="b">
        <f t="shared" si="521"/>
        <v>1</v>
      </c>
      <c r="K104" s="17" t="b">
        <f t="shared" si="521"/>
        <v>0</v>
      </c>
      <c r="L104" s="18" t="b">
        <v>1</v>
      </c>
      <c r="M104" s="18" t="b">
        <v>1</v>
      </c>
      <c r="N104" s="18" t="b">
        <v>1</v>
      </c>
      <c r="O104" s="18" t="b">
        <v>0</v>
      </c>
      <c r="P104" s="16" t="str">
        <f t="shared" si="7"/>
        <v>Kasteel van Gaasbeek</v>
      </c>
      <c r="Q104" s="19">
        <v>12.0</v>
      </c>
      <c r="R104" s="18" t="b">
        <v>0</v>
      </c>
      <c r="S104" s="18" t="b">
        <v>1</v>
      </c>
      <c r="T104" s="30">
        <v>12.0</v>
      </c>
      <c r="U104" s="21">
        <f t="shared" si="8"/>
        <v>0</v>
      </c>
      <c r="V104" s="21">
        <f t="shared" ref="V104:AB104" si="522">if(OR(AW104 = $AO$4, AW104 = $AQ$4), 1, 0)</f>
        <v>1</v>
      </c>
      <c r="W104" s="21">
        <f t="shared" si="522"/>
        <v>0</v>
      </c>
      <c r="X104" s="21">
        <f t="shared" si="522"/>
        <v>0</v>
      </c>
      <c r="Y104" s="21">
        <f t="shared" si="522"/>
        <v>0</v>
      </c>
      <c r="Z104" s="21">
        <f t="shared" si="522"/>
        <v>0</v>
      </c>
      <c r="AA104" s="21">
        <f t="shared" si="522"/>
        <v>1</v>
      </c>
      <c r="AB104" s="21">
        <f t="shared" si="522"/>
        <v>0</v>
      </c>
      <c r="AC104" s="21">
        <f t="shared" si="10"/>
        <v>2</v>
      </c>
      <c r="AD104" s="21">
        <f t="shared" si="11"/>
        <v>0</v>
      </c>
      <c r="AE104" s="21">
        <f t="shared" ref="AE104:AH104" si="523">if(OR(BD104 = $AO$6, BD104 = $AS$6, BD104 = $AT$6, BD104 = $AU$6), 1, 0)</f>
        <v>1</v>
      </c>
      <c r="AF104" s="21">
        <f t="shared" si="523"/>
        <v>1</v>
      </c>
      <c r="AG104" s="21">
        <f t="shared" si="523"/>
        <v>1</v>
      </c>
      <c r="AH104" s="21">
        <f t="shared" si="523"/>
        <v>0</v>
      </c>
      <c r="AI104" s="21">
        <f t="shared" si="13"/>
        <v>3</v>
      </c>
      <c r="AJ104" s="21">
        <f t="shared" si="14"/>
        <v>5</v>
      </c>
      <c r="AK104" s="59">
        <f t="shared" si="15"/>
        <v>3.125</v>
      </c>
      <c r="AL104" s="60" t="str">
        <f t="shared" si="16"/>
        <v>good</v>
      </c>
      <c r="AW104" s="22" t="str">
        <f t="shared" ref="AW104:BC104" si="524">IF(IFERROR(SEARCH(E$1, $D104),0) &gt;= 1, E$1,0)</f>
        <v>Geschiedenis en archeologie</v>
      </c>
      <c r="AX104" s="22">
        <f t="shared" si="524"/>
        <v>0</v>
      </c>
      <c r="AY104" s="22">
        <f t="shared" si="524"/>
        <v>0</v>
      </c>
      <c r="AZ104" s="22">
        <f t="shared" si="524"/>
        <v>0</v>
      </c>
      <c r="BA104" s="22" t="str">
        <f t="shared" si="524"/>
        <v>Architectuur</v>
      </c>
      <c r="BB104" s="22" t="str">
        <f t="shared" si="524"/>
        <v>Beeldende kunst</v>
      </c>
      <c r="BC104" s="22">
        <f t="shared" si="524"/>
        <v>0</v>
      </c>
      <c r="BD104" s="22" t="str">
        <f t="shared" ref="BD104:BG104" si="525">IF(L104 = true, BD$1, 0)</f>
        <v>Shop</v>
      </c>
      <c r="BE104" s="22" t="str">
        <f t="shared" si="525"/>
        <v>Café</v>
      </c>
      <c r="BF104" s="22" t="str">
        <f t="shared" si="525"/>
        <v>Parking</v>
      </c>
      <c r="BG104" s="22">
        <f t="shared" si="525"/>
        <v>0</v>
      </c>
      <c r="BH104" s="22" t="str">
        <f>IFERROR(__xludf.DUMMYFUNCTION("""COMPUTED_VALUE"""),"Het Stadsmus Hasselt")</f>
        <v>Het Stadsmus Hasselt</v>
      </c>
      <c r="BI104" s="24">
        <f>IFERROR(__xludf.DUMMYFUNCTION("""COMPUTED_VALUE"""),0.0)</f>
        <v>0</v>
      </c>
      <c r="BJ104" s="22" t="b">
        <f>IFERROR(__xludf.DUMMYFUNCTION("""COMPUTED_VALUE"""),FALSE)</f>
        <v>0</v>
      </c>
      <c r="BK104" s="22" t="b">
        <f>IFERROR(__xludf.DUMMYFUNCTION("""COMPUTED_VALUE"""),FALSE)</f>
        <v>0</v>
      </c>
      <c r="BL104" s="22"/>
      <c r="BM104" s="22">
        <f>IFERROR(__xludf.DUMMYFUNCTION("""COMPUTED_VALUE"""),0.0)</f>
        <v>0</v>
      </c>
      <c r="BN104" s="22">
        <f>IFERROR(__xludf.DUMMYFUNCTION("""COMPUTED_VALUE"""),1.0)</f>
        <v>1</v>
      </c>
      <c r="BO104" s="22">
        <f>IFERROR(__xludf.DUMMYFUNCTION("""COMPUTED_VALUE"""),0.0)</f>
        <v>0</v>
      </c>
      <c r="BP104" s="22">
        <f>IFERROR(__xludf.DUMMYFUNCTION("""COMPUTED_VALUE"""),0.0)</f>
        <v>0</v>
      </c>
      <c r="BQ104" s="22">
        <f>IFERROR(__xludf.DUMMYFUNCTION("""COMPUTED_VALUE"""),0.0)</f>
        <v>0</v>
      </c>
      <c r="BR104" s="22">
        <f>IFERROR(__xludf.DUMMYFUNCTION("""COMPUTED_VALUE"""),0.0)</f>
        <v>0</v>
      </c>
      <c r="BS104" s="22">
        <f>IFERROR(__xludf.DUMMYFUNCTION("""COMPUTED_VALUE"""),1.0)</f>
        <v>1</v>
      </c>
      <c r="BT104" s="22">
        <f>IFERROR(__xludf.DUMMYFUNCTION("""COMPUTED_VALUE"""),0.0)</f>
        <v>0</v>
      </c>
      <c r="BU104" s="22">
        <f>IFERROR(__xludf.DUMMYFUNCTION("""COMPUTED_VALUE"""),2.0)</f>
        <v>2</v>
      </c>
      <c r="BV104" s="22">
        <f>IFERROR(__xludf.DUMMYFUNCTION("""COMPUTED_VALUE"""),1.0)</f>
        <v>1</v>
      </c>
      <c r="BW104" s="22">
        <f>IFERROR(__xludf.DUMMYFUNCTION("""COMPUTED_VALUE"""),1.0)</f>
        <v>1</v>
      </c>
      <c r="BX104" s="22">
        <f>IFERROR(__xludf.DUMMYFUNCTION("""COMPUTED_VALUE"""),0.0)</f>
        <v>0</v>
      </c>
      <c r="BY104" s="22">
        <f>IFERROR(__xludf.DUMMYFUNCTION("""COMPUTED_VALUE"""),0.0)</f>
        <v>0</v>
      </c>
      <c r="BZ104" s="22">
        <f>IFERROR(__xludf.DUMMYFUNCTION("""COMPUTED_VALUE"""),0.0)</f>
        <v>0</v>
      </c>
      <c r="CA104" s="22">
        <f>IFERROR(__xludf.DUMMYFUNCTION("""COMPUTED_VALUE"""),1.0)</f>
        <v>1</v>
      </c>
      <c r="CB104" s="22">
        <f>IFERROR(__xludf.DUMMYFUNCTION("""COMPUTED_VALUE"""),4.0)</f>
        <v>4</v>
      </c>
      <c r="CC104" s="61">
        <f>IFERROR(__xludf.DUMMYFUNCTION("""COMPUTED_VALUE"""),2.5)</f>
        <v>2.5</v>
      </c>
      <c r="CD104" s="62" t="str">
        <f>IFERROR(__xludf.DUMMYFUNCTION("""COMPUTED_VALUE"""),"subpar")</f>
        <v>subpar</v>
      </c>
      <c r="CE104" s="22" t="s">
        <v>264</v>
      </c>
      <c r="CF104" s="24">
        <v>0.0</v>
      </c>
      <c r="CG104" s="22" t="b">
        <v>0</v>
      </c>
      <c r="CH104" s="22" t="b">
        <v>0</v>
      </c>
      <c r="CI104" s="22"/>
      <c r="CJ104" s="22">
        <v>0.0</v>
      </c>
      <c r="CK104" s="22">
        <v>1.0</v>
      </c>
      <c r="CL104" s="22">
        <v>0.0</v>
      </c>
      <c r="CM104" s="22">
        <v>0.0</v>
      </c>
      <c r="CN104" s="22">
        <v>0.0</v>
      </c>
      <c r="CO104" s="22">
        <v>0.0</v>
      </c>
      <c r="CP104" s="22">
        <v>1.0</v>
      </c>
      <c r="CQ104" s="22">
        <v>0.0</v>
      </c>
      <c r="CR104" s="22">
        <v>2.0</v>
      </c>
      <c r="CS104" s="22">
        <v>1.0</v>
      </c>
      <c r="CT104" s="22">
        <v>1.0</v>
      </c>
      <c r="CU104" s="22">
        <v>0.0</v>
      </c>
      <c r="CV104" s="22">
        <v>0.0</v>
      </c>
      <c r="CW104" s="22">
        <v>0.0</v>
      </c>
      <c r="CX104" s="22">
        <v>1.0</v>
      </c>
      <c r="CY104" s="22">
        <v>4.0</v>
      </c>
      <c r="CZ104" s="61">
        <v>2.5</v>
      </c>
      <c r="DA104" s="62" t="s">
        <v>568</v>
      </c>
    </row>
    <row r="105">
      <c r="A105" s="16" t="s">
        <v>241</v>
      </c>
      <c r="B105" s="16"/>
      <c r="C105" s="17" t="s">
        <v>38</v>
      </c>
      <c r="D105" s="37" t="s">
        <v>79</v>
      </c>
      <c r="E105" s="17" t="b">
        <f t="shared" ref="E105:K105" si="526">If(IFERROR(SEARCH(E$1, $D105),0) &gt;= 1, true,false)</f>
        <v>1</v>
      </c>
      <c r="F105" s="17" t="b">
        <f t="shared" si="526"/>
        <v>0</v>
      </c>
      <c r="G105" s="17" t="b">
        <f t="shared" si="526"/>
        <v>0</v>
      </c>
      <c r="H105" s="17" t="b">
        <f t="shared" si="526"/>
        <v>0</v>
      </c>
      <c r="I105" s="17" t="b">
        <f t="shared" si="526"/>
        <v>0</v>
      </c>
      <c r="J105" s="17" t="b">
        <f t="shared" si="526"/>
        <v>1</v>
      </c>
      <c r="K105" s="17" t="b">
        <f t="shared" si="526"/>
        <v>1</v>
      </c>
      <c r="L105" s="18" t="b">
        <v>1</v>
      </c>
      <c r="M105" s="18" t="b">
        <v>0</v>
      </c>
      <c r="N105" s="18" t="b">
        <v>0</v>
      </c>
      <c r="O105" s="18" t="b">
        <v>0</v>
      </c>
      <c r="P105" s="16" t="str">
        <f t="shared" si="7"/>
        <v>M Leuven</v>
      </c>
      <c r="Q105" s="19">
        <v>12.0</v>
      </c>
      <c r="R105" s="18" t="b">
        <v>0</v>
      </c>
      <c r="S105" s="18" t="b">
        <v>1</v>
      </c>
      <c r="T105" s="29">
        <v>12.0</v>
      </c>
      <c r="U105" s="21">
        <f t="shared" si="8"/>
        <v>0</v>
      </c>
      <c r="V105" s="21">
        <f t="shared" ref="V105:AB105" si="527">if(OR(AW105 = $AO$4, AW105 = $AQ$4), 1, 0)</f>
        <v>1</v>
      </c>
      <c r="W105" s="21">
        <f t="shared" si="527"/>
        <v>0</v>
      </c>
      <c r="X105" s="21">
        <f t="shared" si="527"/>
        <v>0</v>
      </c>
      <c r="Y105" s="21">
        <f t="shared" si="527"/>
        <v>0</v>
      </c>
      <c r="Z105" s="21">
        <f t="shared" si="527"/>
        <v>0</v>
      </c>
      <c r="AA105" s="21">
        <f t="shared" si="527"/>
        <v>1</v>
      </c>
      <c r="AB105" s="21">
        <f t="shared" si="527"/>
        <v>0</v>
      </c>
      <c r="AC105" s="21">
        <f t="shared" si="10"/>
        <v>2</v>
      </c>
      <c r="AD105" s="21">
        <f t="shared" si="11"/>
        <v>0</v>
      </c>
      <c r="AE105" s="21">
        <f t="shared" ref="AE105:AH105" si="528">if(OR(BD105 = $AO$6, BD105 = $AS$6, BD105 = $AT$6, BD105 = $AU$6), 1, 0)</f>
        <v>1</v>
      </c>
      <c r="AF105" s="21">
        <f t="shared" si="528"/>
        <v>0</v>
      </c>
      <c r="AG105" s="21">
        <f t="shared" si="528"/>
        <v>0</v>
      </c>
      <c r="AH105" s="21">
        <f t="shared" si="528"/>
        <v>0</v>
      </c>
      <c r="AI105" s="21">
        <f t="shared" si="13"/>
        <v>1</v>
      </c>
      <c r="AJ105" s="21">
        <f t="shared" si="14"/>
        <v>3</v>
      </c>
      <c r="AK105" s="59">
        <f t="shared" si="15"/>
        <v>1.875</v>
      </c>
      <c r="AL105" s="60" t="str">
        <f t="shared" si="16"/>
        <v>subpar</v>
      </c>
      <c r="AW105" s="22" t="str">
        <f t="shared" ref="AW105:BC105" si="529">IF(IFERROR(SEARCH(E$1, $D105),0) &gt;= 1, E$1,0)</f>
        <v>Geschiedenis en archeologie</v>
      </c>
      <c r="AX105" s="22">
        <f t="shared" si="529"/>
        <v>0</v>
      </c>
      <c r="AY105" s="22">
        <f t="shared" si="529"/>
        <v>0</v>
      </c>
      <c r="AZ105" s="22">
        <f t="shared" si="529"/>
        <v>0</v>
      </c>
      <c r="BA105" s="22">
        <f t="shared" si="529"/>
        <v>0</v>
      </c>
      <c r="BB105" s="22" t="str">
        <f t="shared" si="529"/>
        <v>Beeldende kunst</v>
      </c>
      <c r="BC105" s="22" t="str">
        <f t="shared" si="529"/>
        <v>Toegepaste kunst en design</v>
      </c>
      <c r="BD105" s="22" t="str">
        <f t="shared" ref="BD105:BG105" si="530">IF(L105 = true, BD$1, 0)</f>
        <v>Shop</v>
      </c>
      <c r="BE105" s="22">
        <f t="shared" si="530"/>
        <v>0</v>
      </c>
      <c r="BF105" s="22">
        <f t="shared" si="530"/>
        <v>0</v>
      </c>
      <c r="BG105" s="22">
        <f t="shared" si="530"/>
        <v>0</v>
      </c>
      <c r="BH105" s="22" t="str">
        <f>IFERROR(__xludf.DUMMYFUNCTION("""COMPUTED_VALUE"""),"Jenevermuseum")</f>
        <v>Jenevermuseum</v>
      </c>
      <c r="BI105" s="24">
        <f>IFERROR(__xludf.DUMMYFUNCTION("""COMPUTED_VALUE"""),7.0)</f>
        <v>7</v>
      </c>
      <c r="BJ105" s="22" t="b">
        <f>IFERROR(__xludf.DUMMYFUNCTION("""COMPUTED_VALUE"""),FALSE)</f>
        <v>0</v>
      </c>
      <c r="BK105" s="22" t="b">
        <f>IFERROR(__xludf.DUMMYFUNCTION("""COMPUTED_VALUE"""),TRUE)</f>
        <v>1</v>
      </c>
      <c r="BL105" s="24">
        <f>IFERROR(__xludf.DUMMYFUNCTION("""COMPUTED_VALUE"""),7.0)</f>
        <v>7</v>
      </c>
      <c r="BM105" s="22">
        <f>IFERROR(__xludf.DUMMYFUNCTION("""COMPUTED_VALUE"""),0.0)</f>
        <v>0</v>
      </c>
      <c r="BN105" s="22">
        <f>IFERROR(__xludf.DUMMYFUNCTION("""COMPUTED_VALUE"""),1.0)</f>
        <v>1</v>
      </c>
      <c r="BO105" s="22">
        <f>IFERROR(__xludf.DUMMYFUNCTION("""COMPUTED_VALUE"""),0.0)</f>
        <v>0</v>
      </c>
      <c r="BP105" s="22">
        <f>IFERROR(__xludf.DUMMYFUNCTION("""COMPUTED_VALUE"""),0.0)</f>
        <v>0</v>
      </c>
      <c r="BQ105" s="22">
        <f>IFERROR(__xludf.DUMMYFUNCTION("""COMPUTED_VALUE"""),0.0)</f>
        <v>0</v>
      </c>
      <c r="BR105" s="22">
        <f>IFERROR(__xludf.DUMMYFUNCTION("""COMPUTED_VALUE"""),0.0)</f>
        <v>0</v>
      </c>
      <c r="BS105" s="22">
        <f>IFERROR(__xludf.DUMMYFUNCTION("""COMPUTED_VALUE"""),0.0)</f>
        <v>0</v>
      </c>
      <c r="BT105" s="22">
        <f>IFERROR(__xludf.DUMMYFUNCTION("""COMPUTED_VALUE"""),0.0)</f>
        <v>0</v>
      </c>
      <c r="BU105" s="22">
        <f>IFERROR(__xludf.DUMMYFUNCTION("""COMPUTED_VALUE"""),1.0)</f>
        <v>1</v>
      </c>
      <c r="BV105" s="22">
        <f>IFERROR(__xludf.DUMMYFUNCTION("""COMPUTED_VALUE"""),1.0)</f>
        <v>1</v>
      </c>
      <c r="BW105" s="22">
        <f>IFERROR(__xludf.DUMMYFUNCTION("""COMPUTED_VALUE"""),1.0)</f>
        <v>1</v>
      </c>
      <c r="BX105" s="22">
        <f>IFERROR(__xludf.DUMMYFUNCTION("""COMPUTED_VALUE"""),0.0)</f>
        <v>0</v>
      </c>
      <c r="BY105" s="22">
        <f>IFERROR(__xludf.DUMMYFUNCTION("""COMPUTED_VALUE"""),0.0)</f>
        <v>0</v>
      </c>
      <c r="BZ105" s="22">
        <f>IFERROR(__xludf.DUMMYFUNCTION("""COMPUTED_VALUE"""),1.0)</f>
        <v>1</v>
      </c>
      <c r="CA105" s="22">
        <f>IFERROR(__xludf.DUMMYFUNCTION("""COMPUTED_VALUE"""),2.0)</f>
        <v>2</v>
      </c>
      <c r="CB105" s="22">
        <f>IFERROR(__xludf.DUMMYFUNCTION("""COMPUTED_VALUE"""),4.0)</f>
        <v>4</v>
      </c>
      <c r="CC105" s="61">
        <f>IFERROR(__xludf.DUMMYFUNCTION("""COMPUTED_VALUE"""),2.5)</f>
        <v>2.5</v>
      </c>
      <c r="CD105" s="62" t="str">
        <f>IFERROR(__xludf.DUMMYFUNCTION("""COMPUTED_VALUE"""),"subpar")</f>
        <v>subpar</v>
      </c>
      <c r="CE105" s="22" t="s">
        <v>266</v>
      </c>
      <c r="CF105" s="24">
        <v>7.0</v>
      </c>
      <c r="CG105" s="22" t="b">
        <v>0</v>
      </c>
      <c r="CH105" s="22" t="b">
        <v>1</v>
      </c>
      <c r="CI105" s="24">
        <v>7.0</v>
      </c>
      <c r="CJ105" s="22">
        <v>0.0</v>
      </c>
      <c r="CK105" s="22">
        <v>1.0</v>
      </c>
      <c r="CL105" s="22">
        <v>0.0</v>
      </c>
      <c r="CM105" s="22">
        <v>0.0</v>
      </c>
      <c r="CN105" s="22">
        <v>0.0</v>
      </c>
      <c r="CO105" s="22">
        <v>0.0</v>
      </c>
      <c r="CP105" s="22">
        <v>0.0</v>
      </c>
      <c r="CQ105" s="22">
        <v>0.0</v>
      </c>
      <c r="CR105" s="22">
        <v>1.0</v>
      </c>
      <c r="CS105" s="22">
        <v>1.0</v>
      </c>
      <c r="CT105" s="22">
        <v>1.0</v>
      </c>
      <c r="CU105" s="22">
        <v>0.0</v>
      </c>
      <c r="CV105" s="22">
        <v>0.0</v>
      </c>
      <c r="CW105" s="22">
        <v>1.0</v>
      </c>
      <c r="CX105" s="22">
        <v>2.0</v>
      </c>
      <c r="CY105" s="22">
        <v>4.0</v>
      </c>
      <c r="CZ105" s="61">
        <v>2.5</v>
      </c>
      <c r="DA105" s="62" t="s">
        <v>568</v>
      </c>
    </row>
    <row r="106">
      <c r="A106" s="16" t="s">
        <v>242</v>
      </c>
      <c r="B106" s="16" t="s">
        <v>243</v>
      </c>
      <c r="C106" s="17" t="s">
        <v>38</v>
      </c>
      <c r="D106" s="16" t="s">
        <v>4</v>
      </c>
      <c r="E106" s="17" t="b">
        <f t="shared" ref="E106:K106" si="531">If(IFERROR(SEARCH(E$1, $D106),0) &gt;= 1, true,false)</f>
        <v>1</v>
      </c>
      <c r="F106" s="17" t="b">
        <f t="shared" si="531"/>
        <v>0</v>
      </c>
      <c r="G106" s="17" t="b">
        <f t="shared" si="531"/>
        <v>0</v>
      </c>
      <c r="H106" s="17" t="b">
        <f t="shared" si="531"/>
        <v>0</v>
      </c>
      <c r="I106" s="17" t="b">
        <f t="shared" si="531"/>
        <v>0</v>
      </c>
      <c r="J106" s="17" t="b">
        <f t="shared" si="531"/>
        <v>0</v>
      </c>
      <c r="K106" s="17" t="b">
        <f t="shared" si="531"/>
        <v>0</v>
      </c>
      <c r="L106" s="18" t="b">
        <v>1</v>
      </c>
      <c r="M106" s="18" t="b">
        <v>0</v>
      </c>
      <c r="N106" s="18" t="b">
        <v>1</v>
      </c>
      <c r="O106" s="18" t="b">
        <v>0</v>
      </c>
      <c r="P106" s="16" t="str">
        <f t="shared" si="7"/>
        <v>Museum 44</v>
      </c>
      <c r="Q106" s="19">
        <v>8.5</v>
      </c>
      <c r="R106" s="18" t="b">
        <v>0</v>
      </c>
      <c r="S106" s="18" t="b">
        <v>0</v>
      </c>
      <c r="T106" s="32"/>
      <c r="U106" s="21">
        <f t="shared" si="8"/>
        <v>0</v>
      </c>
      <c r="V106" s="21">
        <f t="shared" ref="V106:AB106" si="532">if(OR(AW106 = $AO$4, AW106 = $AQ$4), 1, 0)</f>
        <v>1</v>
      </c>
      <c r="W106" s="21">
        <f t="shared" si="532"/>
        <v>0</v>
      </c>
      <c r="X106" s="21">
        <f t="shared" si="532"/>
        <v>0</v>
      </c>
      <c r="Y106" s="21">
        <f t="shared" si="532"/>
        <v>0</v>
      </c>
      <c r="Z106" s="21">
        <f t="shared" si="532"/>
        <v>0</v>
      </c>
      <c r="AA106" s="21">
        <f t="shared" si="532"/>
        <v>0</v>
      </c>
      <c r="AB106" s="21">
        <f t="shared" si="532"/>
        <v>0</v>
      </c>
      <c r="AC106" s="21">
        <f t="shared" si="10"/>
        <v>1</v>
      </c>
      <c r="AD106" s="21">
        <f t="shared" si="11"/>
        <v>1</v>
      </c>
      <c r="AE106" s="21">
        <f t="shared" ref="AE106:AH106" si="533">if(OR(BD106 = $AO$6, BD106 = $AS$6, BD106 = $AT$6, BD106 = $AU$6), 1, 0)</f>
        <v>1</v>
      </c>
      <c r="AF106" s="21">
        <f t="shared" si="533"/>
        <v>0</v>
      </c>
      <c r="AG106" s="21">
        <f t="shared" si="533"/>
        <v>1</v>
      </c>
      <c r="AH106" s="21">
        <f t="shared" si="533"/>
        <v>0</v>
      </c>
      <c r="AI106" s="21">
        <f t="shared" si="13"/>
        <v>2</v>
      </c>
      <c r="AJ106" s="21">
        <f t="shared" si="14"/>
        <v>4</v>
      </c>
      <c r="AK106" s="59">
        <f t="shared" si="15"/>
        <v>2.5</v>
      </c>
      <c r="AL106" s="60" t="str">
        <f t="shared" si="16"/>
        <v>subpar</v>
      </c>
      <c r="AW106" s="22" t="str">
        <f t="shared" ref="AW106:BC106" si="534">IF(IFERROR(SEARCH(E$1, $D106),0) &gt;= 1, E$1,0)</f>
        <v>Geschiedenis en archeologie</v>
      </c>
      <c r="AX106" s="22">
        <f t="shared" si="534"/>
        <v>0</v>
      </c>
      <c r="AY106" s="22">
        <f t="shared" si="534"/>
        <v>0</v>
      </c>
      <c r="AZ106" s="22">
        <f t="shared" si="534"/>
        <v>0</v>
      </c>
      <c r="BA106" s="22">
        <f t="shared" si="534"/>
        <v>0</v>
      </c>
      <c r="BB106" s="22">
        <f t="shared" si="534"/>
        <v>0</v>
      </c>
      <c r="BC106" s="22">
        <f t="shared" si="534"/>
        <v>0</v>
      </c>
      <c r="BD106" s="22" t="str">
        <f t="shared" ref="BD106:BG106" si="535">IF(L106 = true, BD$1, 0)</f>
        <v>Shop</v>
      </c>
      <c r="BE106" s="22">
        <f t="shared" si="535"/>
        <v>0</v>
      </c>
      <c r="BF106" s="22" t="str">
        <f t="shared" si="535"/>
        <v>Parking</v>
      </c>
      <c r="BG106" s="22">
        <f t="shared" si="535"/>
        <v>0</v>
      </c>
      <c r="BH106" s="22" t="str">
        <f>IFERROR(__xludf.DUMMYFUNCTION("""COMPUTED_VALUE"""),"Liberation Garden Leopoldsburg")</f>
        <v>Liberation Garden Leopoldsburg</v>
      </c>
      <c r="BI106" s="24">
        <f>IFERROR(__xludf.DUMMYFUNCTION("""COMPUTED_VALUE"""),15.0)</f>
        <v>15</v>
      </c>
      <c r="BJ106" s="22" t="b">
        <f>IFERROR(__xludf.DUMMYFUNCTION("""COMPUTED_VALUE"""),FALSE)</f>
        <v>0</v>
      </c>
      <c r="BK106" s="22" t="b">
        <f>IFERROR(__xludf.DUMMYFUNCTION("""COMPUTED_VALUE"""),FALSE)</f>
        <v>0</v>
      </c>
      <c r="BL106" s="22"/>
      <c r="BM106" s="22">
        <f>IFERROR(__xludf.DUMMYFUNCTION("""COMPUTED_VALUE"""),0.0)</f>
        <v>0</v>
      </c>
      <c r="BN106" s="22">
        <f>IFERROR(__xludf.DUMMYFUNCTION("""COMPUTED_VALUE"""),1.0)</f>
        <v>1</v>
      </c>
      <c r="BO106" s="22">
        <f>IFERROR(__xludf.DUMMYFUNCTION("""COMPUTED_VALUE"""),0.0)</f>
        <v>0</v>
      </c>
      <c r="BP106" s="22">
        <f>IFERROR(__xludf.DUMMYFUNCTION("""COMPUTED_VALUE"""),0.0)</f>
        <v>0</v>
      </c>
      <c r="BQ106" s="22">
        <f>IFERROR(__xludf.DUMMYFUNCTION("""COMPUTED_VALUE"""),0.0)</f>
        <v>0</v>
      </c>
      <c r="BR106" s="22">
        <f>IFERROR(__xludf.DUMMYFUNCTION("""COMPUTED_VALUE"""),0.0)</f>
        <v>0</v>
      </c>
      <c r="BS106" s="22">
        <f>IFERROR(__xludf.DUMMYFUNCTION("""COMPUTED_VALUE"""),0.0)</f>
        <v>0</v>
      </c>
      <c r="BT106" s="22">
        <f>IFERROR(__xludf.DUMMYFUNCTION("""COMPUTED_VALUE"""),0.0)</f>
        <v>0</v>
      </c>
      <c r="BU106" s="22">
        <f>IFERROR(__xludf.DUMMYFUNCTION("""COMPUTED_VALUE"""),1.0)</f>
        <v>1</v>
      </c>
      <c r="BV106" s="22">
        <f>IFERROR(__xludf.DUMMYFUNCTION("""COMPUTED_VALUE"""),0.0)</f>
        <v>0</v>
      </c>
      <c r="BW106" s="22">
        <f>IFERROR(__xludf.DUMMYFUNCTION("""COMPUTED_VALUE"""),1.0)</f>
        <v>1</v>
      </c>
      <c r="BX106" s="22">
        <f>IFERROR(__xludf.DUMMYFUNCTION("""COMPUTED_VALUE"""),1.0)</f>
        <v>1</v>
      </c>
      <c r="BY106" s="22">
        <f>IFERROR(__xludf.DUMMYFUNCTION("""COMPUTED_VALUE"""),0.0)</f>
        <v>0</v>
      </c>
      <c r="BZ106" s="22">
        <f>IFERROR(__xludf.DUMMYFUNCTION("""COMPUTED_VALUE"""),1.0)</f>
        <v>1</v>
      </c>
      <c r="CA106" s="22">
        <f>IFERROR(__xludf.DUMMYFUNCTION("""COMPUTED_VALUE"""),3.0)</f>
        <v>3</v>
      </c>
      <c r="CB106" s="22">
        <f>IFERROR(__xludf.DUMMYFUNCTION("""COMPUTED_VALUE"""),4.0)</f>
        <v>4</v>
      </c>
      <c r="CC106" s="61">
        <f>IFERROR(__xludf.DUMMYFUNCTION("""COMPUTED_VALUE"""),2.5)</f>
        <v>2.5</v>
      </c>
      <c r="CD106" s="62" t="str">
        <f>IFERROR(__xludf.DUMMYFUNCTION("""COMPUTED_VALUE"""),"subpar")</f>
        <v>subpar</v>
      </c>
      <c r="CE106" s="22" t="s">
        <v>270</v>
      </c>
      <c r="CF106" s="24">
        <v>15.0</v>
      </c>
      <c r="CG106" s="22" t="b">
        <v>0</v>
      </c>
      <c r="CH106" s="22" t="b">
        <v>0</v>
      </c>
      <c r="CI106" s="22"/>
      <c r="CJ106" s="22">
        <v>0.0</v>
      </c>
      <c r="CK106" s="22">
        <v>1.0</v>
      </c>
      <c r="CL106" s="22">
        <v>0.0</v>
      </c>
      <c r="CM106" s="22">
        <v>0.0</v>
      </c>
      <c r="CN106" s="22">
        <v>0.0</v>
      </c>
      <c r="CO106" s="22">
        <v>0.0</v>
      </c>
      <c r="CP106" s="22">
        <v>0.0</v>
      </c>
      <c r="CQ106" s="22">
        <v>0.0</v>
      </c>
      <c r="CR106" s="22">
        <v>1.0</v>
      </c>
      <c r="CS106" s="22">
        <v>0.0</v>
      </c>
      <c r="CT106" s="22">
        <v>1.0</v>
      </c>
      <c r="CU106" s="22">
        <v>1.0</v>
      </c>
      <c r="CV106" s="22">
        <v>0.0</v>
      </c>
      <c r="CW106" s="22">
        <v>1.0</v>
      </c>
      <c r="CX106" s="22">
        <v>3.0</v>
      </c>
      <c r="CY106" s="22">
        <v>4.0</v>
      </c>
      <c r="CZ106" s="61">
        <v>2.5</v>
      </c>
      <c r="DA106" s="62" t="s">
        <v>568</v>
      </c>
    </row>
    <row r="107">
      <c r="A107" s="16" t="s">
        <v>244</v>
      </c>
      <c r="B107" s="16" t="s">
        <v>245</v>
      </c>
      <c r="C107" s="17" t="s">
        <v>38</v>
      </c>
      <c r="D107" s="16" t="s">
        <v>95</v>
      </c>
      <c r="E107" s="17" t="b">
        <f t="shared" ref="E107:K107" si="536">If(IFERROR(SEARCH(E$1, $D107),0) &gt;= 1, true,false)</f>
        <v>1</v>
      </c>
      <c r="F107" s="17" t="b">
        <f t="shared" si="536"/>
        <v>0</v>
      </c>
      <c r="G107" s="17" t="b">
        <f t="shared" si="536"/>
        <v>0</v>
      </c>
      <c r="H107" s="17" t="b">
        <f t="shared" si="536"/>
        <v>0</v>
      </c>
      <c r="I107" s="17" t="b">
        <f t="shared" si="536"/>
        <v>0</v>
      </c>
      <c r="J107" s="17" t="b">
        <f t="shared" si="536"/>
        <v>1</v>
      </c>
      <c r="K107" s="17" t="b">
        <f t="shared" si="536"/>
        <v>0</v>
      </c>
      <c r="L107" s="18" t="b">
        <v>0</v>
      </c>
      <c r="M107" s="18" t="b">
        <v>0</v>
      </c>
      <c r="N107" s="18" t="b">
        <v>0</v>
      </c>
      <c r="O107" s="18" t="b">
        <v>0</v>
      </c>
      <c r="P107" s="16" t="str">
        <f t="shared" si="7"/>
        <v>Museum den AST</v>
      </c>
      <c r="Q107" s="19">
        <v>5.0</v>
      </c>
      <c r="R107" s="18" t="b">
        <v>0</v>
      </c>
      <c r="S107" s="18" t="b">
        <v>1</v>
      </c>
      <c r="T107" s="31">
        <v>5.0</v>
      </c>
      <c r="U107" s="21">
        <f t="shared" si="8"/>
        <v>0</v>
      </c>
      <c r="V107" s="21">
        <f t="shared" ref="V107:AB107" si="537">if(OR(AW107 = $AO$4, AW107 = $AQ$4), 1, 0)</f>
        <v>1</v>
      </c>
      <c r="W107" s="21">
        <f t="shared" si="537"/>
        <v>0</v>
      </c>
      <c r="X107" s="21">
        <f t="shared" si="537"/>
        <v>0</v>
      </c>
      <c r="Y107" s="21">
        <f t="shared" si="537"/>
        <v>0</v>
      </c>
      <c r="Z107" s="21">
        <f t="shared" si="537"/>
        <v>0</v>
      </c>
      <c r="AA107" s="21">
        <f t="shared" si="537"/>
        <v>1</v>
      </c>
      <c r="AB107" s="21">
        <f t="shared" si="537"/>
        <v>0</v>
      </c>
      <c r="AC107" s="21">
        <f t="shared" si="10"/>
        <v>2</v>
      </c>
      <c r="AD107" s="21">
        <f t="shared" si="11"/>
        <v>1</v>
      </c>
      <c r="AE107" s="21">
        <f t="shared" ref="AE107:AH107" si="538">if(OR(BD107 = $AO$6, BD107 = $AS$6, BD107 = $AT$6, BD107 = $AU$6), 1, 0)</f>
        <v>0</v>
      </c>
      <c r="AF107" s="21">
        <f t="shared" si="538"/>
        <v>0</v>
      </c>
      <c r="AG107" s="21">
        <f t="shared" si="538"/>
        <v>0</v>
      </c>
      <c r="AH107" s="21">
        <f t="shared" si="538"/>
        <v>0</v>
      </c>
      <c r="AI107" s="21">
        <f t="shared" si="13"/>
        <v>0</v>
      </c>
      <c r="AJ107" s="21">
        <f t="shared" si="14"/>
        <v>3</v>
      </c>
      <c r="AK107" s="59">
        <f t="shared" si="15"/>
        <v>1.875</v>
      </c>
      <c r="AL107" s="60" t="str">
        <f t="shared" si="16"/>
        <v>subpar</v>
      </c>
      <c r="AW107" s="22" t="str">
        <f t="shared" ref="AW107:BC107" si="539">IF(IFERROR(SEARCH(E$1, $D107),0) &gt;= 1, E$1,0)</f>
        <v>Geschiedenis en archeologie</v>
      </c>
      <c r="AX107" s="22">
        <f t="shared" si="539"/>
        <v>0</v>
      </c>
      <c r="AY107" s="22">
        <f t="shared" si="539"/>
        <v>0</v>
      </c>
      <c r="AZ107" s="22">
        <f t="shared" si="539"/>
        <v>0</v>
      </c>
      <c r="BA107" s="22">
        <f t="shared" si="539"/>
        <v>0</v>
      </c>
      <c r="BB107" s="22" t="str">
        <f t="shared" si="539"/>
        <v>Beeldende kunst</v>
      </c>
      <c r="BC107" s="22">
        <f t="shared" si="539"/>
        <v>0</v>
      </c>
      <c r="BD107" s="22">
        <f t="shared" ref="BD107:BG107" si="540">IF(L107 = true, BD$1, 0)</f>
        <v>0</v>
      </c>
      <c r="BE107" s="22">
        <f t="shared" si="540"/>
        <v>0</v>
      </c>
      <c r="BF107" s="22">
        <f t="shared" si="540"/>
        <v>0</v>
      </c>
      <c r="BG107" s="22">
        <f t="shared" si="540"/>
        <v>0</v>
      </c>
      <c r="BH107" s="22" t="str">
        <f>IFERROR(__xludf.DUMMYFUNCTION("""COMPUTED_VALUE"""),"Z33 | Huis voor Actuele Kunst, Design &amp; Architectuur")</f>
        <v>Z33 | Huis voor Actuele Kunst, Design &amp; Architectuur</v>
      </c>
      <c r="BI107" s="24">
        <f>IFERROR(__xludf.DUMMYFUNCTION("""COMPUTED_VALUE"""),12.0)</f>
        <v>12</v>
      </c>
      <c r="BJ107" s="22" t="b">
        <f>IFERROR(__xludf.DUMMYFUNCTION("""COMPUTED_VALUE"""),FALSE)</f>
        <v>0</v>
      </c>
      <c r="BK107" s="22" t="b">
        <f>IFERROR(__xludf.DUMMYFUNCTION("""COMPUTED_VALUE"""),TRUE)</f>
        <v>1</v>
      </c>
      <c r="BL107" s="24">
        <f>IFERROR(__xludf.DUMMYFUNCTION("""COMPUTED_VALUE"""),12.0)</f>
        <v>12</v>
      </c>
      <c r="BM107" s="22">
        <f>IFERROR(__xludf.DUMMYFUNCTION("""COMPUTED_VALUE"""),0.0)</f>
        <v>0</v>
      </c>
      <c r="BN107" s="22">
        <f>IFERROR(__xludf.DUMMYFUNCTION("""COMPUTED_VALUE"""),0.0)</f>
        <v>0</v>
      </c>
      <c r="BO107" s="22">
        <f>IFERROR(__xludf.DUMMYFUNCTION("""COMPUTED_VALUE"""),0.0)</f>
        <v>0</v>
      </c>
      <c r="BP107" s="22">
        <f>IFERROR(__xludf.DUMMYFUNCTION("""COMPUTED_VALUE"""),0.0)</f>
        <v>0</v>
      </c>
      <c r="BQ107" s="22">
        <f>IFERROR(__xludf.DUMMYFUNCTION("""COMPUTED_VALUE"""),0.0)</f>
        <v>0</v>
      </c>
      <c r="BR107" s="22">
        <f>IFERROR(__xludf.DUMMYFUNCTION("""COMPUTED_VALUE"""),0.0)</f>
        <v>0</v>
      </c>
      <c r="BS107" s="22">
        <f>IFERROR(__xludf.DUMMYFUNCTION("""COMPUTED_VALUE"""),1.0)</f>
        <v>1</v>
      </c>
      <c r="BT107" s="22">
        <f>IFERROR(__xludf.DUMMYFUNCTION("""COMPUTED_VALUE"""),0.0)</f>
        <v>0</v>
      </c>
      <c r="BU107" s="22">
        <f>IFERROR(__xludf.DUMMYFUNCTION("""COMPUTED_VALUE"""),1.0)</f>
        <v>1</v>
      </c>
      <c r="BV107" s="22">
        <f>IFERROR(__xludf.DUMMYFUNCTION("""COMPUTED_VALUE"""),0.0)</f>
        <v>0</v>
      </c>
      <c r="BW107" s="22">
        <f>IFERROR(__xludf.DUMMYFUNCTION("""COMPUTED_VALUE"""),1.0)</f>
        <v>1</v>
      </c>
      <c r="BX107" s="22">
        <f>IFERROR(__xludf.DUMMYFUNCTION("""COMPUTED_VALUE"""),0.0)</f>
        <v>0</v>
      </c>
      <c r="BY107" s="22">
        <f>IFERROR(__xludf.DUMMYFUNCTION("""COMPUTED_VALUE"""),1.0)</f>
        <v>1</v>
      </c>
      <c r="BZ107" s="22">
        <f>IFERROR(__xludf.DUMMYFUNCTION("""COMPUTED_VALUE"""),1.0)</f>
        <v>1</v>
      </c>
      <c r="CA107" s="22">
        <f>IFERROR(__xludf.DUMMYFUNCTION("""COMPUTED_VALUE"""),3.0)</f>
        <v>3</v>
      </c>
      <c r="CB107" s="22">
        <f>IFERROR(__xludf.DUMMYFUNCTION("""COMPUTED_VALUE"""),4.0)</f>
        <v>4</v>
      </c>
      <c r="CC107" s="61">
        <f>IFERROR(__xludf.DUMMYFUNCTION("""COMPUTED_VALUE"""),2.5)</f>
        <v>2.5</v>
      </c>
      <c r="CD107" s="62" t="str">
        <f>IFERROR(__xludf.DUMMYFUNCTION("""COMPUTED_VALUE"""),"subpar")</f>
        <v>subpar</v>
      </c>
      <c r="CE107" s="22" t="s">
        <v>279</v>
      </c>
      <c r="CF107" s="24">
        <v>12.0</v>
      </c>
      <c r="CG107" s="22" t="b">
        <v>0</v>
      </c>
      <c r="CH107" s="22" t="b">
        <v>1</v>
      </c>
      <c r="CI107" s="24">
        <v>12.0</v>
      </c>
      <c r="CJ107" s="22">
        <v>0.0</v>
      </c>
      <c r="CK107" s="22">
        <v>0.0</v>
      </c>
      <c r="CL107" s="22">
        <v>0.0</v>
      </c>
      <c r="CM107" s="22">
        <v>0.0</v>
      </c>
      <c r="CN107" s="22">
        <v>0.0</v>
      </c>
      <c r="CO107" s="22">
        <v>0.0</v>
      </c>
      <c r="CP107" s="22">
        <v>1.0</v>
      </c>
      <c r="CQ107" s="22">
        <v>0.0</v>
      </c>
      <c r="CR107" s="22">
        <v>1.0</v>
      </c>
      <c r="CS107" s="22">
        <v>0.0</v>
      </c>
      <c r="CT107" s="22">
        <v>1.0</v>
      </c>
      <c r="CU107" s="22">
        <v>0.0</v>
      </c>
      <c r="CV107" s="22">
        <v>1.0</v>
      </c>
      <c r="CW107" s="22">
        <v>1.0</v>
      </c>
      <c r="CX107" s="22">
        <v>3.0</v>
      </c>
      <c r="CY107" s="22">
        <v>4.0</v>
      </c>
      <c r="CZ107" s="61">
        <v>2.5</v>
      </c>
      <c r="DA107" s="62" t="s">
        <v>568</v>
      </c>
    </row>
    <row r="108">
      <c r="A108" s="16" t="s">
        <v>246</v>
      </c>
      <c r="B108" s="16" t="s">
        <v>247</v>
      </c>
      <c r="C108" s="17" t="s">
        <v>38</v>
      </c>
      <c r="D108" s="16" t="s">
        <v>248</v>
      </c>
      <c r="E108" s="17" t="b">
        <f t="shared" ref="E108:K108" si="541">If(IFERROR(SEARCH(E$1, $D108),0) &gt;= 1, true,false)</f>
        <v>1</v>
      </c>
      <c r="F108" s="17" t="b">
        <f t="shared" si="541"/>
        <v>0</v>
      </c>
      <c r="G108" s="17" t="b">
        <f t="shared" si="541"/>
        <v>0</v>
      </c>
      <c r="H108" s="17" t="b">
        <f t="shared" si="541"/>
        <v>1</v>
      </c>
      <c r="I108" s="17" t="b">
        <f t="shared" si="541"/>
        <v>1</v>
      </c>
      <c r="J108" s="17" t="b">
        <f t="shared" si="541"/>
        <v>1</v>
      </c>
      <c r="K108" s="17" t="b">
        <f t="shared" si="541"/>
        <v>1</v>
      </c>
      <c r="L108" s="18" t="b">
        <v>1</v>
      </c>
      <c r="M108" s="18" t="b">
        <v>1</v>
      </c>
      <c r="N108" s="18" t="b">
        <v>1</v>
      </c>
      <c r="O108" s="18" t="b">
        <v>1</v>
      </c>
      <c r="P108" s="16" t="str">
        <f t="shared" si="7"/>
        <v>Museum PARCUM, Abdij van Park Leuven</v>
      </c>
      <c r="Q108" s="19">
        <v>12.0</v>
      </c>
      <c r="R108" s="18" t="b">
        <v>0</v>
      </c>
      <c r="S108" s="18" t="b">
        <v>1</v>
      </c>
      <c r="T108" s="31">
        <v>12.0</v>
      </c>
      <c r="U108" s="21">
        <f t="shared" si="8"/>
        <v>0</v>
      </c>
      <c r="V108" s="21">
        <f t="shared" ref="V108:AB108" si="542">if(OR(AW108 = $AO$4, AW108 = $AQ$4), 1, 0)</f>
        <v>1</v>
      </c>
      <c r="W108" s="21">
        <f t="shared" si="542"/>
        <v>0</v>
      </c>
      <c r="X108" s="21">
        <f t="shared" si="542"/>
        <v>0</v>
      </c>
      <c r="Y108" s="21">
        <f t="shared" si="542"/>
        <v>0</v>
      </c>
      <c r="Z108" s="21">
        <f t="shared" si="542"/>
        <v>0</v>
      </c>
      <c r="AA108" s="21">
        <f t="shared" si="542"/>
        <v>1</v>
      </c>
      <c r="AB108" s="21">
        <f t="shared" si="542"/>
        <v>0</v>
      </c>
      <c r="AC108" s="21">
        <f t="shared" si="10"/>
        <v>2</v>
      </c>
      <c r="AD108" s="21">
        <f t="shared" si="11"/>
        <v>0</v>
      </c>
      <c r="AE108" s="21">
        <f t="shared" ref="AE108:AH108" si="543">if(OR(BD108 = $AO$6, BD108 = $AS$6, BD108 = $AT$6, BD108 = $AU$6), 1, 0)</f>
        <v>1</v>
      </c>
      <c r="AF108" s="21">
        <f t="shared" si="543"/>
        <v>1</v>
      </c>
      <c r="AG108" s="21">
        <f t="shared" si="543"/>
        <v>1</v>
      </c>
      <c r="AH108" s="21">
        <f t="shared" si="543"/>
        <v>1</v>
      </c>
      <c r="AI108" s="21">
        <f t="shared" si="13"/>
        <v>4</v>
      </c>
      <c r="AJ108" s="21">
        <f t="shared" si="14"/>
        <v>6</v>
      </c>
      <c r="AK108" s="59">
        <f t="shared" si="15"/>
        <v>3.75</v>
      </c>
      <c r="AL108" s="60" t="str">
        <f t="shared" si="16"/>
        <v>good</v>
      </c>
      <c r="AW108" s="22" t="str">
        <f t="shared" ref="AW108:BC108" si="544">IF(IFERROR(SEARCH(E$1, $D108),0) &gt;= 1, E$1,0)</f>
        <v>Geschiedenis en archeologie</v>
      </c>
      <c r="AX108" s="22">
        <f t="shared" si="544"/>
        <v>0</v>
      </c>
      <c r="AY108" s="22">
        <f t="shared" si="544"/>
        <v>0</v>
      </c>
      <c r="AZ108" s="22" t="str">
        <f t="shared" si="544"/>
        <v>Literatuur</v>
      </c>
      <c r="BA108" s="22" t="str">
        <f t="shared" si="544"/>
        <v>Architectuur</v>
      </c>
      <c r="BB108" s="22" t="str">
        <f t="shared" si="544"/>
        <v>Beeldende kunst</v>
      </c>
      <c r="BC108" s="22" t="str">
        <f t="shared" si="544"/>
        <v>Toegepaste kunst en design</v>
      </c>
      <c r="BD108" s="22" t="str">
        <f t="shared" ref="BD108:BG108" si="545">IF(L108 = true, BD$1, 0)</f>
        <v>Shop</v>
      </c>
      <c r="BE108" s="22" t="str">
        <f t="shared" si="545"/>
        <v>Café</v>
      </c>
      <c r="BF108" s="22" t="str">
        <f t="shared" si="545"/>
        <v>Parking</v>
      </c>
      <c r="BG108" s="22" t="str">
        <f t="shared" si="545"/>
        <v>Restaurant</v>
      </c>
      <c r="BH108" s="22" t="str">
        <f>IFERROR(__xludf.DUMMYFUNCTION("""COMPUTED_VALUE"""),"Aquarium-Museum van Luik")</f>
        <v>Aquarium-Museum van Luik</v>
      </c>
      <c r="BI108" s="24">
        <f>IFERROR(__xludf.DUMMYFUNCTION("""COMPUTED_VALUE"""),7.5)</f>
        <v>7.5</v>
      </c>
      <c r="BJ108" s="22" t="b">
        <f>IFERROR(__xludf.DUMMYFUNCTION("""COMPUTED_VALUE"""),TRUE)</f>
        <v>1</v>
      </c>
      <c r="BK108" s="22" t="b">
        <f>IFERROR(__xludf.DUMMYFUNCTION("""COMPUTED_VALUE"""),FALSE)</f>
        <v>0</v>
      </c>
      <c r="BL108" s="22"/>
      <c r="BM108" s="22">
        <f>IFERROR(__xludf.DUMMYFUNCTION("""COMPUTED_VALUE"""),0.0)</f>
        <v>0</v>
      </c>
      <c r="BN108" s="22">
        <f>IFERROR(__xludf.DUMMYFUNCTION("""COMPUTED_VALUE"""),0.0)</f>
        <v>0</v>
      </c>
      <c r="BO108" s="22">
        <f>IFERROR(__xludf.DUMMYFUNCTION("""COMPUTED_VALUE"""),0.0)</f>
        <v>0</v>
      </c>
      <c r="BP108" s="22">
        <f>IFERROR(__xludf.DUMMYFUNCTION("""COMPUTED_VALUE"""),0.0)</f>
        <v>0</v>
      </c>
      <c r="BQ108" s="22">
        <f>IFERROR(__xludf.DUMMYFUNCTION("""COMPUTED_VALUE"""),0.0)</f>
        <v>0</v>
      </c>
      <c r="BR108" s="22">
        <f>IFERROR(__xludf.DUMMYFUNCTION("""COMPUTED_VALUE"""),0.0)</f>
        <v>0</v>
      </c>
      <c r="BS108" s="22">
        <f>IFERROR(__xludf.DUMMYFUNCTION("""COMPUTED_VALUE"""),0.0)</f>
        <v>0</v>
      </c>
      <c r="BT108" s="22">
        <f>IFERROR(__xludf.DUMMYFUNCTION("""COMPUTED_VALUE"""),0.0)</f>
        <v>0</v>
      </c>
      <c r="BU108" s="22">
        <f>IFERROR(__xludf.DUMMYFUNCTION("""COMPUTED_VALUE"""),0.0)</f>
        <v>0</v>
      </c>
      <c r="BV108" s="22">
        <f>IFERROR(__xludf.DUMMYFUNCTION("""COMPUTED_VALUE"""),1.0)</f>
        <v>1</v>
      </c>
      <c r="BW108" s="22">
        <f>IFERROR(__xludf.DUMMYFUNCTION("""COMPUTED_VALUE"""),1.0)</f>
        <v>1</v>
      </c>
      <c r="BX108" s="22">
        <f>IFERROR(__xludf.DUMMYFUNCTION("""COMPUTED_VALUE"""),1.0)</f>
        <v>1</v>
      </c>
      <c r="BY108" s="22">
        <f>IFERROR(__xludf.DUMMYFUNCTION("""COMPUTED_VALUE"""),1.0)</f>
        <v>1</v>
      </c>
      <c r="BZ108" s="22">
        <f>IFERROR(__xludf.DUMMYFUNCTION("""COMPUTED_VALUE"""),0.0)</f>
        <v>0</v>
      </c>
      <c r="CA108" s="22">
        <f>IFERROR(__xludf.DUMMYFUNCTION("""COMPUTED_VALUE"""),3.0)</f>
        <v>3</v>
      </c>
      <c r="CB108" s="22">
        <f>IFERROR(__xludf.DUMMYFUNCTION("""COMPUTED_VALUE"""),4.0)</f>
        <v>4</v>
      </c>
      <c r="CC108" s="61">
        <f>IFERROR(__xludf.DUMMYFUNCTION("""COMPUTED_VALUE"""),2.5)</f>
        <v>2.5</v>
      </c>
      <c r="CD108" s="62" t="str">
        <f>IFERROR(__xludf.DUMMYFUNCTION("""COMPUTED_VALUE"""),"subpar")</f>
        <v>subpar</v>
      </c>
      <c r="CE108" s="22" t="s">
        <v>284</v>
      </c>
      <c r="CF108" s="24">
        <v>7.5</v>
      </c>
      <c r="CG108" s="22" t="b">
        <v>1</v>
      </c>
      <c r="CH108" s="22" t="b">
        <v>0</v>
      </c>
      <c r="CI108" s="22"/>
      <c r="CJ108" s="22">
        <v>0.0</v>
      </c>
      <c r="CK108" s="22">
        <v>0.0</v>
      </c>
      <c r="CL108" s="22">
        <v>0.0</v>
      </c>
      <c r="CM108" s="22">
        <v>0.0</v>
      </c>
      <c r="CN108" s="22">
        <v>0.0</v>
      </c>
      <c r="CO108" s="22">
        <v>0.0</v>
      </c>
      <c r="CP108" s="22">
        <v>0.0</v>
      </c>
      <c r="CQ108" s="22">
        <v>0.0</v>
      </c>
      <c r="CR108" s="22">
        <v>0.0</v>
      </c>
      <c r="CS108" s="22">
        <v>1.0</v>
      </c>
      <c r="CT108" s="22">
        <v>1.0</v>
      </c>
      <c r="CU108" s="22">
        <v>1.0</v>
      </c>
      <c r="CV108" s="22">
        <v>1.0</v>
      </c>
      <c r="CW108" s="22">
        <v>0.0</v>
      </c>
      <c r="CX108" s="22">
        <v>3.0</v>
      </c>
      <c r="CY108" s="22">
        <v>4.0</v>
      </c>
      <c r="CZ108" s="61">
        <v>2.5</v>
      </c>
      <c r="DA108" s="62" t="s">
        <v>568</v>
      </c>
    </row>
    <row r="109">
      <c r="A109" s="16" t="s">
        <v>249</v>
      </c>
      <c r="B109" s="16" t="s">
        <v>250</v>
      </c>
      <c r="C109" s="17" t="s">
        <v>38</v>
      </c>
      <c r="D109" s="16" t="s">
        <v>5</v>
      </c>
      <c r="E109" s="17" t="b">
        <f t="shared" ref="E109:K109" si="546">If(IFERROR(SEARCH(E$1, $D109),0) &gt;= 1, true,false)</f>
        <v>0</v>
      </c>
      <c r="F109" s="17" t="b">
        <f t="shared" si="546"/>
        <v>1</v>
      </c>
      <c r="G109" s="17" t="b">
        <f t="shared" si="546"/>
        <v>0</v>
      </c>
      <c r="H109" s="17" t="b">
        <f t="shared" si="546"/>
        <v>0</v>
      </c>
      <c r="I109" s="17" t="b">
        <f t="shared" si="546"/>
        <v>0</v>
      </c>
      <c r="J109" s="17" t="b">
        <f t="shared" si="546"/>
        <v>0</v>
      </c>
      <c r="K109" s="17" t="b">
        <f t="shared" si="546"/>
        <v>0</v>
      </c>
      <c r="L109" s="18" t="b">
        <v>1</v>
      </c>
      <c r="M109" s="18" t="b">
        <v>0</v>
      </c>
      <c r="N109" s="18" t="b">
        <v>1</v>
      </c>
      <c r="O109" s="18" t="b">
        <v>1</v>
      </c>
      <c r="P109" s="16" t="str">
        <f t="shared" si="7"/>
        <v>Plantentuin Meise</v>
      </c>
      <c r="Q109" s="19">
        <v>15.0</v>
      </c>
      <c r="R109" s="18" t="b">
        <v>0</v>
      </c>
      <c r="S109" s="18" t="b">
        <v>0</v>
      </c>
      <c r="T109" s="16"/>
      <c r="U109" s="21">
        <f t="shared" si="8"/>
        <v>0</v>
      </c>
      <c r="V109" s="21">
        <f t="shared" ref="V109:AB109" si="547">if(OR(AW109 = $AO$4, AW109 = $AQ$4), 1, 0)</f>
        <v>0</v>
      </c>
      <c r="W109" s="21">
        <f t="shared" si="547"/>
        <v>0</v>
      </c>
      <c r="X109" s="21">
        <f t="shared" si="547"/>
        <v>0</v>
      </c>
      <c r="Y109" s="21">
        <f t="shared" si="547"/>
        <v>0</v>
      </c>
      <c r="Z109" s="21">
        <f t="shared" si="547"/>
        <v>0</v>
      </c>
      <c r="AA109" s="21">
        <f t="shared" si="547"/>
        <v>0</v>
      </c>
      <c r="AB109" s="21">
        <f t="shared" si="547"/>
        <v>0</v>
      </c>
      <c r="AC109" s="21">
        <f t="shared" si="10"/>
        <v>0</v>
      </c>
      <c r="AD109" s="21">
        <f t="shared" si="11"/>
        <v>0</v>
      </c>
      <c r="AE109" s="21">
        <f t="shared" ref="AE109:AH109" si="548">if(OR(BD109 = $AO$6, BD109 = $AS$6, BD109 = $AT$6, BD109 = $AU$6), 1, 0)</f>
        <v>1</v>
      </c>
      <c r="AF109" s="21">
        <f t="shared" si="548"/>
        <v>0</v>
      </c>
      <c r="AG109" s="21">
        <f t="shared" si="548"/>
        <v>1</v>
      </c>
      <c r="AH109" s="21">
        <f t="shared" si="548"/>
        <v>1</v>
      </c>
      <c r="AI109" s="21">
        <f t="shared" si="13"/>
        <v>3</v>
      </c>
      <c r="AJ109" s="21">
        <f t="shared" si="14"/>
        <v>3</v>
      </c>
      <c r="AK109" s="59">
        <f t="shared" si="15"/>
        <v>1.875</v>
      </c>
      <c r="AL109" s="60" t="str">
        <f t="shared" si="16"/>
        <v>subpar</v>
      </c>
      <c r="AW109" s="22">
        <f t="shared" ref="AW109:BC109" si="549">IF(IFERROR(SEARCH(E$1, $D109),0) &gt;= 1, E$1,0)</f>
        <v>0</v>
      </c>
      <c r="AX109" s="22" t="str">
        <f t="shared" si="549"/>
        <v>Wetenschap en technologie</v>
      </c>
      <c r="AY109" s="22">
        <f t="shared" si="549"/>
        <v>0</v>
      </c>
      <c r="AZ109" s="22">
        <f t="shared" si="549"/>
        <v>0</v>
      </c>
      <c r="BA109" s="22">
        <f t="shared" si="549"/>
        <v>0</v>
      </c>
      <c r="BB109" s="22">
        <f t="shared" si="549"/>
        <v>0</v>
      </c>
      <c r="BC109" s="22">
        <f t="shared" si="549"/>
        <v>0</v>
      </c>
      <c r="BD109" s="22" t="str">
        <f t="shared" ref="BD109:BG109" si="550">IF(L109 = true, BD$1, 0)</f>
        <v>Shop</v>
      </c>
      <c r="BE109" s="22">
        <f t="shared" si="550"/>
        <v>0</v>
      </c>
      <c r="BF109" s="22" t="str">
        <f t="shared" si="550"/>
        <v>Parking</v>
      </c>
      <c r="BG109" s="22" t="str">
        <f t="shared" si="550"/>
        <v>Restaurant</v>
      </c>
      <c r="BH109" s="22" t="str">
        <f>IFERROR(__xludf.DUMMYFUNCTION("""COMPUTED_VALUE"""),"Museum van de wastechniek")</f>
        <v>Museum van de wastechniek</v>
      </c>
      <c r="BI109" s="24">
        <f>IFERROR(__xludf.DUMMYFUNCTION("""COMPUTED_VALUE"""),4.0)</f>
        <v>4</v>
      </c>
      <c r="BJ109" s="22" t="b">
        <f>IFERROR(__xludf.DUMMYFUNCTION("""COMPUTED_VALUE"""),FALSE)</f>
        <v>0</v>
      </c>
      <c r="BK109" s="22" t="b">
        <f>IFERROR(__xludf.DUMMYFUNCTION("""COMPUTED_VALUE"""),FALSE)</f>
        <v>0</v>
      </c>
      <c r="BL109" s="22"/>
      <c r="BM109" s="22">
        <f>IFERROR(__xludf.DUMMYFUNCTION("""COMPUTED_VALUE"""),0.0)</f>
        <v>0</v>
      </c>
      <c r="BN109" s="22">
        <f>IFERROR(__xludf.DUMMYFUNCTION("""COMPUTED_VALUE"""),1.0)</f>
        <v>1</v>
      </c>
      <c r="BO109" s="22">
        <f>IFERROR(__xludf.DUMMYFUNCTION("""COMPUTED_VALUE"""),0.0)</f>
        <v>0</v>
      </c>
      <c r="BP109" s="22">
        <f>IFERROR(__xludf.DUMMYFUNCTION("""COMPUTED_VALUE"""),0.0)</f>
        <v>0</v>
      </c>
      <c r="BQ109" s="22">
        <f>IFERROR(__xludf.DUMMYFUNCTION("""COMPUTED_VALUE"""),0.0)</f>
        <v>0</v>
      </c>
      <c r="BR109" s="22">
        <f>IFERROR(__xludf.DUMMYFUNCTION("""COMPUTED_VALUE"""),0.0)</f>
        <v>0</v>
      </c>
      <c r="BS109" s="22">
        <f>IFERROR(__xludf.DUMMYFUNCTION("""COMPUTED_VALUE"""),0.0)</f>
        <v>0</v>
      </c>
      <c r="BT109" s="22">
        <f>IFERROR(__xludf.DUMMYFUNCTION("""COMPUTED_VALUE"""),0.0)</f>
        <v>0</v>
      </c>
      <c r="BU109" s="22">
        <f>IFERROR(__xludf.DUMMYFUNCTION("""COMPUTED_VALUE"""),1.0)</f>
        <v>1</v>
      </c>
      <c r="BV109" s="22">
        <f>IFERROR(__xludf.DUMMYFUNCTION("""COMPUTED_VALUE"""),1.0)</f>
        <v>1</v>
      </c>
      <c r="BW109" s="22">
        <f>IFERROR(__xludf.DUMMYFUNCTION("""COMPUTED_VALUE"""),1.0)</f>
        <v>1</v>
      </c>
      <c r="BX109" s="22">
        <f>IFERROR(__xludf.DUMMYFUNCTION("""COMPUTED_VALUE"""),1.0)</f>
        <v>1</v>
      </c>
      <c r="BY109" s="22">
        <f>IFERROR(__xludf.DUMMYFUNCTION("""COMPUTED_VALUE"""),0.0)</f>
        <v>0</v>
      </c>
      <c r="BZ109" s="22">
        <f>IFERROR(__xludf.DUMMYFUNCTION("""COMPUTED_VALUE"""),0.0)</f>
        <v>0</v>
      </c>
      <c r="CA109" s="22">
        <f>IFERROR(__xludf.DUMMYFUNCTION("""COMPUTED_VALUE"""),2.0)</f>
        <v>2</v>
      </c>
      <c r="CB109" s="22">
        <f>IFERROR(__xludf.DUMMYFUNCTION("""COMPUTED_VALUE"""),4.0)</f>
        <v>4</v>
      </c>
      <c r="CC109" s="61">
        <f>IFERROR(__xludf.DUMMYFUNCTION("""COMPUTED_VALUE"""),2.5)</f>
        <v>2.5</v>
      </c>
      <c r="CD109" s="62" t="str">
        <f>IFERROR(__xludf.DUMMYFUNCTION("""COMPUTED_VALUE"""),"subpar")</f>
        <v>subpar</v>
      </c>
      <c r="CE109" s="22" t="s">
        <v>295</v>
      </c>
      <c r="CF109" s="24">
        <v>4.0</v>
      </c>
      <c r="CG109" s="22" t="b">
        <v>0</v>
      </c>
      <c r="CH109" s="22" t="b">
        <v>0</v>
      </c>
      <c r="CI109" s="22"/>
      <c r="CJ109" s="22">
        <v>0.0</v>
      </c>
      <c r="CK109" s="22">
        <v>1.0</v>
      </c>
      <c r="CL109" s="22">
        <v>0.0</v>
      </c>
      <c r="CM109" s="22">
        <v>0.0</v>
      </c>
      <c r="CN109" s="22">
        <v>0.0</v>
      </c>
      <c r="CO109" s="22">
        <v>0.0</v>
      </c>
      <c r="CP109" s="22">
        <v>0.0</v>
      </c>
      <c r="CQ109" s="22">
        <v>0.0</v>
      </c>
      <c r="CR109" s="22">
        <v>1.0</v>
      </c>
      <c r="CS109" s="22">
        <v>1.0</v>
      </c>
      <c r="CT109" s="22">
        <v>1.0</v>
      </c>
      <c r="CU109" s="22">
        <v>1.0</v>
      </c>
      <c r="CV109" s="22">
        <v>0.0</v>
      </c>
      <c r="CW109" s="22">
        <v>0.0</v>
      </c>
      <c r="CX109" s="22">
        <v>2.0</v>
      </c>
      <c r="CY109" s="22">
        <v>4.0</v>
      </c>
      <c r="CZ109" s="61">
        <v>2.5</v>
      </c>
      <c r="DA109" s="62" t="s">
        <v>568</v>
      </c>
    </row>
    <row r="110">
      <c r="A110" s="16" t="s">
        <v>251</v>
      </c>
      <c r="B110" s="16" t="s">
        <v>252</v>
      </c>
      <c r="C110" s="17" t="s">
        <v>38</v>
      </c>
      <c r="D110" s="36" t="s">
        <v>253</v>
      </c>
      <c r="E110" s="17" t="b">
        <f t="shared" ref="E110:K110" si="551">If(IFERROR(SEARCH(E$1, $D110),0) &gt;= 1, true,false)</f>
        <v>0</v>
      </c>
      <c r="F110" s="17" t="b">
        <f t="shared" si="551"/>
        <v>0</v>
      </c>
      <c r="G110" s="17" t="b">
        <f t="shared" si="551"/>
        <v>0</v>
      </c>
      <c r="H110" s="17" t="b">
        <f t="shared" si="551"/>
        <v>0</v>
      </c>
      <c r="I110" s="17" t="b">
        <f t="shared" si="551"/>
        <v>0</v>
      </c>
      <c r="J110" s="17" t="b">
        <f t="shared" si="551"/>
        <v>0</v>
      </c>
      <c r="K110" s="17" t="b">
        <f t="shared" si="551"/>
        <v>0</v>
      </c>
      <c r="L110" s="18" t="b">
        <v>0</v>
      </c>
      <c r="M110" s="18" t="b">
        <v>0</v>
      </c>
      <c r="N110" s="18" t="b">
        <v>0</v>
      </c>
      <c r="O110" s="18" t="b">
        <v>0</v>
      </c>
      <c r="P110" s="16" t="str">
        <f t="shared" si="7"/>
        <v>Universiteitsbibliotheek KU Leuven</v>
      </c>
      <c r="Q110" s="19">
        <v>0.0</v>
      </c>
      <c r="R110" s="18" t="b">
        <v>0</v>
      </c>
      <c r="S110" s="18" t="b">
        <v>0</v>
      </c>
      <c r="T110" s="16"/>
      <c r="U110" s="21">
        <f t="shared" si="8"/>
        <v>0</v>
      </c>
      <c r="V110" s="21">
        <f t="shared" ref="V110:AB110" si="552">if(OR(AW110 = $AO$4, AW110 = $AQ$4), 1, 0)</f>
        <v>0</v>
      </c>
      <c r="W110" s="21">
        <f t="shared" si="552"/>
        <v>0</v>
      </c>
      <c r="X110" s="21">
        <f t="shared" si="552"/>
        <v>0</v>
      </c>
      <c r="Y110" s="21">
        <f t="shared" si="552"/>
        <v>0</v>
      </c>
      <c r="Z110" s="21">
        <f t="shared" si="552"/>
        <v>0</v>
      </c>
      <c r="AA110" s="21">
        <f t="shared" si="552"/>
        <v>0</v>
      </c>
      <c r="AB110" s="21">
        <f t="shared" si="552"/>
        <v>0</v>
      </c>
      <c r="AC110" s="21">
        <f t="shared" si="10"/>
        <v>0</v>
      </c>
      <c r="AD110" s="21">
        <f t="shared" si="11"/>
        <v>1</v>
      </c>
      <c r="AE110" s="21">
        <f t="shared" ref="AE110:AH110" si="553">if(OR(BD110 = $AO$6, BD110 = $AS$6, BD110 = $AT$6, BD110 = $AU$6), 1, 0)</f>
        <v>0</v>
      </c>
      <c r="AF110" s="21">
        <f t="shared" si="553"/>
        <v>0</v>
      </c>
      <c r="AG110" s="21">
        <f t="shared" si="553"/>
        <v>0</v>
      </c>
      <c r="AH110" s="21">
        <f t="shared" si="553"/>
        <v>0</v>
      </c>
      <c r="AI110" s="21">
        <f t="shared" si="13"/>
        <v>0</v>
      </c>
      <c r="AJ110" s="21">
        <f t="shared" si="14"/>
        <v>1</v>
      </c>
      <c r="AK110" s="59">
        <f t="shared" si="15"/>
        <v>0.625</v>
      </c>
      <c r="AL110" s="60" t="str">
        <f t="shared" si="16"/>
        <v>no match</v>
      </c>
      <c r="AW110" s="22">
        <f t="shared" ref="AW110:BC110" si="554">IF(IFERROR(SEARCH(E$1, $D110),0) &gt;= 1, E$1,0)</f>
        <v>0</v>
      </c>
      <c r="AX110" s="22">
        <f t="shared" si="554"/>
        <v>0</v>
      </c>
      <c r="AY110" s="22">
        <f t="shared" si="554"/>
        <v>0</v>
      </c>
      <c r="AZ110" s="22">
        <f t="shared" si="554"/>
        <v>0</v>
      </c>
      <c r="BA110" s="22">
        <f t="shared" si="554"/>
        <v>0</v>
      </c>
      <c r="BB110" s="22">
        <f t="shared" si="554"/>
        <v>0</v>
      </c>
      <c r="BC110" s="22">
        <f t="shared" si="554"/>
        <v>0</v>
      </c>
      <c r="BD110" s="22">
        <f t="shared" ref="BD110:BG110" si="555">IF(L110 = true, BD$1, 0)</f>
        <v>0</v>
      </c>
      <c r="BE110" s="22">
        <f t="shared" si="555"/>
        <v>0</v>
      </c>
      <c r="BF110" s="22">
        <f t="shared" si="555"/>
        <v>0</v>
      </c>
      <c r="BG110" s="22">
        <f t="shared" si="555"/>
        <v>0</v>
      </c>
      <c r="BH110" s="22" t="str">
        <f>IFERROR(__xludf.DUMMYFUNCTION("""COMPUTED_VALUE"""),"Huis van de Metallurgie en Industrie van Luik")</f>
        <v>Huis van de Metallurgie en Industrie van Luik</v>
      </c>
      <c r="BI110" s="24">
        <f>IFERROR(__xludf.DUMMYFUNCTION("""COMPUTED_VALUE"""),5.0)</f>
        <v>5</v>
      </c>
      <c r="BJ110" s="22" t="b">
        <f>IFERROR(__xludf.DUMMYFUNCTION("""COMPUTED_VALUE"""),FALSE)</f>
        <v>0</v>
      </c>
      <c r="BK110" s="22" t="b">
        <f>IFERROR(__xludf.DUMMYFUNCTION("""COMPUTED_VALUE"""),FALSE)</f>
        <v>0</v>
      </c>
      <c r="BL110" s="22"/>
      <c r="BM110" s="22">
        <f>IFERROR(__xludf.DUMMYFUNCTION("""COMPUTED_VALUE"""),0.0)</f>
        <v>0</v>
      </c>
      <c r="BN110" s="22">
        <f>IFERROR(__xludf.DUMMYFUNCTION("""COMPUTED_VALUE"""),1.0)</f>
        <v>1</v>
      </c>
      <c r="BO110" s="22">
        <f>IFERROR(__xludf.DUMMYFUNCTION("""COMPUTED_VALUE"""),0.0)</f>
        <v>0</v>
      </c>
      <c r="BP110" s="22">
        <f>IFERROR(__xludf.DUMMYFUNCTION("""COMPUTED_VALUE"""),0.0)</f>
        <v>0</v>
      </c>
      <c r="BQ110" s="22">
        <f>IFERROR(__xludf.DUMMYFUNCTION("""COMPUTED_VALUE"""),0.0)</f>
        <v>0</v>
      </c>
      <c r="BR110" s="22">
        <f>IFERROR(__xludf.DUMMYFUNCTION("""COMPUTED_VALUE"""),0.0)</f>
        <v>0</v>
      </c>
      <c r="BS110" s="22">
        <f>IFERROR(__xludf.DUMMYFUNCTION("""COMPUTED_VALUE"""),0.0)</f>
        <v>0</v>
      </c>
      <c r="BT110" s="22">
        <f>IFERROR(__xludf.DUMMYFUNCTION("""COMPUTED_VALUE"""),0.0)</f>
        <v>0</v>
      </c>
      <c r="BU110" s="22">
        <f>IFERROR(__xludf.DUMMYFUNCTION("""COMPUTED_VALUE"""),1.0)</f>
        <v>1</v>
      </c>
      <c r="BV110" s="22">
        <f>IFERROR(__xludf.DUMMYFUNCTION("""COMPUTED_VALUE"""),1.0)</f>
        <v>1</v>
      </c>
      <c r="BW110" s="22">
        <f>IFERROR(__xludf.DUMMYFUNCTION("""COMPUTED_VALUE"""),1.0)</f>
        <v>1</v>
      </c>
      <c r="BX110" s="22">
        <f>IFERROR(__xludf.DUMMYFUNCTION("""COMPUTED_VALUE"""),0.0)</f>
        <v>0</v>
      </c>
      <c r="BY110" s="22">
        <f>IFERROR(__xludf.DUMMYFUNCTION("""COMPUTED_VALUE"""),0.0)</f>
        <v>0</v>
      </c>
      <c r="BZ110" s="22">
        <f>IFERROR(__xludf.DUMMYFUNCTION("""COMPUTED_VALUE"""),1.0)</f>
        <v>1</v>
      </c>
      <c r="CA110" s="22">
        <f>IFERROR(__xludf.DUMMYFUNCTION("""COMPUTED_VALUE"""),2.0)</f>
        <v>2</v>
      </c>
      <c r="CB110" s="22">
        <f>IFERROR(__xludf.DUMMYFUNCTION("""COMPUTED_VALUE"""),4.0)</f>
        <v>4</v>
      </c>
      <c r="CC110" s="61">
        <f>IFERROR(__xludf.DUMMYFUNCTION("""COMPUTED_VALUE"""),2.5)</f>
        <v>2.5</v>
      </c>
      <c r="CD110" s="62" t="str">
        <f>IFERROR(__xludf.DUMMYFUNCTION("""COMPUTED_VALUE"""),"subpar")</f>
        <v>subpar</v>
      </c>
      <c r="CE110" s="22" t="s">
        <v>297</v>
      </c>
      <c r="CF110" s="24">
        <v>5.0</v>
      </c>
      <c r="CG110" s="22" t="b">
        <v>0</v>
      </c>
      <c r="CH110" s="22" t="b">
        <v>0</v>
      </c>
      <c r="CI110" s="22"/>
      <c r="CJ110" s="22">
        <v>0.0</v>
      </c>
      <c r="CK110" s="22">
        <v>1.0</v>
      </c>
      <c r="CL110" s="22">
        <v>0.0</v>
      </c>
      <c r="CM110" s="22">
        <v>0.0</v>
      </c>
      <c r="CN110" s="22">
        <v>0.0</v>
      </c>
      <c r="CO110" s="22">
        <v>0.0</v>
      </c>
      <c r="CP110" s="22">
        <v>0.0</v>
      </c>
      <c r="CQ110" s="22">
        <v>0.0</v>
      </c>
      <c r="CR110" s="22">
        <v>1.0</v>
      </c>
      <c r="CS110" s="22">
        <v>1.0</v>
      </c>
      <c r="CT110" s="22">
        <v>1.0</v>
      </c>
      <c r="CU110" s="22">
        <v>0.0</v>
      </c>
      <c r="CV110" s="22">
        <v>0.0</v>
      </c>
      <c r="CW110" s="22">
        <v>1.0</v>
      </c>
      <c r="CX110" s="22">
        <v>2.0</v>
      </c>
      <c r="CY110" s="22">
        <v>4.0</v>
      </c>
      <c r="CZ110" s="61">
        <v>2.5</v>
      </c>
      <c r="DA110" s="62" t="s">
        <v>568</v>
      </c>
    </row>
    <row r="111">
      <c r="A111" s="16" t="s">
        <v>254</v>
      </c>
      <c r="B111" s="16" t="s">
        <v>255</v>
      </c>
      <c r="C111" s="17" t="s">
        <v>40</v>
      </c>
      <c r="D111" s="16" t="s">
        <v>5</v>
      </c>
      <c r="E111" s="17" t="b">
        <f t="shared" ref="E111:K111" si="556">If(IFERROR(SEARCH(E$1, $D111),0) &gt;= 1, true,false)</f>
        <v>0</v>
      </c>
      <c r="F111" s="17" t="b">
        <f t="shared" si="556"/>
        <v>1</v>
      </c>
      <c r="G111" s="17" t="b">
        <f t="shared" si="556"/>
        <v>0</v>
      </c>
      <c r="H111" s="17" t="b">
        <f t="shared" si="556"/>
        <v>0</v>
      </c>
      <c r="I111" s="17" t="b">
        <f t="shared" si="556"/>
        <v>0</v>
      </c>
      <c r="J111" s="17" t="b">
        <f t="shared" si="556"/>
        <v>0</v>
      </c>
      <c r="K111" s="17" t="b">
        <f t="shared" si="556"/>
        <v>0</v>
      </c>
      <c r="L111" s="18" t="b">
        <v>0</v>
      </c>
      <c r="M111" s="18" t="b">
        <v>0</v>
      </c>
      <c r="N111" s="18" t="b">
        <v>0</v>
      </c>
      <c r="O111" s="18" t="b">
        <v>0</v>
      </c>
      <c r="P111" s="16" t="str">
        <f t="shared" si="7"/>
        <v>Apotheekmuseum</v>
      </c>
      <c r="Q111" s="19">
        <v>6.0</v>
      </c>
      <c r="R111" s="20" t="b">
        <v>0</v>
      </c>
      <c r="S111" s="18" t="b">
        <v>0</v>
      </c>
      <c r="T111" s="16"/>
      <c r="U111" s="21">
        <f t="shared" si="8"/>
        <v>0</v>
      </c>
      <c r="V111" s="21">
        <f t="shared" ref="V111:AB111" si="557">if(OR(AW111 = $AO$4, AW111 = $AQ$4), 1, 0)</f>
        <v>0</v>
      </c>
      <c r="W111" s="21">
        <f t="shared" si="557"/>
        <v>0</v>
      </c>
      <c r="X111" s="21">
        <f t="shared" si="557"/>
        <v>0</v>
      </c>
      <c r="Y111" s="21">
        <f t="shared" si="557"/>
        <v>0</v>
      </c>
      <c r="Z111" s="21">
        <f t="shared" si="557"/>
        <v>0</v>
      </c>
      <c r="AA111" s="21">
        <f t="shared" si="557"/>
        <v>0</v>
      </c>
      <c r="AB111" s="21">
        <f t="shared" si="557"/>
        <v>0</v>
      </c>
      <c r="AC111" s="21">
        <f t="shared" si="10"/>
        <v>0</v>
      </c>
      <c r="AD111" s="21">
        <f t="shared" si="11"/>
        <v>1</v>
      </c>
      <c r="AE111" s="21">
        <f t="shared" ref="AE111:AH111" si="558">if(OR(BD111 = $AO$6, BD111 = $AS$6, BD111 = $AT$6, BD111 = $AU$6), 1, 0)</f>
        <v>0</v>
      </c>
      <c r="AF111" s="21">
        <f t="shared" si="558"/>
        <v>0</v>
      </c>
      <c r="AG111" s="21">
        <f t="shared" si="558"/>
        <v>0</v>
      </c>
      <c r="AH111" s="21">
        <f t="shared" si="558"/>
        <v>0</v>
      </c>
      <c r="AI111" s="21">
        <f t="shared" si="13"/>
        <v>0</v>
      </c>
      <c r="AJ111" s="21">
        <f t="shared" si="14"/>
        <v>1</v>
      </c>
      <c r="AK111" s="59">
        <f t="shared" si="15"/>
        <v>0.625</v>
      </c>
      <c r="AL111" s="60" t="str">
        <f t="shared" si="16"/>
        <v>no match</v>
      </c>
      <c r="AW111" s="22">
        <f t="shared" ref="AW111:BC111" si="559">IF(IFERROR(SEARCH(E$1, $D111),0) &gt;= 1, E$1,0)</f>
        <v>0</v>
      </c>
      <c r="AX111" s="22" t="str">
        <f t="shared" si="559"/>
        <v>Wetenschap en technologie</v>
      </c>
      <c r="AY111" s="22">
        <f t="shared" si="559"/>
        <v>0</v>
      </c>
      <c r="AZ111" s="22">
        <f t="shared" si="559"/>
        <v>0</v>
      </c>
      <c r="BA111" s="22">
        <f t="shared" si="559"/>
        <v>0</v>
      </c>
      <c r="BB111" s="22">
        <f t="shared" si="559"/>
        <v>0</v>
      </c>
      <c r="BC111" s="22">
        <f t="shared" si="559"/>
        <v>0</v>
      </c>
      <c r="BD111" s="22">
        <f t="shared" ref="BD111:BG111" si="560">IF(L111 = true, BD$1, 0)</f>
        <v>0</v>
      </c>
      <c r="BE111" s="22">
        <f t="shared" si="560"/>
        <v>0</v>
      </c>
      <c r="BF111" s="22">
        <f t="shared" si="560"/>
        <v>0</v>
      </c>
      <c r="BG111" s="22">
        <f t="shared" si="560"/>
        <v>0</v>
      </c>
      <c r="BH111" s="22" t="str">
        <f>IFERROR(__xludf.DUMMYFUNCTION("""COMPUTED_VALUE"""),"Stadsmuseum Eupen")</f>
        <v>Stadsmuseum Eupen</v>
      </c>
      <c r="BI111" s="24">
        <f>IFERROR(__xludf.DUMMYFUNCTION("""COMPUTED_VALUE"""),5.0)</f>
        <v>5</v>
      </c>
      <c r="BJ111" s="22" t="b">
        <f>IFERROR(__xludf.DUMMYFUNCTION("""COMPUTED_VALUE"""),FALSE)</f>
        <v>0</v>
      </c>
      <c r="BK111" s="22" t="b">
        <f>IFERROR(__xludf.DUMMYFUNCTION("""COMPUTED_VALUE"""),FALSE)</f>
        <v>0</v>
      </c>
      <c r="BL111" s="22"/>
      <c r="BM111" s="22">
        <f>IFERROR(__xludf.DUMMYFUNCTION("""COMPUTED_VALUE"""),0.0)</f>
        <v>0</v>
      </c>
      <c r="BN111" s="22">
        <f>IFERROR(__xludf.DUMMYFUNCTION("""COMPUTED_VALUE"""),1.0)</f>
        <v>1</v>
      </c>
      <c r="BO111" s="22">
        <f>IFERROR(__xludf.DUMMYFUNCTION("""COMPUTED_VALUE"""),0.0)</f>
        <v>0</v>
      </c>
      <c r="BP111" s="22">
        <f>IFERROR(__xludf.DUMMYFUNCTION("""COMPUTED_VALUE"""),0.0)</f>
        <v>0</v>
      </c>
      <c r="BQ111" s="22">
        <f>IFERROR(__xludf.DUMMYFUNCTION("""COMPUTED_VALUE"""),0.0)</f>
        <v>0</v>
      </c>
      <c r="BR111" s="22">
        <f>IFERROR(__xludf.DUMMYFUNCTION("""COMPUTED_VALUE"""),0.0)</f>
        <v>0</v>
      </c>
      <c r="BS111" s="22">
        <f>IFERROR(__xludf.DUMMYFUNCTION("""COMPUTED_VALUE"""),1.0)</f>
        <v>1</v>
      </c>
      <c r="BT111" s="22">
        <f>IFERROR(__xludf.DUMMYFUNCTION("""COMPUTED_VALUE"""),0.0)</f>
        <v>0</v>
      </c>
      <c r="BU111" s="22">
        <f>IFERROR(__xludf.DUMMYFUNCTION("""COMPUTED_VALUE"""),2.0)</f>
        <v>2</v>
      </c>
      <c r="BV111" s="22">
        <f>IFERROR(__xludf.DUMMYFUNCTION("""COMPUTED_VALUE"""),1.0)</f>
        <v>1</v>
      </c>
      <c r="BW111" s="22">
        <f>IFERROR(__xludf.DUMMYFUNCTION("""COMPUTED_VALUE"""),1.0)</f>
        <v>1</v>
      </c>
      <c r="BX111" s="22">
        <f>IFERROR(__xludf.DUMMYFUNCTION("""COMPUTED_VALUE"""),0.0)</f>
        <v>0</v>
      </c>
      <c r="BY111" s="22">
        <f>IFERROR(__xludf.DUMMYFUNCTION("""COMPUTED_VALUE"""),0.0)</f>
        <v>0</v>
      </c>
      <c r="BZ111" s="22">
        <f>IFERROR(__xludf.DUMMYFUNCTION("""COMPUTED_VALUE"""),0.0)</f>
        <v>0</v>
      </c>
      <c r="CA111" s="22">
        <f>IFERROR(__xludf.DUMMYFUNCTION("""COMPUTED_VALUE"""),1.0)</f>
        <v>1</v>
      </c>
      <c r="CB111" s="22">
        <f>IFERROR(__xludf.DUMMYFUNCTION("""COMPUTED_VALUE"""),4.0)</f>
        <v>4</v>
      </c>
      <c r="CC111" s="61">
        <f>IFERROR(__xludf.DUMMYFUNCTION("""COMPUTED_VALUE"""),2.5)</f>
        <v>2.5</v>
      </c>
      <c r="CD111" s="62" t="str">
        <f>IFERROR(__xludf.DUMMYFUNCTION("""COMPUTED_VALUE"""),"subpar")</f>
        <v>subpar</v>
      </c>
      <c r="CE111" s="22" t="s">
        <v>305</v>
      </c>
      <c r="CF111" s="24">
        <v>5.0</v>
      </c>
      <c r="CG111" s="22" t="b">
        <v>0</v>
      </c>
      <c r="CH111" s="22" t="b">
        <v>0</v>
      </c>
      <c r="CI111" s="22"/>
      <c r="CJ111" s="22">
        <v>0.0</v>
      </c>
      <c r="CK111" s="22">
        <v>1.0</v>
      </c>
      <c r="CL111" s="22">
        <v>0.0</v>
      </c>
      <c r="CM111" s="22">
        <v>0.0</v>
      </c>
      <c r="CN111" s="22">
        <v>0.0</v>
      </c>
      <c r="CO111" s="22">
        <v>0.0</v>
      </c>
      <c r="CP111" s="22">
        <v>1.0</v>
      </c>
      <c r="CQ111" s="22">
        <v>0.0</v>
      </c>
      <c r="CR111" s="22">
        <v>2.0</v>
      </c>
      <c r="CS111" s="22">
        <v>1.0</v>
      </c>
      <c r="CT111" s="22">
        <v>1.0</v>
      </c>
      <c r="CU111" s="22">
        <v>0.0</v>
      </c>
      <c r="CV111" s="22">
        <v>0.0</v>
      </c>
      <c r="CW111" s="22">
        <v>0.0</v>
      </c>
      <c r="CX111" s="22">
        <v>1.0</v>
      </c>
      <c r="CY111" s="22">
        <v>4.0</v>
      </c>
      <c r="CZ111" s="61">
        <v>2.5</v>
      </c>
      <c r="DA111" s="62" t="s">
        <v>568</v>
      </c>
    </row>
    <row r="112">
      <c r="A112" s="16" t="s">
        <v>256</v>
      </c>
      <c r="B112" s="16"/>
      <c r="C112" s="17" t="s">
        <v>40</v>
      </c>
      <c r="D112" s="16" t="s">
        <v>198</v>
      </c>
      <c r="E112" s="17" t="b">
        <f t="shared" ref="E112:K112" si="561">If(IFERROR(SEARCH(E$1, $D112),0) &gt;= 1, true,false)</f>
        <v>1</v>
      </c>
      <c r="F112" s="17" t="b">
        <f t="shared" si="561"/>
        <v>0</v>
      </c>
      <c r="G112" s="17" t="b">
        <f t="shared" si="561"/>
        <v>0</v>
      </c>
      <c r="H112" s="17" t="b">
        <f t="shared" si="561"/>
        <v>0</v>
      </c>
      <c r="I112" s="17" t="b">
        <f t="shared" si="561"/>
        <v>1</v>
      </c>
      <c r="J112" s="17" t="b">
        <f t="shared" si="561"/>
        <v>1</v>
      </c>
      <c r="K112" s="17" t="b">
        <f t="shared" si="561"/>
        <v>0</v>
      </c>
      <c r="L112" s="18" t="b">
        <v>1</v>
      </c>
      <c r="M112" s="18" t="b">
        <v>1</v>
      </c>
      <c r="N112" s="18" t="b">
        <v>1</v>
      </c>
      <c r="O112" s="18" t="b">
        <v>1</v>
      </c>
      <c r="P112" s="16" t="str">
        <f t="shared" si="7"/>
        <v>C-mine</v>
      </c>
      <c r="Q112" s="19">
        <v>14.0</v>
      </c>
      <c r="R112" s="20" t="b">
        <v>0</v>
      </c>
      <c r="S112" s="18" t="b">
        <v>1</v>
      </c>
      <c r="T112" s="29">
        <v>14.0</v>
      </c>
      <c r="U112" s="21">
        <f t="shared" si="8"/>
        <v>0</v>
      </c>
      <c r="V112" s="21">
        <f t="shared" ref="V112:AB112" si="562">if(OR(AW112 = $AO$4, AW112 = $AQ$4), 1, 0)</f>
        <v>1</v>
      </c>
      <c r="W112" s="21">
        <f t="shared" si="562"/>
        <v>0</v>
      </c>
      <c r="X112" s="21">
        <f t="shared" si="562"/>
        <v>0</v>
      </c>
      <c r="Y112" s="21">
        <f t="shared" si="562"/>
        <v>0</v>
      </c>
      <c r="Z112" s="21">
        <f t="shared" si="562"/>
        <v>0</v>
      </c>
      <c r="AA112" s="21">
        <f t="shared" si="562"/>
        <v>1</v>
      </c>
      <c r="AB112" s="21">
        <f t="shared" si="562"/>
        <v>0</v>
      </c>
      <c r="AC112" s="21">
        <f t="shared" si="10"/>
        <v>2</v>
      </c>
      <c r="AD112" s="21">
        <f t="shared" si="11"/>
        <v>0</v>
      </c>
      <c r="AE112" s="21">
        <f t="shared" ref="AE112:AH112" si="563">if(OR(BD112 = $AO$6, BD112 = $AS$6, BD112 = $AT$6, BD112 = $AU$6), 1, 0)</f>
        <v>1</v>
      </c>
      <c r="AF112" s="21">
        <f t="shared" si="563"/>
        <v>1</v>
      </c>
      <c r="AG112" s="21">
        <f t="shared" si="563"/>
        <v>1</v>
      </c>
      <c r="AH112" s="21">
        <f t="shared" si="563"/>
        <v>1</v>
      </c>
      <c r="AI112" s="21">
        <f t="shared" si="13"/>
        <v>4</v>
      </c>
      <c r="AJ112" s="21">
        <f t="shared" si="14"/>
        <v>6</v>
      </c>
      <c r="AK112" s="59">
        <f t="shared" si="15"/>
        <v>3.75</v>
      </c>
      <c r="AL112" s="60" t="str">
        <f t="shared" si="16"/>
        <v>good</v>
      </c>
      <c r="AW112" s="22" t="str">
        <f t="shared" ref="AW112:BC112" si="564">IF(IFERROR(SEARCH(E$1, $D112),0) &gt;= 1, E$1,0)</f>
        <v>Geschiedenis en archeologie</v>
      </c>
      <c r="AX112" s="22">
        <f t="shared" si="564"/>
        <v>0</v>
      </c>
      <c r="AY112" s="22">
        <f t="shared" si="564"/>
        <v>0</v>
      </c>
      <c r="AZ112" s="22">
        <f t="shared" si="564"/>
        <v>0</v>
      </c>
      <c r="BA112" s="22" t="str">
        <f t="shared" si="564"/>
        <v>Architectuur</v>
      </c>
      <c r="BB112" s="22" t="str">
        <f t="shared" si="564"/>
        <v>Beeldende kunst</v>
      </c>
      <c r="BC112" s="22">
        <f t="shared" si="564"/>
        <v>0</v>
      </c>
      <c r="BD112" s="22" t="str">
        <f t="shared" ref="BD112:BG112" si="565">IF(L112 = true, BD$1, 0)</f>
        <v>Shop</v>
      </c>
      <c r="BE112" s="22" t="str">
        <f t="shared" si="565"/>
        <v>Café</v>
      </c>
      <c r="BF112" s="22" t="str">
        <f t="shared" si="565"/>
        <v>Parking</v>
      </c>
      <c r="BG112" s="22" t="str">
        <f t="shared" si="565"/>
        <v>Restaurant</v>
      </c>
      <c r="BH112" s="22" t="str">
        <f>IFERROR(__xludf.DUMMYFUNCTION("""COMPUTED_VALUE"""),"Musea van Verviers")</f>
        <v>Musea van Verviers</v>
      </c>
      <c r="BI112" s="24">
        <f>IFERROR(__xludf.DUMMYFUNCTION("""COMPUTED_VALUE"""),4.0)</f>
        <v>4</v>
      </c>
      <c r="BJ112" s="22" t="b">
        <f>IFERROR(__xludf.DUMMYFUNCTION("""COMPUTED_VALUE"""),FALSE)</f>
        <v>0</v>
      </c>
      <c r="BK112" s="22" t="b">
        <f>IFERROR(__xludf.DUMMYFUNCTION("""COMPUTED_VALUE"""),FALSE)</f>
        <v>0</v>
      </c>
      <c r="BL112" s="22"/>
      <c r="BM112" s="22">
        <f>IFERROR(__xludf.DUMMYFUNCTION("""COMPUTED_VALUE"""),0.0)</f>
        <v>0</v>
      </c>
      <c r="BN112" s="22">
        <f>IFERROR(__xludf.DUMMYFUNCTION("""COMPUTED_VALUE"""),1.0)</f>
        <v>1</v>
      </c>
      <c r="BO112" s="22">
        <f>IFERROR(__xludf.DUMMYFUNCTION("""COMPUTED_VALUE"""),0.0)</f>
        <v>0</v>
      </c>
      <c r="BP112" s="22">
        <f>IFERROR(__xludf.DUMMYFUNCTION("""COMPUTED_VALUE"""),0.0)</f>
        <v>0</v>
      </c>
      <c r="BQ112" s="22">
        <f>IFERROR(__xludf.DUMMYFUNCTION("""COMPUTED_VALUE"""),0.0)</f>
        <v>0</v>
      </c>
      <c r="BR112" s="22">
        <f>IFERROR(__xludf.DUMMYFUNCTION("""COMPUTED_VALUE"""),0.0)</f>
        <v>0</v>
      </c>
      <c r="BS112" s="22">
        <f>IFERROR(__xludf.DUMMYFUNCTION("""COMPUTED_VALUE"""),1.0)</f>
        <v>1</v>
      </c>
      <c r="BT112" s="22">
        <f>IFERROR(__xludf.DUMMYFUNCTION("""COMPUTED_VALUE"""),0.0)</f>
        <v>0</v>
      </c>
      <c r="BU112" s="22">
        <f>IFERROR(__xludf.DUMMYFUNCTION("""COMPUTED_VALUE"""),2.0)</f>
        <v>2</v>
      </c>
      <c r="BV112" s="22">
        <f>IFERROR(__xludf.DUMMYFUNCTION("""COMPUTED_VALUE"""),1.0)</f>
        <v>1</v>
      </c>
      <c r="BW112" s="22">
        <f>IFERROR(__xludf.DUMMYFUNCTION("""COMPUTED_VALUE"""),1.0)</f>
        <v>1</v>
      </c>
      <c r="BX112" s="22">
        <f>IFERROR(__xludf.DUMMYFUNCTION("""COMPUTED_VALUE"""),0.0)</f>
        <v>0</v>
      </c>
      <c r="BY112" s="22">
        <f>IFERROR(__xludf.DUMMYFUNCTION("""COMPUTED_VALUE"""),0.0)</f>
        <v>0</v>
      </c>
      <c r="BZ112" s="22">
        <f>IFERROR(__xludf.DUMMYFUNCTION("""COMPUTED_VALUE"""),0.0)</f>
        <v>0</v>
      </c>
      <c r="CA112" s="22">
        <f>IFERROR(__xludf.DUMMYFUNCTION("""COMPUTED_VALUE"""),1.0)</f>
        <v>1</v>
      </c>
      <c r="CB112" s="22">
        <f>IFERROR(__xludf.DUMMYFUNCTION("""COMPUTED_VALUE"""),4.0)</f>
        <v>4</v>
      </c>
      <c r="CC112" s="61">
        <f>IFERROR(__xludf.DUMMYFUNCTION("""COMPUTED_VALUE"""),2.5)</f>
        <v>2.5</v>
      </c>
      <c r="CD112" s="62" t="str">
        <f>IFERROR(__xludf.DUMMYFUNCTION("""COMPUTED_VALUE"""),"subpar")</f>
        <v>subpar</v>
      </c>
      <c r="CE112" s="22" t="s">
        <v>307</v>
      </c>
      <c r="CF112" s="24">
        <v>4.0</v>
      </c>
      <c r="CG112" s="22" t="b">
        <v>0</v>
      </c>
      <c r="CH112" s="22" t="b">
        <v>0</v>
      </c>
      <c r="CI112" s="22"/>
      <c r="CJ112" s="22">
        <v>0.0</v>
      </c>
      <c r="CK112" s="22">
        <v>1.0</v>
      </c>
      <c r="CL112" s="22">
        <v>0.0</v>
      </c>
      <c r="CM112" s="22">
        <v>0.0</v>
      </c>
      <c r="CN112" s="22">
        <v>0.0</v>
      </c>
      <c r="CO112" s="22">
        <v>0.0</v>
      </c>
      <c r="CP112" s="22">
        <v>1.0</v>
      </c>
      <c r="CQ112" s="22">
        <v>0.0</v>
      </c>
      <c r="CR112" s="22">
        <v>2.0</v>
      </c>
      <c r="CS112" s="22">
        <v>1.0</v>
      </c>
      <c r="CT112" s="22">
        <v>1.0</v>
      </c>
      <c r="CU112" s="22">
        <v>0.0</v>
      </c>
      <c r="CV112" s="22">
        <v>0.0</v>
      </c>
      <c r="CW112" s="22">
        <v>0.0</v>
      </c>
      <c r="CX112" s="22">
        <v>1.0</v>
      </c>
      <c r="CY112" s="22">
        <v>4.0</v>
      </c>
      <c r="CZ112" s="61">
        <v>2.5</v>
      </c>
      <c r="DA112" s="62" t="s">
        <v>568</v>
      </c>
    </row>
    <row r="113">
      <c r="A113" s="16" t="s">
        <v>257</v>
      </c>
      <c r="B113" s="16" t="s">
        <v>258</v>
      </c>
      <c r="C113" s="17" t="s">
        <v>40</v>
      </c>
      <c r="D113" s="16" t="s">
        <v>259</v>
      </c>
      <c r="E113" s="17" t="b">
        <f t="shared" ref="E113:K113" si="566">If(IFERROR(SEARCH(E$1, $D113),0) &gt;= 1, true,false)</f>
        <v>1</v>
      </c>
      <c r="F113" s="17" t="b">
        <f t="shared" si="566"/>
        <v>0</v>
      </c>
      <c r="G113" s="17" t="b">
        <f t="shared" si="566"/>
        <v>0</v>
      </c>
      <c r="H113" s="17" t="b">
        <f t="shared" si="566"/>
        <v>1</v>
      </c>
      <c r="I113" s="17" t="b">
        <f t="shared" si="566"/>
        <v>0</v>
      </c>
      <c r="J113" s="17" t="b">
        <f t="shared" si="566"/>
        <v>1</v>
      </c>
      <c r="K113" s="17" t="b">
        <f t="shared" si="566"/>
        <v>1</v>
      </c>
      <c r="L113" s="18" t="b">
        <v>1</v>
      </c>
      <c r="M113" s="18" t="b">
        <v>0</v>
      </c>
      <c r="N113" s="18" t="b">
        <v>0</v>
      </c>
      <c r="O113" s="18" t="b">
        <v>0</v>
      </c>
      <c r="P113" s="16" t="str">
        <f t="shared" si="7"/>
        <v>DE MINDERE</v>
      </c>
      <c r="Q113" s="19">
        <v>0.0</v>
      </c>
      <c r="R113" s="20" t="b">
        <v>0</v>
      </c>
      <c r="S113" s="18" t="b">
        <v>1</v>
      </c>
      <c r="T113" s="29">
        <v>0.0</v>
      </c>
      <c r="U113" s="21">
        <f t="shared" si="8"/>
        <v>0</v>
      </c>
      <c r="V113" s="21">
        <f t="shared" ref="V113:AB113" si="567">if(OR(AW113 = $AO$4, AW113 = $AQ$4), 1, 0)</f>
        <v>1</v>
      </c>
      <c r="W113" s="21">
        <f t="shared" si="567"/>
        <v>0</v>
      </c>
      <c r="X113" s="21">
        <f t="shared" si="567"/>
        <v>0</v>
      </c>
      <c r="Y113" s="21">
        <f t="shared" si="567"/>
        <v>0</v>
      </c>
      <c r="Z113" s="21">
        <f t="shared" si="567"/>
        <v>0</v>
      </c>
      <c r="AA113" s="21">
        <f t="shared" si="567"/>
        <v>1</v>
      </c>
      <c r="AB113" s="21">
        <f t="shared" si="567"/>
        <v>0</v>
      </c>
      <c r="AC113" s="21">
        <f t="shared" si="10"/>
        <v>2</v>
      </c>
      <c r="AD113" s="21">
        <f t="shared" si="11"/>
        <v>1</v>
      </c>
      <c r="AE113" s="21">
        <f t="shared" ref="AE113:AH113" si="568">if(OR(BD113 = $AO$6, BD113 = $AS$6, BD113 = $AT$6, BD113 = $AU$6), 1, 0)</f>
        <v>1</v>
      </c>
      <c r="AF113" s="21">
        <f t="shared" si="568"/>
        <v>0</v>
      </c>
      <c r="AG113" s="21">
        <f t="shared" si="568"/>
        <v>0</v>
      </c>
      <c r="AH113" s="21">
        <f t="shared" si="568"/>
        <v>0</v>
      </c>
      <c r="AI113" s="21">
        <f t="shared" si="13"/>
        <v>1</v>
      </c>
      <c r="AJ113" s="21">
        <f t="shared" si="14"/>
        <v>4</v>
      </c>
      <c r="AK113" s="59">
        <f t="shared" si="15"/>
        <v>2.5</v>
      </c>
      <c r="AL113" s="60" t="str">
        <f t="shared" si="16"/>
        <v>subpar</v>
      </c>
      <c r="AW113" s="22" t="str">
        <f t="shared" ref="AW113:BC113" si="569">IF(IFERROR(SEARCH(E$1, $D113),0) &gt;= 1, E$1,0)</f>
        <v>Geschiedenis en archeologie</v>
      </c>
      <c r="AX113" s="22">
        <f t="shared" si="569"/>
        <v>0</v>
      </c>
      <c r="AY113" s="22">
        <f t="shared" si="569"/>
        <v>0</v>
      </c>
      <c r="AZ113" s="22" t="str">
        <f t="shared" si="569"/>
        <v>Literatuur</v>
      </c>
      <c r="BA113" s="22">
        <f t="shared" si="569"/>
        <v>0</v>
      </c>
      <c r="BB113" s="22" t="str">
        <f t="shared" si="569"/>
        <v>Beeldende kunst</v>
      </c>
      <c r="BC113" s="22" t="str">
        <f t="shared" si="569"/>
        <v>Toegepaste kunst en design</v>
      </c>
      <c r="BD113" s="22" t="str">
        <f t="shared" ref="BD113:BG113" si="570">IF(L113 = true, BD$1, 0)</f>
        <v>Shop</v>
      </c>
      <c r="BE113" s="22">
        <f t="shared" si="570"/>
        <v>0</v>
      </c>
      <c r="BF113" s="22">
        <f t="shared" si="570"/>
        <v>0</v>
      </c>
      <c r="BG113" s="22">
        <f t="shared" si="570"/>
        <v>0</v>
      </c>
      <c r="BH113" s="22" t="str">
        <f>IFERROR(__xludf.DUMMYFUNCTION("""COMPUTED_VALUE"""),"Museum Vieille Montagne")</f>
        <v>Museum Vieille Montagne</v>
      </c>
      <c r="BI113" s="24">
        <f>IFERROR(__xludf.DUMMYFUNCTION("""COMPUTED_VALUE"""),7.5)</f>
        <v>7.5</v>
      </c>
      <c r="BJ113" s="22" t="b">
        <f>IFERROR(__xludf.DUMMYFUNCTION("""COMPUTED_VALUE"""),FALSE)</f>
        <v>0</v>
      </c>
      <c r="BK113" s="22" t="b">
        <f>IFERROR(__xludf.DUMMYFUNCTION("""COMPUTED_VALUE"""),FALSE)</f>
        <v>0</v>
      </c>
      <c r="BL113" s="22"/>
      <c r="BM113" s="22">
        <f>IFERROR(__xludf.DUMMYFUNCTION("""COMPUTED_VALUE"""),0.0)</f>
        <v>0</v>
      </c>
      <c r="BN113" s="22">
        <f>IFERROR(__xludf.DUMMYFUNCTION("""COMPUTED_VALUE"""),1.0)</f>
        <v>1</v>
      </c>
      <c r="BO113" s="22">
        <f>IFERROR(__xludf.DUMMYFUNCTION("""COMPUTED_VALUE"""),0.0)</f>
        <v>0</v>
      </c>
      <c r="BP113" s="22">
        <f>IFERROR(__xludf.DUMMYFUNCTION("""COMPUTED_VALUE"""),0.0)</f>
        <v>0</v>
      </c>
      <c r="BQ113" s="22">
        <f>IFERROR(__xludf.DUMMYFUNCTION("""COMPUTED_VALUE"""),0.0)</f>
        <v>0</v>
      </c>
      <c r="BR113" s="22">
        <f>IFERROR(__xludf.DUMMYFUNCTION("""COMPUTED_VALUE"""),0.0)</f>
        <v>0</v>
      </c>
      <c r="BS113" s="22">
        <f>IFERROR(__xludf.DUMMYFUNCTION("""COMPUTED_VALUE"""),0.0)</f>
        <v>0</v>
      </c>
      <c r="BT113" s="22">
        <f>IFERROR(__xludf.DUMMYFUNCTION("""COMPUTED_VALUE"""),0.0)</f>
        <v>0</v>
      </c>
      <c r="BU113" s="22">
        <f>IFERROR(__xludf.DUMMYFUNCTION("""COMPUTED_VALUE"""),1.0)</f>
        <v>1</v>
      </c>
      <c r="BV113" s="22">
        <f>IFERROR(__xludf.DUMMYFUNCTION("""COMPUTED_VALUE"""),1.0)</f>
        <v>1</v>
      </c>
      <c r="BW113" s="22">
        <f>IFERROR(__xludf.DUMMYFUNCTION("""COMPUTED_VALUE"""),1.0)</f>
        <v>1</v>
      </c>
      <c r="BX113" s="22">
        <f>IFERROR(__xludf.DUMMYFUNCTION("""COMPUTED_VALUE"""),1.0)</f>
        <v>1</v>
      </c>
      <c r="BY113" s="22">
        <f>IFERROR(__xludf.DUMMYFUNCTION("""COMPUTED_VALUE"""),0.0)</f>
        <v>0</v>
      </c>
      <c r="BZ113" s="22">
        <f>IFERROR(__xludf.DUMMYFUNCTION("""COMPUTED_VALUE"""),0.0)</f>
        <v>0</v>
      </c>
      <c r="CA113" s="22">
        <f>IFERROR(__xludf.DUMMYFUNCTION("""COMPUTED_VALUE"""),2.0)</f>
        <v>2</v>
      </c>
      <c r="CB113" s="22">
        <f>IFERROR(__xludf.DUMMYFUNCTION("""COMPUTED_VALUE"""),4.0)</f>
        <v>4</v>
      </c>
      <c r="CC113" s="61">
        <f>IFERROR(__xludf.DUMMYFUNCTION("""COMPUTED_VALUE"""),2.5)</f>
        <v>2.5</v>
      </c>
      <c r="CD113" s="62" t="str">
        <f>IFERROR(__xludf.DUMMYFUNCTION("""COMPUTED_VALUE"""),"subpar")</f>
        <v>subpar</v>
      </c>
      <c r="CE113" s="22" t="s">
        <v>309</v>
      </c>
      <c r="CF113" s="24">
        <v>7.5</v>
      </c>
      <c r="CG113" s="22" t="b">
        <v>0</v>
      </c>
      <c r="CH113" s="22" t="b">
        <v>0</v>
      </c>
      <c r="CI113" s="22"/>
      <c r="CJ113" s="22">
        <v>0.0</v>
      </c>
      <c r="CK113" s="22">
        <v>1.0</v>
      </c>
      <c r="CL113" s="22">
        <v>0.0</v>
      </c>
      <c r="CM113" s="22">
        <v>0.0</v>
      </c>
      <c r="CN113" s="22">
        <v>0.0</v>
      </c>
      <c r="CO113" s="22">
        <v>0.0</v>
      </c>
      <c r="CP113" s="22">
        <v>0.0</v>
      </c>
      <c r="CQ113" s="22">
        <v>0.0</v>
      </c>
      <c r="CR113" s="22">
        <v>1.0</v>
      </c>
      <c r="CS113" s="22">
        <v>1.0</v>
      </c>
      <c r="CT113" s="22">
        <v>1.0</v>
      </c>
      <c r="CU113" s="22">
        <v>1.0</v>
      </c>
      <c r="CV113" s="22">
        <v>0.0</v>
      </c>
      <c r="CW113" s="22">
        <v>0.0</v>
      </c>
      <c r="CX113" s="22">
        <v>2.0</v>
      </c>
      <c r="CY113" s="22">
        <v>4.0</v>
      </c>
      <c r="CZ113" s="61">
        <v>2.5</v>
      </c>
      <c r="DA113" s="62" t="s">
        <v>568</v>
      </c>
    </row>
    <row r="114">
      <c r="A114" s="16" t="s">
        <v>260</v>
      </c>
      <c r="B114" s="16"/>
      <c r="C114" s="17" t="s">
        <v>40</v>
      </c>
      <c r="D114" s="16" t="s">
        <v>198</v>
      </c>
      <c r="E114" s="17" t="b">
        <f t="shared" ref="E114:K114" si="571">If(IFERROR(SEARCH(E$1, $D114),0) &gt;= 1, true,false)</f>
        <v>1</v>
      </c>
      <c r="F114" s="17" t="b">
        <f t="shared" si="571"/>
        <v>0</v>
      </c>
      <c r="G114" s="17" t="b">
        <f t="shared" si="571"/>
        <v>0</v>
      </c>
      <c r="H114" s="17" t="b">
        <f t="shared" si="571"/>
        <v>0</v>
      </c>
      <c r="I114" s="17" t="b">
        <f t="shared" si="571"/>
        <v>1</v>
      </c>
      <c r="J114" s="17" t="b">
        <f t="shared" si="571"/>
        <v>1</v>
      </c>
      <c r="K114" s="17" t="b">
        <f t="shared" si="571"/>
        <v>0</v>
      </c>
      <c r="L114" s="18" t="b">
        <v>1</v>
      </c>
      <c r="M114" s="18" t="b">
        <v>1</v>
      </c>
      <c r="N114" s="18" t="b">
        <v>0</v>
      </c>
      <c r="O114" s="18" t="b">
        <v>1</v>
      </c>
      <c r="P114" s="16" t="str">
        <f t="shared" si="7"/>
        <v>Duitse Orde Museum (DOMUS) Alden Biesen</v>
      </c>
      <c r="Q114" s="19">
        <v>8.0</v>
      </c>
      <c r="R114" s="20" t="b">
        <v>0</v>
      </c>
      <c r="S114" s="18" t="b">
        <v>1</v>
      </c>
      <c r="T114" s="29">
        <v>8.0</v>
      </c>
      <c r="U114" s="21">
        <f t="shared" si="8"/>
        <v>0</v>
      </c>
      <c r="V114" s="21">
        <f t="shared" ref="V114:AB114" si="572">if(OR(AW114 = $AO$4, AW114 = $AQ$4), 1, 0)</f>
        <v>1</v>
      </c>
      <c r="W114" s="21">
        <f t="shared" si="572"/>
        <v>0</v>
      </c>
      <c r="X114" s="21">
        <f t="shared" si="572"/>
        <v>0</v>
      </c>
      <c r="Y114" s="21">
        <f t="shared" si="572"/>
        <v>0</v>
      </c>
      <c r="Z114" s="21">
        <f t="shared" si="572"/>
        <v>0</v>
      </c>
      <c r="AA114" s="21">
        <f t="shared" si="572"/>
        <v>1</v>
      </c>
      <c r="AB114" s="21">
        <f t="shared" si="572"/>
        <v>0</v>
      </c>
      <c r="AC114" s="21">
        <f t="shared" si="10"/>
        <v>2</v>
      </c>
      <c r="AD114" s="21">
        <f t="shared" si="11"/>
        <v>1</v>
      </c>
      <c r="AE114" s="21">
        <f t="shared" ref="AE114:AH114" si="573">if(OR(BD114 = $AO$6, BD114 = $AS$6, BD114 = $AT$6, BD114 = $AU$6), 1, 0)</f>
        <v>1</v>
      </c>
      <c r="AF114" s="21">
        <f t="shared" si="573"/>
        <v>1</v>
      </c>
      <c r="AG114" s="21">
        <f t="shared" si="573"/>
        <v>0</v>
      </c>
      <c r="AH114" s="21">
        <f t="shared" si="573"/>
        <v>1</v>
      </c>
      <c r="AI114" s="21">
        <f t="shared" si="13"/>
        <v>3</v>
      </c>
      <c r="AJ114" s="21">
        <f t="shared" si="14"/>
        <v>6</v>
      </c>
      <c r="AK114" s="59">
        <f t="shared" si="15"/>
        <v>3.75</v>
      </c>
      <c r="AL114" s="60" t="str">
        <f t="shared" si="16"/>
        <v>good</v>
      </c>
      <c r="AW114" s="22" t="str">
        <f t="shared" ref="AW114:BC114" si="574">IF(IFERROR(SEARCH(E$1, $D114),0) &gt;= 1, E$1,0)</f>
        <v>Geschiedenis en archeologie</v>
      </c>
      <c r="AX114" s="22">
        <f t="shared" si="574"/>
        <v>0</v>
      </c>
      <c r="AY114" s="22">
        <f t="shared" si="574"/>
        <v>0</v>
      </c>
      <c r="AZ114" s="22">
        <f t="shared" si="574"/>
        <v>0</v>
      </c>
      <c r="BA114" s="22" t="str">
        <f t="shared" si="574"/>
        <v>Architectuur</v>
      </c>
      <c r="BB114" s="22" t="str">
        <f t="shared" si="574"/>
        <v>Beeldende kunst</v>
      </c>
      <c r="BC114" s="22">
        <f t="shared" si="574"/>
        <v>0</v>
      </c>
      <c r="BD114" s="22" t="str">
        <f t="shared" ref="BD114:BG114" si="575">IF(L114 = true, BD$1, 0)</f>
        <v>Shop</v>
      </c>
      <c r="BE114" s="22" t="str">
        <f t="shared" si="575"/>
        <v>Café</v>
      </c>
      <c r="BF114" s="22">
        <f t="shared" si="575"/>
        <v>0</v>
      </c>
      <c r="BG114" s="22" t="str">
        <f t="shared" si="575"/>
        <v>Restaurant</v>
      </c>
      <c r="BH114" s="22" t="str">
        <f>IFERROR(__xludf.DUMMYFUNCTION("""COMPUTED_VALUE"""),"Préhistomuseum")</f>
        <v>Préhistomuseum</v>
      </c>
      <c r="BI114" s="24">
        <f>IFERROR(__xludf.DUMMYFUNCTION("""COMPUTED_VALUE"""),16.0)</f>
        <v>16</v>
      </c>
      <c r="BJ114" s="22" t="b">
        <f>IFERROR(__xludf.DUMMYFUNCTION("""COMPUTED_VALUE"""),FALSE)</f>
        <v>0</v>
      </c>
      <c r="BK114" s="22" t="b">
        <f>IFERROR(__xludf.DUMMYFUNCTION("""COMPUTED_VALUE"""),FALSE)</f>
        <v>0</v>
      </c>
      <c r="BL114" s="22"/>
      <c r="BM114" s="22">
        <f>IFERROR(__xludf.DUMMYFUNCTION("""COMPUTED_VALUE"""),0.0)</f>
        <v>0</v>
      </c>
      <c r="BN114" s="22">
        <f>IFERROR(__xludf.DUMMYFUNCTION("""COMPUTED_VALUE"""),1.0)</f>
        <v>1</v>
      </c>
      <c r="BO114" s="22">
        <f>IFERROR(__xludf.DUMMYFUNCTION("""COMPUTED_VALUE"""),0.0)</f>
        <v>0</v>
      </c>
      <c r="BP114" s="22">
        <f>IFERROR(__xludf.DUMMYFUNCTION("""COMPUTED_VALUE"""),0.0)</f>
        <v>0</v>
      </c>
      <c r="BQ114" s="22">
        <f>IFERROR(__xludf.DUMMYFUNCTION("""COMPUTED_VALUE"""),0.0)</f>
        <v>0</v>
      </c>
      <c r="BR114" s="22">
        <f>IFERROR(__xludf.DUMMYFUNCTION("""COMPUTED_VALUE"""),0.0)</f>
        <v>0</v>
      </c>
      <c r="BS114" s="22">
        <f>IFERROR(__xludf.DUMMYFUNCTION("""COMPUTED_VALUE"""),0.0)</f>
        <v>0</v>
      </c>
      <c r="BT114" s="22">
        <f>IFERROR(__xludf.DUMMYFUNCTION("""COMPUTED_VALUE"""),0.0)</f>
        <v>0</v>
      </c>
      <c r="BU114" s="22">
        <f>IFERROR(__xludf.DUMMYFUNCTION("""COMPUTED_VALUE"""),1.0)</f>
        <v>1</v>
      </c>
      <c r="BV114" s="22">
        <f>IFERROR(__xludf.DUMMYFUNCTION("""COMPUTED_VALUE"""),0.0)</f>
        <v>0</v>
      </c>
      <c r="BW114" s="22">
        <f>IFERROR(__xludf.DUMMYFUNCTION("""COMPUTED_VALUE"""),1.0)</f>
        <v>1</v>
      </c>
      <c r="BX114" s="22">
        <f>IFERROR(__xludf.DUMMYFUNCTION("""COMPUTED_VALUE"""),1.0)</f>
        <v>1</v>
      </c>
      <c r="BY114" s="22">
        <f>IFERROR(__xludf.DUMMYFUNCTION("""COMPUTED_VALUE"""),1.0)</f>
        <v>1</v>
      </c>
      <c r="BZ114" s="22">
        <f>IFERROR(__xludf.DUMMYFUNCTION("""COMPUTED_VALUE"""),0.0)</f>
        <v>0</v>
      </c>
      <c r="CA114" s="22">
        <f>IFERROR(__xludf.DUMMYFUNCTION("""COMPUTED_VALUE"""),3.0)</f>
        <v>3</v>
      </c>
      <c r="CB114" s="22">
        <f>IFERROR(__xludf.DUMMYFUNCTION("""COMPUTED_VALUE"""),4.0)</f>
        <v>4</v>
      </c>
      <c r="CC114" s="61">
        <f>IFERROR(__xludf.DUMMYFUNCTION("""COMPUTED_VALUE"""),2.5)</f>
        <v>2.5</v>
      </c>
      <c r="CD114" s="62" t="str">
        <f>IFERROR(__xludf.DUMMYFUNCTION("""COMPUTED_VALUE"""),"subpar")</f>
        <v>subpar</v>
      </c>
      <c r="CE114" s="22" t="s">
        <v>311</v>
      </c>
      <c r="CF114" s="24">
        <v>16.0</v>
      </c>
      <c r="CG114" s="22" t="b">
        <v>0</v>
      </c>
      <c r="CH114" s="22" t="b">
        <v>0</v>
      </c>
      <c r="CI114" s="22"/>
      <c r="CJ114" s="22">
        <v>0.0</v>
      </c>
      <c r="CK114" s="22">
        <v>1.0</v>
      </c>
      <c r="CL114" s="22">
        <v>0.0</v>
      </c>
      <c r="CM114" s="22">
        <v>0.0</v>
      </c>
      <c r="CN114" s="22">
        <v>0.0</v>
      </c>
      <c r="CO114" s="22">
        <v>0.0</v>
      </c>
      <c r="CP114" s="22">
        <v>0.0</v>
      </c>
      <c r="CQ114" s="22">
        <v>0.0</v>
      </c>
      <c r="CR114" s="22">
        <v>1.0</v>
      </c>
      <c r="CS114" s="22">
        <v>0.0</v>
      </c>
      <c r="CT114" s="22">
        <v>1.0</v>
      </c>
      <c r="CU114" s="22">
        <v>1.0</v>
      </c>
      <c r="CV114" s="22">
        <v>1.0</v>
      </c>
      <c r="CW114" s="22">
        <v>0.0</v>
      </c>
      <c r="CX114" s="22">
        <v>3.0</v>
      </c>
      <c r="CY114" s="22">
        <v>4.0</v>
      </c>
      <c r="CZ114" s="61">
        <v>2.5</v>
      </c>
      <c r="DA114" s="62" t="s">
        <v>568</v>
      </c>
    </row>
    <row r="115">
      <c r="A115" s="16" t="s">
        <v>261</v>
      </c>
      <c r="B115" s="16" t="s">
        <v>262</v>
      </c>
      <c r="C115" s="17" t="s">
        <v>40</v>
      </c>
      <c r="D115" s="16" t="s">
        <v>4</v>
      </c>
      <c r="E115" s="17" t="b">
        <f t="shared" ref="E115:K115" si="576">If(IFERROR(SEARCH(E$1, $D115),0) &gt;= 1, true,false)</f>
        <v>1</v>
      </c>
      <c r="F115" s="17" t="b">
        <f t="shared" si="576"/>
        <v>0</v>
      </c>
      <c r="G115" s="17" t="b">
        <f t="shared" si="576"/>
        <v>0</v>
      </c>
      <c r="H115" s="17" t="b">
        <f t="shared" si="576"/>
        <v>0</v>
      </c>
      <c r="I115" s="17" t="b">
        <f t="shared" si="576"/>
        <v>0</v>
      </c>
      <c r="J115" s="17" t="b">
        <f t="shared" si="576"/>
        <v>0</v>
      </c>
      <c r="K115" s="17" t="b">
        <f t="shared" si="576"/>
        <v>0</v>
      </c>
      <c r="L115" s="18" t="b">
        <v>1</v>
      </c>
      <c r="M115" s="18" t="b">
        <v>0</v>
      </c>
      <c r="N115" s="18" t="b">
        <v>1</v>
      </c>
      <c r="O115" s="18" t="b">
        <v>1</v>
      </c>
      <c r="P115" s="16" t="str">
        <f t="shared" si="7"/>
        <v>Gallo-Romeins Museum</v>
      </c>
      <c r="Q115" s="19">
        <v>8.0</v>
      </c>
      <c r="R115" s="20" t="b">
        <v>0</v>
      </c>
      <c r="S115" s="18" t="b">
        <v>1</v>
      </c>
      <c r="T115" s="30">
        <v>13.0</v>
      </c>
      <c r="U115" s="21">
        <f t="shared" si="8"/>
        <v>0</v>
      </c>
      <c r="V115" s="21">
        <f t="shared" ref="V115:AB115" si="577">if(OR(AW115 = $AO$4, AW115 = $AQ$4), 1, 0)</f>
        <v>1</v>
      </c>
      <c r="W115" s="21">
        <f t="shared" si="577"/>
        <v>0</v>
      </c>
      <c r="X115" s="21">
        <f t="shared" si="577"/>
        <v>0</v>
      </c>
      <c r="Y115" s="21">
        <f t="shared" si="577"/>
        <v>0</v>
      </c>
      <c r="Z115" s="21">
        <f t="shared" si="577"/>
        <v>0</v>
      </c>
      <c r="AA115" s="21">
        <f t="shared" si="577"/>
        <v>0</v>
      </c>
      <c r="AB115" s="21">
        <f t="shared" si="577"/>
        <v>0</v>
      </c>
      <c r="AC115" s="21">
        <f t="shared" si="10"/>
        <v>1</v>
      </c>
      <c r="AD115" s="21">
        <f t="shared" si="11"/>
        <v>1</v>
      </c>
      <c r="AE115" s="21">
        <f t="shared" ref="AE115:AH115" si="578">if(OR(BD115 = $AO$6, BD115 = $AS$6, BD115 = $AT$6, BD115 = $AU$6), 1, 0)</f>
        <v>1</v>
      </c>
      <c r="AF115" s="21">
        <f t="shared" si="578"/>
        <v>0</v>
      </c>
      <c r="AG115" s="21">
        <f t="shared" si="578"/>
        <v>1</v>
      </c>
      <c r="AH115" s="21">
        <f t="shared" si="578"/>
        <v>1</v>
      </c>
      <c r="AI115" s="21">
        <f t="shared" si="13"/>
        <v>3</v>
      </c>
      <c r="AJ115" s="21">
        <f t="shared" si="14"/>
        <v>5</v>
      </c>
      <c r="AK115" s="59">
        <f t="shared" si="15"/>
        <v>3.125</v>
      </c>
      <c r="AL115" s="60" t="str">
        <f t="shared" si="16"/>
        <v>good</v>
      </c>
      <c r="AW115" s="22" t="str">
        <f t="shared" ref="AW115:BC115" si="579">IF(IFERROR(SEARCH(E$1, $D115),0) &gt;= 1, E$1,0)</f>
        <v>Geschiedenis en archeologie</v>
      </c>
      <c r="AX115" s="22">
        <f t="shared" si="579"/>
        <v>0</v>
      </c>
      <c r="AY115" s="22">
        <f t="shared" si="579"/>
        <v>0</v>
      </c>
      <c r="AZ115" s="22">
        <f t="shared" si="579"/>
        <v>0</v>
      </c>
      <c r="BA115" s="22">
        <f t="shared" si="579"/>
        <v>0</v>
      </c>
      <c r="BB115" s="22">
        <f t="shared" si="579"/>
        <v>0</v>
      </c>
      <c r="BC115" s="22">
        <f t="shared" si="579"/>
        <v>0</v>
      </c>
      <c r="BD115" s="22" t="str">
        <f t="shared" ref="BD115:BG115" si="580">IF(L115 = true, BD$1, 0)</f>
        <v>Shop</v>
      </c>
      <c r="BE115" s="22">
        <f t="shared" si="580"/>
        <v>0</v>
      </c>
      <c r="BF115" s="22" t="str">
        <f t="shared" si="580"/>
        <v>Parking</v>
      </c>
      <c r="BG115" s="22" t="str">
        <f t="shared" si="580"/>
        <v>Restaurant</v>
      </c>
      <c r="BH115" s="22" t="str">
        <f>IFERROR(__xludf.DUMMYFUNCTION("""COMPUTED_VALUE"""),"Artotheek ")</f>
        <v>Artotheek </v>
      </c>
      <c r="BI115" s="24">
        <f>IFERROR(__xludf.DUMMYFUNCTION("""COMPUTED_VALUE"""),6.0)</f>
        <v>6</v>
      </c>
      <c r="BJ115" s="22" t="b">
        <f>IFERROR(__xludf.DUMMYFUNCTION("""COMPUTED_VALUE"""),FALSE)</f>
        <v>0</v>
      </c>
      <c r="BK115" s="22" t="b">
        <f>IFERROR(__xludf.DUMMYFUNCTION("""COMPUTED_VALUE"""),FALSE)</f>
        <v>0</v>
      </c>
      <c r="BL115" s="22"/>
      <c r="BM115" s="22">
        <f>IFERROR(__xludf.DUMMYFUNCTION("""COMPUTED_VALUE"""),0.0)</f>
        <v>0</v>
      </c>
      <c r="BN115" s="22">
        <f>IFERROR(__xludf.DUMMYFUNCTION("""COMPUTED_VALUE"""),1.0)</f>
        <v>1</v>
      </c>
      <c r="BO115" s="22">
        <f>IFERROR(__xludf.DUMMYFUNCTION("""COMPUTED_VALUE"""),0.0)</f>
        <v>0</v>
      </c>
      <c r="BP115" s="22">
        <f>IFERROR(__xludf.DUMMYFUNCTION("""COMPUTED_VALUE"""),0.0)</f>
        <v>0</v>
      </c>
      <c r="BQ115" s="22">
        <f>IFERROR(__xludf.DUMMYFUNCTION("""COMPUTED_VALUE"""),0.0)</f>
        <v>0</v>
      </c>
      <c r="BR115" s="22">
        <f>IFERROR(__xludf.DUMMYFUNCTION("""COMPUTED_VALUE"""),0.0)</f>
        <v>0</v>
      </c>
      <c r="BS115" s="22">
        <f>IFERROR(__xludf.DUMMYFUNCTION("""COMPUTED_VALUE"""),1.0)</f>
        <v>1</v>
      </c>
      <c r="BT115" s="22">
        <f>IFERROR(__xludf.DUMMYFUNCTION("""COMPUTED_VALUE"""),0.0)</f>
        <v>0</v>
      </c>
      <c r="BU115" s="22">
        <f>IFERROR(__xludf.DUMMYFUNCTION("""COMPUTED_VALUE"""),2.0)</f>
        <v>2</v>
      </c>
      <c r="BV115" s="22">
        <f>IFERROR(__xludf.DUMMYFUNCTION("""COMPUTED_VALUE"""),1.0)</f>
        <v>1</v>
      </c>
      <c r="BW115" s="22">
        <f>IFERROR(__xludf.DUMMYFUNCTION("""COMPUTED_VALUE"""),1.0)</f>
        <v>1</v>
      </c>
      <c r="BX115" s="22">
        <f>IFERROR(__xludf.DUMMYFUNCTION("""COMPUTED_VALUE"""),0.0)</f>
        <v>0</v>
      </c>
      <c r="BY115" s="22">
        <f>IFERROR(__xludf.DUMMYFUNCTION("""COMPUTED_VALUE"""),0.0)</f>
        <v>0</v>
      </c>
      <c r="BZ115" s="22">
        <f>IFERROR(__xludf.DUMMYFUNCTION("""COMPUTED_VALUE"""),0.0)</f>
        <v>0</v>
      </c>
      <c r="CA115" s="22">
        <f>IFERROR(__xludf.DUMMYFUNCTION("""COMPUTED_VALUE"""),1.0)</f>
        <v>1</v>
      </c>
      <c r="CB115" s="22">
        <f>IFERROR(__xludf.DUMMYFUNCTION("""COMPUTED_VALUE"""),4.0)</f>
        <v>4</v>
      </c>
      <c r="CC115" s="61">
        <f>IFERROR(__xludf.DUMMYFUNCTION("""COMPUTED_VALUE"""),2.5)</f>
        <v>2.5</v>
      </c>
      <c r="CD115" s="62" t="str">
        <f>IFERROR(__xludf.DUMMYFUNCTION("""COMPUTED_VALUE"""),"subpar")</f>
        <v>subpar</v>
      </c>
      <c r="CE115" s="22" t="s">
        <v>314</v>
      </c>
      <c r="CF115" s="24">
        <v>6.0</v>
      </c>
      <c r="CG115" s="22" t="b">
        <v>0</v>
      </c>
      <c r="CH115" s="22" t="b">
        <v>0</v>
      </c>
      <c r="CI115" s="22"/>
      <c r="CJ115" s="22">
        <v>0.0</v>
      </c>
      <c r="CK115" s="22">
        <v>1.0</v>
      </c>
      <c r="CL115" s="22">
        <v>0.0</v>
      </c>
      <c r="CM115" s="22">
        <v>0.0</v>
      </c>
      <c r="CN115" s="22">
        <v>0.0</v>
      </c>
      <c r="CO115" s="22">
        <v>0.0</v>
      </c>
      <c r="CP115" s="22">
        <v>1.0</v>
      </c>
      <c r="CQ115" s="22">
        <v>0.0</v>
      </c>
      <c r="CR115" s="22">
        <v>2.0</v>
      </c>
      <c r="CS115" s="22">
        <v>1.0</v>
      </c>
      <c r="CT115" s="22">
        <v>1.0</v>
      </c>
      <c r="CU115" s="22">
        <v>0.0</v>
      </c>
      <c r="CV115" s="22">
        <v>0.0</v>
      </c>
      <c r="CW115" s="22">
        <v>0.0</v>
      </c>
      <c r="CX115" s="22">
        <v>1.0</v>
      </c>
      <c r="CY115" s="22">
        <v>4.0</v>
      </c>
      <c r="CZ115" s="61">
        <v>2.5</v>
      </c>
      <c r="DA115" s="62" t="s">
        <v>568</v>
      </c>
    </row>
    <row r="116">
      <c r="A116" s="16" t="s">
        <v>263</v>
      </c>
      <c r="B116" s="16"/>
      <c r="C116" s="17" t="s">
        <v>40</v>
      </c>
      <c r="D116" s="16" t="s">
        <v>68</v>
      </c>
      <c r="E116" s="17" t="b">
        <f t="shared" ref="E116:K116" si="581">If(IFERROR(SEARCH(E$1, $D116),0) &gt;= 1, true,false)</f>
        <v>1</v>
      </c>
      <c r="F116" s="17" t="b">
        <f t="shared" si="581"/>
        <v>0</v>
      </c>
      <c r="G116" s="17" t="b">
        <f t="shared" si="581"/>
        <v>0</v>
      </c>
      <c r="H116" s="17" t="b">
        <f t="shared" si="581"/>
        <v>0</v>
      </c>
      <c r="I116" s="17" t="b">
        <f t="shared" si="581"/>
        <v>1</v>
      </c>
      <c r="J116" s="17" t="b">
        <f t="shared" si="581"/>
        <v>1</v>
      </c>
      <c r="K116" s="17" t="b">
        <f t="shared" si="581"/>
        <v>1</v>
      </c>
      <c r="L116" s="18" t="b">
        <v>1</v>
      </c>
      <c r="M116" s="18" t="b">
        <v>0</v>
      </c>
      <c r="N116" s="18" t="b">
        <v>0</v>
      </c>
      <c r="O116" s="18" t="b">
        <v>0</v>
      </c>
      <c r="P116" s="16" t="str">
        <f t="shared" si="7"/>
        <v>GlazenHuis</v>
      </c>
      <c r="Q116" s="19">
        <v>5.0</v>
      </c>
      <c r="R116" s="20" t="b">
        <v>1</v>
      </c>
      <c r="S116" s="18" t="b">
        <v>0</v>
      </c>
      <c r="T116" s="16"/>
      <c r="U116" s="21">
        <f t="shared" si="8"/>
        <v>0</v>
      </c>
      <c r="V116" s="21">
        <f t="shared" ref="V116:AB116" si="582">if(OR(AW116 = $AO$4, AW116 = $AQ$4), 1, 0)</f>
        <v>1</v>
      </c>
      <c r="W116" s="21">
        <f t="shared" si="582"/>
        <v>0</v>
      </c>
      <c r="X116" s="21">
        <f t="shared" si="582"/>
        <v>0</v>
      </c>
      <c r="Y116" s="21">
        <f t="shared" si="582"/>
        <v>0</v>
      </c>
      <c r="Z116" s="21">
        <f t="shared" si="582"/>
        <v>0</v>
      </c>
      <c r="AA116" s="21">
        <f t="shared" si="582"/>
        <v>1</v>
      </c>
      <c r="AB116" s="21">
        <f t="shared" si="582"/>
        <v>0</v>
      </c>
      <c r="AC116" s="21">
        <f t="shared" si="10"/>
        <v>2</v>
      </c>
      <c r="AD116" s="21">
        <f t="shared" si="11"/>
        <v>1</v>
      </c>
      <c r="AE116" s="21">
        <f t="shared" ref="AE116:AH116" si="583">if(OR(BD116 = $AO$6, BD116 = $AS$6, BD116 = $AT$6, BD116 = $AU$6), 1, 0)</f>
        <v>1</v>
      </c>
      <c r="AF116" s="21">
        <f t="shared" si="583"/>
        <v>0</v>
      </c>
      <c r="AG116" s="21">
        <f t="shared" si="583"/>
        <v>0</v>
      </c>
      <c r="AH116" s="21">
        <f t="shared" si="583"/>
        <v>0</v>
      </c>
      <c r="AI116" s="21">
        <f t="shared" si="13"/>
        <v>1</v>
      </c>
      <c r="AJ116" s="21">
        <f t="shared" si="14"/>
        <v>4</v>
      </c>
      <c r="AK116" s="59">
        <f t="shared" si="15"/>
        <v>2.5</v>
      </c>
      <c r="AL116" s="60" t="str">
        <f t="shared" si="16"/>
        <v>subpar</v>
      </c>
      <c r="AW116" s="22" t="str">
        <f t="shared" ref="AW116:BC116" si="584">IF(IFERROR(SEARCH(E$1, $D116),0) &gt;= 1, E$1,0)</f>
        <v>Geschiedenis en archeologie</v>
      </c>
      <c r="AX116" s="22">
        <f t="shared" si="584"/>
        <v>0</v>
      </c>
      <c r="AY116" s="22">
        <f t="shared" si="584"/>
        <v>0</v>
      </c>
      <c r="AZ116" s="22">
        <f t="shared" si="584"/>
        <v>0</v>
      </c>
      <c r="BA116" s="22" t="str">
        <f t="shared" si="584"/>
        <v>Architectuur</v>
      </c>
      <c r="BB116" s="22" t="str">
        <f t="shared" si="584"/>
        <v>Beeldende kunst</v>
      </c>
      <c r="BC116" s="22" t="str">
        <f t="shared" si="584"/>
        <v>Toegepaste kunst en design</v>
      </c>
      <c r="BD116" s="22" t="str">
        <f t="shared" ref="BD116:BG116" si="585">IF(L116 = true, BD$1, 0)</f>
        <v>Shop</v>
      </c>
      <c r="BE116" s="22">
        <f t="shared" si="585"/>
        <v>0</v>
      </c>
      <c r="BF116" s="22">
        <f t="shared" si="585"/>
        <v>0</v>
      </c>
      <c r="BG116" s="22">
        <f t="shared" si="585"/>
        <v>0</v>
      </c>
      <c r="BH116" s="22" t="str">
        <f>IFERROR(__xludf.DUMMYFUNCTION("""COMPUTED_VALUE"""),"Centre Daily-Bul &amp; C° ")</f>
        <v>Centre Daily-Bul &amp; C° </v>
      </c>
      <c r="BI116" s="24">
        <f>IFERROR(__xludf.DUMMYFUNCTION("""COMPUTED_VALUE"""),0.0)</f>
        <v>0</v>
      </c>
      <c r="BJ116" s="22" t="b">
        <f>IFERROR(__xludf.DUMMYFUNCTION("""COMPUTED_VALUE"""),FALSE)</f>
        <v>0</v>
      </c>
      <c r="BK116" s="22" t="b">
        <f>IFERROR(__xludf.DUMMYFUNCTION("""COMPUTED_VALUE"""),TRUE)</f>
        <v>1</v>
      </c>
      <c r="BL116" s="24">
        <f>IFERROR(__xludf.DUMMYFUNCTION("""COMPUTED_VALUE"""),0.0)</f>
        <v>0</v>
      </c>
      <c r="BM116" s="22">
        <f>IFERROR(__xludf.DUMMYFUNCTION("""COMPUTED_VALUE"""),0.0)</f>
        <v>0</v>
      </c>
      <c r="BN116" s="22">
        <f>IFERROR(__xludf.DUMMYFUNCTION("""COMPUTED_VALUE"""),0.0)</f>
        <v>0</v>
      </c>
      <c r="BO116" s="22">
        <f>IFERROR(__xludf.DUMMYFUNCTION("""COMPUTED_VALUE"""),0.0)</f>
        <v>0</v>
      </c>
      <c r="BP116" s="22">
        <f>IFERROR(__xludf.DUMMYFUNCTION("""COMPUTED_VALUE"""),0.0)</f>
        <v>0</v>
      </c>
      <c r="BQ116" s="22">
        <f>IFERROR(__xludf.DUMMYFUNCTION("""COMPUTED_VALUE"""),0.0)</f>
        <v>0</v>
      </c>
      <c r="BR116" s="22">
        <f>IFERROR(__xludf.DUMMYFUNCTION("""COMPUTED_VALUE"""),0.0)</f>
        <v>0</v>
      </c>
      <c r="BS116" s="22">
        <f>IFERROR(__xludf.DUMMYFUNCTION("""COMPUTED_VALUE"""),1.0)</f>
        <v>1</v>
      </c>
      <c r="BT116" s="22">
        <f>IFERROR(__xludf.DUMMYFUNCTION("""COMPUTED_VALUE"""),0.0)</f>
        <v>0</v>
      </c>
      <c r="BU116" s="22">
        <f>IFERROR(__xludf.DUMMYFUNCTION("""COMPUTED_VALUE"""),1.0)</f>
        <v>1</v>
      </c>
      <c r="BV116" s="22">
        <f>IFERROR(__xludf.DUMMYFUNCTION("""COMPUTED_VALUE"""),1.0)</f>
        <v>1</v>
      </c>
      <c r="BW116" s="22">
        <f>IFERROR(__xludf.DUMMYFUNCTION("""COMPUTED_VALUE"""),1.0)</f>
        <v>1</v>
      </c>
      <c r="BX116" s="22">
        <f>IFERROR(__xludf.DUMMYFUNCTION("""COMPUTED_VALUE"""),0.0)</f>
        <v>0</v>
      </c>
      <c r="BY116" s="22">
        <f>IFERROR(__xludf.DUMMYFUNCTION("""COMPUTED_VALUE"""),0.0)</f>
        <v>0</v>
      </c>
      <c r="BZ116" s="22">
        <f>IFERROR(__xludf.DUMMYFUNCTION("""COMPUTED_VALUE"""),1.0)</f>
        <v>1</v>
      </c>
      <c r="CA116" s="22">
        <f>IFERROR(__xludf.DUMMYFUNCTION("""COMPUTED_VALUE"""),2.0)</f>
        <v>2</v>
      </c>
      <c r="CB116" s="22">
        <f>IFERROR(__xludf.DUMMYFUNCTION("""COMPUTED_VALUE"""),4.0)</f>
        <v>4</v>
      </c>
      <c r="CC116" s="61">
        <f>IFERROR(__xludf.DUMMYFUNCTION("""COMPUTED_VALUE"""),2.5)</f>
        <v>2.5</v>
      </c>
      <c r="CD116" s="62" t="str">
        <f>IFERROR(__xludf.DUMMYFUNCTION("""COMPUTED_VALUE"""),"subpar")</f>
        <v>subpar</v>
      </c>
      <c r="CE116" s="22" t="s">
        <v>330</v>
      </c>
      <c r="CF116" s="24">
        <v>0.0</v>
      </c>
      <c r="CG116" s="22" t="b">
        <v>0</v>
      </c>
      <c r="CH116" s="22" t="b">
        <v>1</v>
      </c>
      <c r="CI116" s="24">
        <v>0.0</v>
      </c>
      <c r="CJ116" s="22">
        <v>0.0</v>
      </c>
      <c r="CK116" s="22">
        <v>0.0</v>
      </c>
      <c r="CL116" s="22">
        <v>0.0</v>
      </c>
      <c r="CM116" s="22">
        <v>0.0</v>
      </c>
      <c r="CN116" s="22">
        <v>0.0</v>
      </c>
      <c r="CO116" s="22">
        <v>0.0</v>
      </c>
      <c r="CP116" s="22">
        <v>1.0</v>
      </c>
      <c r="CQ116" s="22">
        <v>0.0</v>
      </c>
      <c r="CR116" s="22">
        <v>1.0</v>
      </c>
      <c r="CS116" s="22">
        <v>1.0</v>
      </c>
      <c r="CT116" s="22">
        <v>1.0</v>
      </c>
      <c r="CU116" s="22">
        <v>0.0</v>
      </c>
      <c r="CV116" s="22">
        <v>0.0</v>
      </c>
      <c r="CW116" s="22">
        <v>1.0</v>
      </c>
      <c r="CX116" s="22">
        <v>2.0</v>
      </c>
      <c r="CY116" s="22">
        <v>4.0</v>
      </c>
      <c r="CZ116" s="61">
        <v>2.5</v>
      </c>
      <c r="DA116" s="62" t="s">
        <v>568</v>
      </c>
    </row>
    <row r="117">
      <c r="A117" s="16" t="s">
        <v>264</v>
      </c>
      <c r="B117" s="16" t="s">
        <v>265</v>
      </c>
      <c r="C117" s="17" t="s">
        <v>40</v>
      </c>
      <c r="D117" s="16" t="s">
        <v>95</v>
      </c>
      <c r="E117" s="17" t="b">
        <f t="shared" ref="E117:K117" si="586">If(IFERROR(SEARCH(E$1, $D117),0) &gt;= 1, true,false)</f>
        <v>1</v>
      </c>
      <c r="F117" s="17" t="b">
        <f t="shared" si="586"/>
        <v>0</v>
      </c>
      <c r="G117" s="17" t="b">
        <f t="shared" si="586"/>
        <v>0</v>
      </c>
      <c r="H117" s="17" t="b">
        <f t="shared" si="586"/>
        <v>0</v>
      </c>
      <c r="I117" s="17" t="b">
        <f t="shared" si="586"/>
        <v>0</v>
      </c>
      <c r="J117" s="17" t="b">
        <f t="shared" si="586"/>
        <v>1</v>
      </c>
      <c r="K117" s="17" t="b">
        <f t="shared" si="586"/>
        <v>0</v>
      </c>
      <c r="L117" s="18" t="b">
        <v>1</v>
      </c>
      <c r="M117" s="18" t="b">
        <v>0</v>
      </c>
      <c r="N117" s="18" t="b">
        <v>0</v>
      </c>
      <c r="O117" s="18" t="b">
        <v>0</v>
      </c>
      <c r="P117" s="16" t="str">
        <f t="shared" si="7"/>
        <v>Het Stadsmus Hasselt</v>
      </c>
      <c r="Q117" s="19">
        <v>0.0</v>
      </c>
      <c r="R117" s="20" t="b">
        <v>0</v>
      </c>
      <c r="S117" s="18" t="b">
        <v>0</v>
      </c>
      <c r="T117" s="16"/>
      <c r="U117" s="21">
        <f t="shared" si="8"/>
        <v>0</v>
      </c>
      <c r="V117" s="21">
        <f t="shared" ref="V117:AB117" si="587">if(OR(AW117 = $AO$4, AW117 = $AQ$4), 1, 0)</f>
        <v>1</v>
      </c>
      <c r="W117" s="21">
        <f t="shared" si="587"/>
        <v>0</v>
      </c>
      <c r="X117" s="21">
        <f t="shared" si="587"/>
        <v>0</v>
      </c>
      <c r="Y117" s="21">
        <f t="shared" si="587"/>
        <v>0</v>
      </c>
      <c r="Z117" s="21">
        <f t="shared" si="587"/>
        <v>0</v>
      </c>
      <c r="AA117" s="21">
        <f t="shared" si="587"/>
        <v>1</v>
      </c>
      <c r="AB117" s="21">
        <f t="shared" si="587"/>
        <v>0</v>
      </c>
      <c r="AC117" s="21">
        <f t="shared" si="10"/>
        <v>2</v>
      </c>
      <c r="AD117" s="21">
        <f t="shared" si="11"/>
        <v>1</v>
      </c>
      <c r="AE117" s="21">
        <f t="shared" ref="AE117:AH117" si="588">if(OR(BD117 = $AO$6, BD117 = $AS$6, BD117 = $AT$6, BD117 = $AU$6), 1, 0)</f>
        <v>1</v>
      </c>
      <c r="AF117" s="21">
        <f t="shared" si="588"/>
        <v>0</v>
      </c>
      <c r="AG117" s="21">
        <f t="shared" si="588"/>
        <v>0</v>
      </c>
      <c r="AH117" s="21">
        <f t="shared" si="588"/>
        <v>0</v>
      </c>
      <c r="AI117" s="21">
        <f t="shared" si="13"/>
        <v>1</v>
      </c>
      <c r="AJ117" s="21">
        <f t="shared" si="14"/>
        <v>4</v>
      </c>
      <c r="AK117" s="59">
        <f t="shared" si="15"/>
        <v>2.5</v>
      </c>
      <c r="AL117" s="60" t="str">
        <f t="shared" si="16"/>
        <v>subpar</v>
      </c>
      <c r="AW117" s="22" t="str">
        <f t="shared" ref="AW117:BC117" si="589">IF(IFERROR(SEARCH(E$1, $D117),0) &gt;= 1, E$1,0)</f>
        <v>Geschiedenis en archeologie</v>
      </c>
      <c r="AX117" s="22">
        <f t="shared" si="589"/>
        <v>0</v>
      </c>
      <c r="AY117" s="22">
        <f t="shared" si="589"/>
        <v>0</v>
      </c>
      <c r="AZ117" s="22">
        <f t="shared" si="589"/>
        <v>0</v>
      </c>
      <c r="BA117" s="22">
        <f t="shared" si="589"/>
        <v>0</v>
      </c>
      <c r="BB117" s="22" t="str">
        <f t="shared" si="589"/>
        <v>Beeldende kunst</v>
      </c>
      <c r="BC117" s="22">
        <f t="shared" si="589"/>
        <v>0</v>
      </c>
      <c r="BD117" s="22" t="str">
        <f t="shared" ref="BD117:BG117" si="590">IF(L117 = true, BD$1, 0)</f>
        <v>Shop</v>
      </c>
      <c r="BE117" s="22">
        <f t="shared" si="590"/>
        <v>0</v>
      </c>
      <c r="BF117" s="22">
        <f t="shared" si="590"/>
        <v>0</v>
      </c>
      <c r="BG117" s="22">
        <f t="shared" si="590"/>
        <v>0</v>
      </c>
      <c r="BH117" s="22" t="str">
        <f>IFERROR(__xludf.DUMMYFUNCTION("""COMPUTED_VALUE"""),"Wetenschappelijk Cultuurcentrum - ULB")</f>
        <v>Wetenschappelijk Cultuurcentrum - ULB</v>
      </c>
      <c r="BI117" s="24">
        <f>IFERROR(__xludf.DUMMYFUNCTION("""COMPUTED_VALUE"""),6.0)</f>
        <v>6</v>
      </c>
      <c r="BJ117" s="22" t="b">
        <f>IFERROR(__xludf.DUMMYFUNCTION("""COMPUTED_VALUE"""),FALSE)</f>
        <v>0</v>
      </c>
      <c r="BK117" s="22" t="b">
        <f>IFERROR(__xludf.DUMMYFUNCTION("""COMPUTED_VALUE"""),TRUE)</f>
        <v>1</v>
      </c>
      <c r="BL117" s="24">
        <f>IFERROR(__xludf.DUMMYFUNCTION("""COMPUTED_VALUE"""),6.0)</f>
        <v>6</v>
      </c>
      <c r="BM117" s="22">
        <f>IFERROR(__xludf.DUMMYFUNCTION("""COMPUTED_VALUE"""),0.0)</f>
        <v>0</v>
      </c>
      <c r="BN117" s="22">
        <f>IFERROR(__xludf.DUMMYFUNCTION("""COMPUTED_VALUE"""),0.0)</f>
        <v>0</v>
      </c>
      <c r="BO117" s="22">
        <f>IFERROR(__xludf.DUMMYFUNCTION("""COMPUTED_VALUE"""),0.0)</f>
        <v>0</v>
      </c>
      <c r="BP117" s="22">
        <f>IFERROR(__xludf.DUMMYFUNCTION("""COMPUTED_VALUE"""),0.0)</f>
        <v>0</v>
      </c>
      <c r="BQ117" s="22">
        <f>IFERROR(__xludf.DUMMYFUNCTION("""COMPUTED_VALUE"""),0.0)</f>
        <v>0</v>
      </c>
      <c r="BR117" s="22">
        <f>IFERROR(__xludf.DUMMYFUNCTION("""COMPUTED_VALUE"""),0.0)</f>
        <v>0</v>
      </c>
      <c r="BS117" s="22">
        <f>IFERROR(__xludf.DUMMYFUNCTION("""COMPUTED_VALUE"""),0.0)</f>
        <v>0</v>
      </c>
      <c r="BT117" s="22">
        <f>IFERROR(__xludf.DUMMYFUNCTION("""COMPUTED_VALUE"""),0.0)</f>
        <v>0</v>
      </c>
      <c r="BU117" s="22">
        <f>IFERROR(__xludf.DUMMYFUNCTION("""COMPUTED_VALUE"""),0.0)</f>
        <v>0</v>
      </c>
      <c r="BV117" s="22">
        <f>IFERROR(__xludf.DUMMYFUNCTION("""COMPUTED_VALUE"""),1.0)</f>
        <v>1</v>
      </c>
      <c r="BW117" s="22">
        <f>IFERROR(__xludf.DUMMYFUNCTION("""COMPUTED_VALUE"""),1.0)</f>
        <v>1</v>
      </c>
      <c r="BX117" s="22">
        <f>IFERROR(__xludf.DUMMYFUNCTION("""COMPUTED_VALUE"""),1.0)</f>
        <v>1</v>
      </c>
      <c r="BY117" s="22">
        <f>IFERROR(__xludf.DUMMYFUNCTION("""COMPUTED_VALUE"""),0.0)</f>
        <v>0</v>
      </c>
      <c r="BZ117" s="22">
        <f>IFERROR(__xludf.DUMMYFUNCTION("""COMPUTED_VALUE"""),1.0)</f>
        <v>1</v>
      </c>
      <c r="CA117" s="22">
        <f>IFERROR(__xludf.DUMMYFUNCTION("""COMPUTED_VALUE"""),3.0)</f>
        <v>3</v>
      </c>
      <c r="CB117" s="22">
        <f>IFERROR(__xludf.DUMMYFUNCTION("""COMPUTED_VALUE"""),4.0)</f>
        <v>4</v>
      </c>
      <c r="CC117" s="61">
        <f>IFERROR(__xludf.DUMMYFUNCTION("""COMPUTED_VALUE"""),2.5)</f>
        <v>2.5</v>
      </c>
      <c r="CD117" s="62" t="str">
        <f>IFERROR(__xludf.DUMMYFUNCTION("""COMPUTED_VALUE"""),"subpar")</f>
        <v>subpar</v>
      </c>
      <c r="CE117" s="22" t="s">
        <v>332</v>
      </c>
      <c r="CF117" s="24">
        <v>6.0</v>
      </c>
      <c r="CG117" s="22" t="b">
        <v>0</v>
      </c>
      <c r="CH117" s="22" t="b">
        <v>1</v>
      </c>
      <c r="CI117" s="24">
        <v>6.0</v>
      </c>
      <c r="CJ117" s="22">
        <v>0.0</v>
      </c>
      <c r="CK117" s="22">
        <v>0.0</v>
      </c>
      <c r="CL117" s="22">
        <v>0.0</v>
      </c>
      <c r="CM117" s="22">
        <v>0.0</v>
      </c>
      <c r="CN117" s="22">
        <v>0.0</v>
      </c>
      <c r="CO117" s="22">
        <v>0.0</v>
      </c>
      <c r="CP117" s="22">
        <v>0.0</v>
      </c>
      <c r="CQ117" s="22">
        <v>0.0</v>
      </c>
      <c r="CR117" s="22">
        <v>0.0</v>
      </c>
      <c r="CS117" s="22">
        <v>1.0</v>
      </c>
      <c r="CT117" s="22">
        <v>1.0</v>
      </c>
      <c r="CU117" s="22">
        <v>1.0</v>
      </c>
      <c r="CV117" s="22">
        <v>0.0</v>
      </c>
      <c r="CW117" s="22">
        <v>1.0</v>
      </c>
      <c r="CX117" s="22">
        <v>3.0</v>
      </c>
      <c r="CY117" s="22">
        <v>4.0</v>
      </c>
      <c r="CZ117" s="61">
        <v>2.5</v>
      </c>
      <c r="DA117" s="62" t="s">
        <v>568</v>
      </c>
    </row>
    <row r="118">
      <c r="A118" s="16" t="s">
        <v>266</v>
      </c>
      <c r="B118" s="16" t="s">
        <v>267</v>
      </c>
      <c r="C118" s="17" t="s">
        <v>40</v>
      </c>
      <c r="D118" s="16" t="s">
        <v>107</v>
      </c>
      <c r="E118" s="17" t="b">
        <f t="shared" ref="E118:K118" si="591">If(IFERROR(SEARCH(E$1, $D118),0) &gt;= 1, true,false)</f>
        <v>1</v>
      </c>
      <c r="F118" s="17" t="b">
        <f t="shared" si="591"/>
        <v>1</v>
      </c>
      <c r="G118" s="17" t="b">
        <f t="shared" si="591"/>
        <v>0</v>
      </c>
      <c r="H118" s="17" t="b">
        <f t="shared" si="591"/>
        <v>0</v>
      </c>
      <c r="I118" s="17" t="b">
        <f t="shared" si="591"/>
        <v>0</v>
      </c>
      <c r="J118" s="17" t="b">
        <f t="shared" si="591"/>
        <v>0</v>
      </c>
      <c r="K118" s="17" t="b">
        <f t="shared" si="591"/>
        <v>0</v>
      </c>
      <c r="L118" s="18" t="b">
        <v>1</v>
      </c>
      <c r="M118" s="18" t="b">
        <v>0</v>
      </c>
      <c r="N118" s="18" t="b">
        <v>0</v>
      </c>
      <c r="O118" s="18" t="b">
        <v>1</v>
      </c>
      <c r="P118" s="16" t="str">
        <f t="shared" si="7"/>
        <v>Jenevermuseum</v>
      </c>
      <c r="Q118" s="19">
        <v>7.0</v>
      </c>
      <c r="R118" s="20" t="b">
        <v>0</v>
      </c>
      <c r="S118" s="18" t="b">
        <v>1</v>
      </c>
      <c r="T118" s="29">
        <v>7.0</v>
      </c>
      <c r="U118" s="21">
        <f t="shared" si="8"/>
        <v>0</v>
      </c>
      <c r="V118" s="21">
        <f t="shared" ref="V118:AB118" si="592">if(OR(AW118 = $AO$4, AW118 = $AQ$4), 1, 0)</f>
        <v>1</v>
      </c>
      <c r="W118" s="21">
        <f t="shared" si="592"/>
        <v>0</v>
      </c>
      <c r="X118" s="21">
        <f t="shared" si="592"/>
        <v>0</v>
      </c>
      <c r="Y118" s="21">
        <f t="shared" si="592"/>
        <v>0</v>
      </c>
      <c r="Z118" s="21">
        <f t="shared" si="592"/>
        <v>0</v>
      </c>
      <c r="AA118" s="21">
        <f t="shared" si="592"/>
        <v>0</v>
      </c>
      <c r="AB118" s="21">
        <f t="shared" si="592"/>
        <v>0</v>
      </c>
      <c r="AC118" s="21">
        <f t="shared" si="10"/>
        <v>1</v>
      </c>
      <c r="AD118" s="21">
        <f t="shared" si="11"/>
        <v>1</v>
      </c>
      <c r="AE118" s="21">
        <f t="shared" ref="AE118:AH118" si="593">if(OR(BD118 = $AO$6, BD118 = $AS$6, BD118 = $AT$6, BD118 = $AU$6), 1, 0)</f>
        <v>1</v>
      </c>
      <c r="AF118" s="21">
        <f t="shared" si="593"/>
        <v>0</v>
      </c>
      <c r="AG118" s="21">
        <f t="shared" si="593"/>
        <v>0</v>
      </c>
      <c r="AH118" s="21">
        <f t="shared" si="593"/>
        <v>1</v>
      </c>
      <c r="AI118" s="21">
        <f t="shared" si="13"/>
        <v>2</v>
      </c>
      <c r="AJ118" s="21">
        <f t="shared" si="14"/>
        <v>4</v>
      </c>
      <c r="AK118" s="59">
        <f t="shared" si="15"/>
        <v>2.5</v>
      </c>
      <c r="AL118" s="60" t="str">
        <f t="shared" si="16"/>
        <v>subpar</v>
      </c>
      <c r="AW118" s="22" t="str">
        <f t="shared" ref="AW118:BC118" si="594">IF(IFERROR(SEARCH(E$1, $D118),0) &gt;= 1, E$1,0)</f>
        <v>Geschiedenis en archeologie</v>
      </c>
      <c r="AX118" s="22" t="str">
        <f t="shared" si="594"/>
        <v>Wetenschap en technologie</v>
      </c>
      <c r="AY118" s="22">
        <f t="shared" si="594"/>
        <v>0</v>
      </c>
      <c r="AZ118" s="22">
        <f t="shared" si="594"/>
        <v>0</v>
      </c>
      <c r="BA118" s="22">
        <f t="shared" si="594"/>
        <v>0</v>
      </c>
      <c r="BB118" s="22">
        <f t="shared" si="594"/>
        <v>0</v>
      </c>
      <c r="BC118" s="22">
        <f t="shared" si="594"/>
        <v>0</v>
      </c>
      <c r="BD118" s="22" t="str">
        <f t="shared" ref="BD118:BG118" si="595">IF(L118 = true, BD$1, 0)</f>
        <v>Shop</v>
      </c>
      <c r="BE118" s="22">
        <f t="shared" si="595"/>
        <v>0</v>
      </c>
      <c r="BF118" s="22">
        <f t="shared" si="595"/>
        <v>0</v>
      </c>
      <c r="BG118" s="22" t="str">
        <f t="shared" si="595"/>
        <v>Restaurant</v>
      </c>
      <c r="BH118" s="22" t="str">
        <f>IFERROR(__xludf.DUMMYFUNCTION("""COMPUTED_VALUE"""),"Domein van het Kasteel van Seneffe")</f>
        <v>Domein van het Kasteel van Seneffe</v>
      </c>
      <c r="BI118" s="24">
        <f>IFERROR(__xludf.DUMMYFUNCTION("""COMPUTED_VALUE"""),6.0)</f>
        <v>6</v>
      </c>
      <c r="BJ118" s="22" t="b">
        <f>IFERROR(__xludf.DUMMYFUNCTION("""COMPUTED_VALUE"""),FALSE)</f>
        <v>0</v>
      </c>
      <c r="BK118" s="22" t="b">
        <f>IFERROR(__xludf.DUMMYFUNCTION("""COMPUTED_VALUE"""),TRUE)</f>
        <v>1</v>
      </c>
      <c r="BL118" s="24">
        <f>IFERROR(__xludf.DUMMYFUNCTION("""COMPUTED_VALUE"""),6.0)</f>
        <v>6</v>
      </c>
      <c r="BM118" s="22">
        <f>IFERROR(__xludf.DUMMYFUNCTION("""COMPUTED_VALUE"""),0.0)</f>
        <v>0</v>
      </c>
      <c r="BN118" s="22">
        <f>IFERROR(__xludf.DUMMYFUNCTION("""COMPUTED_VALUE"""),0.0)</f>
        <v>0</v>
      </c>
      <c r="BO118" s="22">
        <f>IFERROR(__xludf.DUMMYFUNCTION("""COMPUTED_VALUE"""),0.0)</f>
        <v>0</v>
      </c>
      <c r="BP118" s="22">
        <f>IFERROR(__xludf.DUMMYFUNCTION("""COMPUTED_VALUE"""),0.0)</f>
        <v>0</v>
      </c>
      <c r="BQ118" s="22">
        <f>IFERROR(__xludf.DUMMYFUNCTION("""COMPUTED_VALUE"""),0.0)</f>
        <v>0</v>
      </c>
      <c r="BR118" s="22">
        <f>IFERROR(__xludf.DUMMYFUNCTION("""COMPUTED_VALUE"""),0.0)</f>
        <v>0</v>
      </c>
      <c r="BS118" s="22">
        <f>IFERROR(__xludf.DUMMYFUNCTION("""COMPUTED_VALUE"""),0.0)</f>
        <v>0</v>
      </c>
      <c r="BT118" s="22">
        <f>IFERROR(__xludf.DUMMYFUNCTION("""COMPUTED_VALUE"""),0.0)</f>
        <v>0</v>
      </c>
      <c r="BU118" s="22">
        <f>IFERROR(__xludf.DUMMYFUNCTION("""COMPUTED_VALUE"""),0.0)</f>
        <v>0</v>
      </c>
      <c r="BV118" s="22">
        <f>IFERROR(__xludf.DUMMYFUNCTION("""COMPUTED_VALUE"""),1.0)</f>
        <v>1</v>
      </c>
      <c r="BW118" s="22">
        <f>IFERROR(__xludf.DUMMYFUNCTION("""COMPUTED_VALUE"""),1.0)</f>
        <v>1</v>
      </c>
      <c r="BX118" s="22">
        <f>IFERROR(__xludf.DUMMYFUNCTION("""COMPUTED_VALUE"""),1.0)</f>
        <v>1</v>
      </c>
      <c r="BY118" s="22">
        <f>IFERROR(__xludf.DUMMYFUNCTION("""COMPUTED_VALUE"""),0.0)</f>
        <v>0</v>
      </c>
      <c r="BZ118" s="22">
        <f>IFERROR(__xludf.DUMMYFUNCTION("""COMPUTED_VALUE"""),1.0)</f>
        <v>1</v>
      </c>
      <c r="CA118" s="22">
        <f>IFERROR(__xludf.DUMMYFUNCTION("""COMPUTED_VALUE"""),3.0)</f>
        <v>3</v>
      </c>
      <c r="CB118" s="22">
        <f>IFERROR(__xludf.DUMMYFUNCTION("""COMPUTED_VALUE"""),4.0)</f>
        <v>4</v>
      </c>
      <c r="CC118" s="61">
        <f>IFERROR(__xludf.DUMMYFUNCTION("""COMPUTED_VALUE"""),2.5)</f>
        <v>2.5</v>
      </c>
      <c r="CD118" s="62" t="str">
        <f>IFERROR(__xludf.DUMMYFUNCTION("""COMPUTED_VALUE"""),"subpar")</f>
        <v>subpar</v>
      </c>
      <c r="CE118" s="22" t="s">
        <v>339</v>
      </c>
      <c r="CF118" s="24">
        <v>6.0</v>
      </c>
      <c r="CG118" s="22" t="b">
        <v>0</v>
      </c>
      <c r="CH118" s="22" t="b">
        <v>1</v>
      </c>
      <c r="CI118" s="24">
        <v>6.0</v>
      </c>
      <c r="CJ118" s="22">
        <v>0.0</v>
      </c>
      <c r="CK118" s="22">
        <v>0.0</v>
      </c>
      <c r="CL118" s="22">
        <v>0.0</v>
      </c>
      <c r="CM118" s="22">
        <v>0.0</v>
      </c>
      <c r="CN118" s="22">
        <v>0.0</v>
      </c>
      <c r="CO118" s="22">
        <v>0.0</v>
      </c>
      <c r="CP118" s="22">
        <v>0.0</v>
      </c>
      <c r="CQ118" s="22">
        <v>0.0</v>
      </c>
      <c r="CR118" s="22">
        <v>0.0</v>
      </c>
      <c r="CS118" s="22">
        <v>1.0</v>
      </c>
      <c r="CT118" s="22">
        <v>1.0</v>
      </c>
      <c r="CU118" s="22">
        <v>1.0</v>
      </c>
      <c r="CV118" s="22">
        <v>0.0</v>
      </c>
      <c r="CW118" s="22">
        <v>1.0</v>
      </c>
      <c r="CX118" s="22">
        <v>3.0</v>
      </c>
      <c r="CY118" s="22">
        <v>4.0</v>
      </c>
      <c r="CZ118" s="61">
        <v>2.5</v>
      </c>
      <c r="DA118" s="62" t="s">
        <v>568</v>
      </c>
    </row>
    <row r="119">
      <c r="A119" s="16" t="s">
        <v>268</v>
      </c>
      <c r="B119" s="16"/>
      <c r="C119" s="17" t="s">
        <v>40</v>
      </c>
      <c r="D119" s="16" t="s">
        <v>269</v>
      </c>
      <c r="E119" s="17" t="b">
        <f t="shared" ref="E119:K119" si="596">If(IFERROR(SEARCH(E$1, $D119),0) &gt;= 1, true,false)</f>
        <v>0</v>
      </c>
      <c r="F119" s="17" t="b">
        <f t="shared" si="596"/>
        <v>1</v>
      </c>
      <c r="G119" s="17" t="b">
        <f t="shared" si="596"/>
        <v>0</v>
      </c>
      <c r="H119" s="17" t="b">
        <f t="shared" si="596"/>
        <v>0</v>
      </c>
      <c r="I119" s="17" t="b">
        <f t="shared" si="596"/>
        <v>1</v>
      </c>
      <c r="J119" s="17" t="b">
        <f t="shared" si="596"/>
        <v>1</v>
      </c>
      <c r="K119" s="17" t="b">
        <f t="shared" si="596"/>
        <v>0</v>
      </c>
      <c r="L119" s="18" t="b">
        <v>1</v>
      </c>
      <c r="M119" s="18" t="b">
        <v>1</v>
      </c>
      <c r="N119" s="18" t="b">
        <v>0</v>
      </c>
      <c r="O119" s="18" t="b">
        <v>0</v>
      </c>
      <c r="P119" s="16" t="str">
        <f t="shared" si="7"/>
        <v>LABIOMISTA</v>
      </c>
      <c r="Q119" s="19">
        <v>14.0</v>
      </c>
      <c r="R119" s="20" t="b">
        <v>1</v>
      </c>
      <c r="S119" s="18" t="b">
        <v>0</v>
      </c>
      <c r="T119" s="16"/>
      <c r="U119" s="21">
        <f t="shared" si="8"/>
        <v>0</v>
      </c>
      <c r="V119" s="21">
        <f t="shared" ref="V119:AB119" si="597">if(OR(AW119 = $AO$4, AW119 = $AQ$4), 1, 0)</f>
        <v>0</v>
      </c>
      <c r="W119" s="21">
        <f t="shared" si="597"/>
        <v>0</v>
      </c>
      <c r="X119" s="21">
        <f t="shared" si="597"/>
        <v>0</v>
      </c>
      <c r="Y119" s="21">
        <f t="shared" si="597"/>
        <v>0</v>
      </c>
      <c r="Z119" s="21">
        <f t="shared" si="597"/>
        <v>0</v>
      </c>
      <c r="AA119" s="21">
        <f t="shared" si="597"/>
        <v>1</v>
      </c>
      <c r="AB119" s="21">
        <f t="shared" si="597"/>
        <v>0</v>
      </c>
      <c r="AC119" s="21">
        <f t="shared" si="10"/>
        <v>1</v>
      </c>
      <c r="AD119" s="21">
        <f t="shared" si="11"/>
        <v>0</v>
      </c>
      <c r="AE119" s="21">
        <f t="shared" ref="AE119:AH119" si="598">if(OR(BD119 = $AO$6, BD119 = $AS$6, BD119 = $AT$6, BD119 = $AU$6), 1, 0)</f>
        <v>1</v>
      </c>
      <c r="AF119" s="21">
        <f t="shared" si="598"/>
        <v>1</v>
      </c>
      <c r="AG119" s="21">
        <f t="shared" si="598"/>
        <v>0</v>
      </c>
      <c r="AH119" s="21">
        <f t="shared" si="598"/>
        <v>0</v>
      </c>
      <c r="AI119" s="21">
        <f t="shared" si="13"/>
        <v>2</v>
      </c>
      <c r="AJ119" s="21">
        <f t="shared" si="14"/>
        <v>3</v>
      </c>
      <c r="AK119" s="59">
        <f t="shared" si="15"/>
        <v>1.875</v>
      </c>
      <c r="AL119" s="60" t="str">
        <f t="shared" si="16"/>
        <v>subpar</v>
      </c>
      <c r="AW119" s="22">
        <f t="shared" ref="AW119:BC119" si="599">IF(IFERROR(SEARCH(E$1, $D119),0) &gt;= 1, E$1,0)</f>
        <v>0</v>
      </c>
      <c r="AX119" s="22" t="str">
        <f t="shared" si="599"/>
        <v>Wetenschap en technologie</v>
      </c>
      <c r="AY119" s="22">
        <f t="shared" si="599"/>
        <v>0</v>
      </c>
      <c r="AZ119" s="22">
        <f t="shared" si="599"/>
        <v>0</v>
      </c>
      <c r="BA119" s="22" t="str">
        <f t="shared" si="599"/>
        <v>Architectuur</v>
      </c>
      <c r="BB119" s="22" t="str">
        <f t="shared" si="599"/>
        <v>Beeldende kunst</v>
      </c>
      <c r="BC119" s="22">
        <f t="shared" si="599"/>
        <v>0</v>
      </c>
      <c r="BD119" s="22" t="str">
        <f t="shared" ref="BD119:BG119" si="600">IF(L119 = true, BD$1, 0)</f>
        <v>Shop</v>
      </c>
      <c r="BE119" s="22" t="str">
        <f t="shared" si="600"/>
        <v>Café</v>
      </c>
      <c r="BF119" s="22">
        <f t="shared" si="600"/>
        <v>0</v>
      </c>
      <c r="BG119" s="22">
        <f t="shared" si="600"/>
        <v>0</v>
      </c>
      <c r="BH119" s="22" t="str">
        <f>IFERROR(__xludf.DUMMYFUNCTION("""COMPUTED_VALUE"""),"Hospitaal Onze-Lieve-Vrouw met de Roos")</f>
        <v>Hospitaal Onze-Lieve-Vrouw met de Roos</v>
      </c>
      <c r="BI119" s="24">
        <f>IFERROR(__xludf.DUMMYFUNCTION("""COMPUTED_VALUE"""),13.0)</f>
        <v>13</v>
      </c>
      <c r="BJ119" s="22" t="b">
        <f>IFERROR(__xludf.DUMMYFUNCTION("""COMPUTED_VALUE"""),FALSE)</f>
        <v>0</v>
      </c>
      <c r="BK119" s="22" t="b">
        <f>IFERROR(__xludf.DUMMYFUNCTION("""COMPUTED_VALUE"""),TRUE)</f>
        <v>1</v>
      </c>
      <c r="BL119" s="24">
        <f>IFERROR(__xludf.DUMMYFUNCTION("""COMPUTED_VALUE"""),13.0)</f>
        <v>13</v>
      </c>
      <c r="BM119" s="22">
        <f>IFERROR(__xludf.DUMMYFUNCTION("""COMPUTED_VALUE"""),0.0)</f>
        <v>0</v>
      </c>
      <c r="BN119" s="22">
        <f>IFERROR(__xludf.DUMMYFUNCTION("""COMPUTED_VALUE"""),1.0)</f>
        <v>1</v>
      </c>
      <c r="BO119" s="22">
        <f>IFERROR(__xludf.DUMMYFUNCTION("""COMPUTED_VALUE"""),0.0)</f>
        <v>0</v>
      </c>
      <c r="BP119" s="22">
        <f>IFERROR(__xludf.DUMMYFUNCTION("""COMPUTED_VALUE"""),0.0)</f>
        <v>0</v>
      </c>
      <c r="BQ119" s="22">
        <f>IFERROR(__xludf.DUMMYFUNCTION("""COMPUTED_VALUE"""),0.0)</f>
        <v>0</v>
      </c>
      <c r="BR119" s="22">
        <f>IFERROR(__xludf.DUMMYFUNCTION("""COMPUTED_VALUE"""),0.0)</f>
        <v>0</v>
      </c>
      <c r="BS119" s="22">
        <f>IFERROR(__xludf.DUMMYFUNCTION("""COMPUTED_VALUE"""),0.0)</f>
        <v>0</v>
      </c>
      <c r="BT119" s="22">
        <f>IFERROR(__xludf.DUMMYFUNCTION("""COMPUTED_VALUE"""),0.0)</f>
        <v>0</v>
      </c>
      <c r="BU119" s="22">
        <f>IFERROR(__xludf.DUMMYFUNCTION("""COMPUTED_VALUE"""),1.0)</f>
        <v>1</v>
      </c>
      <c r="BV119" s="22">
        <f>IFERROR(__xludf.DUMMYFUNCTION("""COMPUTED_VALUE"""),0.0)</f>
        <v>0</v>
      </c>
      <c r="BW119" s="22">
        <f>IFERROR(__xludf.DUMMYFUNCTION("""COMPUTED_VALUE"""),1.0)</f>
        <v>1</v>
      </c>
      <c r="BX119" s="22">
        <f>IFERROR(__xludf.DUMMYFUNCTION("""COMPUTED_VALUE"""),0.0)</f>
        <v>0</v>
      </c>
      <c r="BY119" s="22">
        <f>IFERROR(__xludf.DUMMYFUNCTION("""COMPUTED_VALUE"""),1.0)</f>
        <v>1</v>
      </c>
      <c r="BZ119" s="22">
        <f>IFERROR(__xludf.DUMMYFUNCTION("""COMPUTED_VALUE"""),1.0)</f>
        <v>1</v>
      </c>
      <c r="CA119" s="22">
        <f>IFERROR(__xludf.DUMMYFUNCTION("""COMPUTED_VALUE"""),3.0)</f>
        <v>3</v>
      </c>
      <c r="CB119" s="22">
        <f>IFERROR(__xludf.DUMMYFUNCTION("""COMPUTED_VALUE"""),4.0)</f>
        <v>4</v>
      </c>
      <c r="CC119" s="61">
        <f>IFERROR(__xludf.DUMMYFUNCTION("""COMPUTED_VALUE"""),2.5)</f>
        <v>2.5</v>
      </c>
      <c r="CD119" s="62" t="str">
        <f>IFERROR(__xludf.DUMMYFUNCTION("""COMPUTED_VALUE"""),"subpar")</f>
        <v>subpar</v>
      </c>
      <c r="CE119" s="22" t="s">
        <v>345</v>
      </c>
      <c r="CF119" s="24">
        <v>13.0</v>
      </c>
      <c r="CG119" s="22" t="b">
        <v>0</v>
      </c>
      <c r="CH119" s="22" t="b">
        <v>1</v>
      </c>
      <c r="CI119" s="24">
        <v>13.0</v>
      </c>
      <c r="CJ119" s="22">
        <v>0.0</v>
      </c>
      <c r="CK119" s="22">
        <v>1.0</v>
      </c>
      <c r="CL119" s="22">
        <v>0.0</v>
      </c>
      <c r="CM119" s="22">
        <v>0.0</v>
      </c>
      <c r="CN119" s="22">
        <v>0.0</v>
      </c>
      <c r="CO119" s="22">
        <v>0.0</v>
      </c>
      <c r="CP119" s="22">
        <v>0.0</v>
      </c>
      <c r="CQ119" s="22">
        <v>0.0</v>
      </c>
      <c r="CR119" s="22">
        <v>1.0</v>
      </c>
      <c r="CS119" s="22">
        <v>0.0</v>
      </c>
      <c r="CT119" s="22">
        <v>1.0</v>
      </c>
      <c r="CU119" s="22">
        <v>0.0</v>
      </c>
      <c r="CV119" s="22">
        <v>1.0</v>
      </c>
      <c r="CW119" s="22">
        <v>1.0</v>
      </c>
      <c r="CX119" s="22">
        <v>3.0</v>
      </c>
      <c r="CY119" s="22">
        <v>4.0</v>
      </c>
      <c r="CZ119" s="61">
        <v>2.5</v>
      </c>
      <c r="DA119" s="62" t="s">
        <v>568</v>
      </c>
    </row>
    <row r="120">
      <c r="A120" s="16" t="s">
        <v>270</v>
      </c>
      <c r="B120" s="16"/>
      <c r="C120" s="17" t="s">
        <v>40</v>
      </c>
      <c r="D120" s="16" t="s">
        <v>4</v>
      </c>
      <c r="E120" s="17" t="b">
        <f t="shared" ref="E120:K120" si="601">If(IFERROR(SEARCH(E$1, $D120),0) &gt;= 1, true,false)</f>
        <v>1</v>
      </c>
      <c r="F120" s="17" t="b">
        <f t="shared" si="601"/>
        <v>0</v>
      </c>
      <c r="G120" s="17" t="b">
        <f t="shared" si="601"/>
        <v>0</v>
      </c>
      <c r="H120" s="17" t="b">
        <f t="shared" si="601"/>
        <v>0</v>
      </c>
      <c r="I120" s="17" t="b">
        <f t="shared" si="601"/>
        <v>0</v>
      </c>
      <c r="J120" s="17" t="b">
        <f t="shared" si="601"/>
        <v>0</v>
      </c>
      <c r="K120" s="17" t="b">
        <f t="shared" si="601"/>
        <v>0</v>
      </c>
      <c r="L120" s="18" t="b">
        <v>1</v>
      </c>
      <c r="M120" s="18" t="b">
        <v>1</v>
      </c>
      <c r="N120" s="18" t="b">
        <v>0</v>
      </c>
      <c r="O120" s="18" t="b">
        <v>1</v>
      </c>
      <c r="P120" s="16" t="str">
        <f t="shared" si="7"/>
        <v>Liberation Garden Leopoldsburg</v>
      </c>
      <c r="Q120" s="19">
        <v>15.0</v>
      </c>
      <c r="R120" s="20" t="b">
        <v>0</v>
      </c>
      <c r="S120" s="18" t="b">
        <v>0</v>
      </c>
      <c r="T120" s="16"/>
      <c r="U120" s="21">
        <f t="shared" si="8"/>
        <v>0</v>
      </c>
      <c r="V120" s="21">
        <f t="shared" ref="V120:AB120" si="602">if(OR(AW120 = $AO$4, AW120 = $AQ$4), 1, 0)</f>
        <v>1</v>
      </c>
      <c r="W120" s="21">
        <f t="shared" si="602"/>
        <v>0</v>
      </c>
      <c r="X120" s="21">
        <f t="shared" si="602"/>
        <v>0</v>
      </c>
      <c r="Y120" s="21">
        <f t="shared" si="602"/>
        <v>0</v>
      </c>
      <c r="Z120" s="21">
        <f t="shared" si="602"/>
        <v>0</v>
      </c>
      <c r="AA120" s="21">
        <f t="shared" si="602"/>
        <v>0</v>
      </c>
      <c r="AB120" s="21">
        <f t="shared" si="602"/>
        <v>0</v>
      </c>
      <c r="AC120" s="21">
        <f t="shared" si="10"/>
        <v>1</v>
      </c>
      <c r="AD120" s="21">
        <f t="shared" si="11"/>
        <v>0</v>
      </c>
      <c r="AE120" s="21">
        <f t="shared" ref="AE120:AH120" si="603">if(OR(BD120 = $AO$6, BD120 = $AS$6, BD120 = $AT$6, BD120 = $AU$6), 1, 0)</f>
        <v>1</v>
      </c>
      <c r="AF120" s="21">
        <f t="shared" si="603"/>
        <v>1</v>
      </c>
      <c r="AG120" s="21">
        <f t="shared" si="603"/>
        <v>0</v>
      </c>
      <c r="AH120" s="21">
        <f t="shared" si="603"/>
        <v>1</v>
      </c>
      <c r="AI120" s="21">
        <f t="shared" si="13"/>
        <v>3</v>
      </c>
      <c r="AJ120" s="21">
        <f t="shared" si="14"/>
        <v>4</v>
      </c>
      <c r="AK120" s="59">
        <f t="shared" si="15"/>
        <v>2.5</v>
      </c>
      <c r="AL120" s="60" t="str">
        <f t="shared" si="16"/>
        <v>subpar</v>
      </c>
      <c r="AW120" s="22" t="str">
        <f t="shared" ref="AW120:BC120" si="604">IF(IFERROR(SEARCH(E$1, $D120),0) &gt;= 1, E$1,0)</f>
        <v>Geschiedenis en archeologie</v>
      </c>
      <c r="AX120" s="22">
        <f t="shared" si="604"/>
        <v>0</v>
      </c>
      <c r="AY120" s="22">
        <f t="shared" si="604"/>
        <v>0</v>
      </c>
      <c r="AZ120" s="22">
        <f t="shared" si="604"/>
        <v>0</v>
      </c>
      <c r="BA120" s="22">
        <f t="shared" si="604"/>
        <v>0</v>
      </c>
      <c r="BB120" s="22">
        <f t="shared" si="604"/>
        <v>0</v>
      </c>
      <c r="BC120" s="22">
        <f t="shared" si="604"/>
        <v>0</v>
      </c>
      <c r="BD120" s="22" t="str">
        <f t="shared" ref="BD120:BG120" si="605">IF(L120 = true, BD$1, 0)</f>
        <v>Shop</v>
      </c>
      <c r="BE120" s="22" t="str">
        <f t="shared" si="605"/>
        <v>Café</v>
      </c>
      <c r="BF120" s="22">
        <f t="shared" si="605"/>
        <v>0</v>
      </c>
      <c r="BG120" s="22" t="str">
        <f t="shared" si="605"/>
        <v>Restaurant</v>
      </c>
      <c r="BH120" s="22" t="str">
        <f>IFERROR(__xludf.DUMMYFUNCTION("""COMPUTED_VALUE"""),"Het Reuzenhuis")</f>
        <v>Het Reuzenhuis</v>
      </c>
      <c r="BI120" s="24">
        <f>IFERROR(__xludf.DUMMYFUNCTION("""COMPUTED_VALUE"""),8.0)</f>
        <v>8</v>
      </c>
      <c r="BJ120" s="22" t="b">
        <f>IFERROR(__xludf.DUMMYFUNCTION("""COMPUTED_VALUE"""),FALSE)</f>
        <v>0</v>
      </c>
      <c r="BK120" s="22" t="b">
        <f>IFERROR(__xludf.DUMMYFUNCTION("""COMPUTED_VALUE"""),FALSE)</f>
        <v>0</v>
      </c>
      <c r="BL120" s="22"/>
      <c r="BM120" s="22">
        <f>IFERROR(__xludf.DUMMYFUNCTION("""COMPUTED_VALUE"""),0.0)</f>
        <v>0</v>
      </c>
      <c r="BN120" s="22">
        <f>IFERROR(__xludf.DUMMYFUNCTION("""COMPUTED_VALUE"""),1.0)</f>
        <v>1</v>
      </c>
      <c r="BO120" s="22">
        <f>IFERROR(__xludf.DUMMYFUNCTION("""COMPUTED_VALUE"""),0.0)</f>
        <v>0</v>
      </c>
      <c r="BP120" s="22">
        <f>IFERROR(__xludf.DUMMYFUNCTION("""COMPUTED_VALUE"""),0.0)</f>
        <v>0</v>
      </c>
      <c r="BQ120" s="22">
        <f>IFERROR(__xludf.DUMMYFUNCTION("""COMPUTED_VALUE"""),0.0)</f>
        <v>0</v>
      </c>
      <c r="BR120" s="22">
        <f>IFERROR(__xludf.DUMMYFUNCTION("""COMPUTED_VALUE"""),0.0)</f>
        <v>0</v>
      </c>
      <c r="BS120" s="22">
        <f>IFERROR(__xludf.DUMMYFUNCTION("""COMPUTED_VALUE"""),1.0)</f>
        <v>1</v>
      </c>
      <c r="BT120" s="22">
        <f>IFERROR(__xludf.DUMMYFUNCTION("""COMPUTED_VALUE"""),0.0)</f>
        <v>0</v>
      </c>
      <c r="BU120" s="22">
        <f>IFERROR(__xludf.DUMMYFUNCTION("""COMPUTED_VALUE"""),2.0)</f>
        <v>2</v>
      </c>
      <c r="BV120" s="22">
        <f>IFERROR(__xludf.DUMMYFUNCTION("""COMPUTED_VALUE"""),1.0)</f>
        <v>1</v>
      </c>
      <c r="BW120" s="22">
        <f>IFERROR(__xludf.DUMMYFUNCTION("""COMPUTED_VALUE"""),1.0)</f>
        <v>1</v>
      </c>
      <c r="BX120" s="22">
        <f>IFERROR(__xludf.DUMMYFUNCTION("""COMPUTED_VALUE"""),0.0)</f>
        <v>0</v>
      </c>
      <c r="BY120" s="22">
        <f>IFERROR(__xludf.DUMMYFUNCTION("""COMPUTED_VALUE"""),0.0)</f>
        <v>0</v>
      </c>
      <c r="BZ120" s="22">
        <f>IFERROR(__xludf.DUMMYFUNCTION("""COMPUTED_VALUE"""),0.0)</f>
        <v>0</v>
      </c>
      <c r="CA120" s="22">
        <f>IFERROR(__xludf.DUMMYFUNCTION("""COMPUTED_VALUE"""),1.0)</f>
        <v>1</v>
      </c>
      <c r="CB120" s="22">
        <f>IFERROR(__xludf.DUMMYFUNCTION("""COMPUTED_VALUE"""),4.0)</f>
        <v>4</v>
      </c>
      <c r="CC120" s="61">
        <f>IFERROR(__xludf.DUMMYFUNCTION("""COMPUTED_VALUE"""),2.5)</f>
        <v>2.5</v>
      </c>
      <c r="CD120" s="62" t="str">
        <f>IFERROR(__xludf.DUMMYFUNCTION("""COMPUTED_VALUE"""),"subpar")</f>
        <v>subpar</v>
      </c>
      <c r="CE120" s="22" t="s">
        <v>350</v>
      </c>
      <c r="CF120" s="24">
        <v>8.0</v>
      </c>
      <c r="CG120" s="22" t="b">
        <v>0</v>
      </c>
      <c r="CH120" s="22" t="b">
        <v>0</v>
      </c>
      <c r="CI120" s="22"/>
      <c r="CJ120" s="22">
        <v>0.0</v>
      </c>
      <c r="CK120" s="22">
        <v>1.0</v>
      </c>
      <c r="CL120" s="22">
        <v>0.0</v>
      </c>
      <c r="CM120" s="22">
        <v>0.0</v>
      </c>
      <c r="CN120" s="22">
        <v>0.0</v>
      </c>
      <c r="CO120" s="22">
        <v>0.0</v>
      </c>
      <c r="CP120" s="22">
        <v>1.0</v>
      </c>
      <c r="CQ120" s="22">
        <v>0.0</v>
      </c>
      <c r="CR120" s="22">
        <v>2.0</v>
      </c>
      <c r="CS120" s="22">
        <v>1.0</v>
      </c>
      <c r="CT120" s="22">
        <v>1.0</v>
      </c>
      <c r="CU120" s="22">
        <v>0.0</v>
      </c>
      <c r="CV120" s="22">
        <v>0.0</v>
      </c>
      <c r="CW120" s="22">
        <v>0.0</v>
      </c>
      <c r="CX120" s="22">
        <v>1.0</v>
      </c>
      <c r="CY120" s="22">
        <v>4.0</v>
      </c>
      <c r="CZ120" s="61">
        <v>2.5</v>
      </c>
      <c r="DA120" s="62" t="s">
        <v>568</v>
      </c>
    </row>
    <row r="121">
      <c r="A121" s="16" t="s">
        <v>271</v>
      </c>
      <c r="B121" s="16" t="s">
        <v>272</v>
      </c>
      <c r="C121" s="17" t="s">
        <v>40</v>
      </c>
      <c r="D121" s="16" t="s">
        <v>6</v>
      </c>
      <c r="E121" s="17" t="b">
        <f t="shared" ref="E121:K121" si="606">If(IFERROR(SEARCH(E$1, $D121),0) &gt;= 1, true,false)</f>
        <v>0</v>
      </c>
      <c r="F121" s="17" t="b">
        <f t="shared" si="606"/>
        <v>0</v>
      </c>
      <c r="G121" s="17" t="b">
        <f t="shared" si="606"/>
        <v>1</v>
      </c>
      <c r="H121" s="17" t="b">
        <f t="shared" si="606"/>
        <v>0</v>
      </c>
      <c r="I121" s="17" t="b">
        <f t="shared" si="606"/>
        <v>0</v>
      </c>
      <c r="J121" s="17" t="b">
        <f t="shared" si="606"/>
        <v>0</v>
      </c>
      <c r="K121" s="17" t="b">
        <f t="shared" si="606"/>
        <v>0</v>
      </c>
      <c r="L121" s="18" t="b">
        <v>1</v>
      </c>
      <c r="M121" s="18" t="b">
        <v>0</v>
      </c>
      <c r="N121" s="18" t="b">
        <v>0</v>
      </c>
      <c r="O121" s="18" t="b">
        <v>0</v>
      </c>
      <c r="P121" s="16" t="str">
        <f t="shared" si="7"/>
        <v>Modemuseum Hasselt</v>
      </c>
      <c r="Q121" s="19">
        <v>8.0</v>
      </c>
      <c r="R121" s="20" t="b">
        <v>0</v>
      </c>
      <c r="S121" s="18" t="b">
        <v>1</v>
      </c>
      <c r="T121" s="30">
        <v>8.0</v>
      </c>
      <c r="U121" s="21">
        <f t="shared" si="8"/>
        <v>0</v>
      </c>
      <c r="V121" s="21">
        <f t="shared" ref="V121:AB121" si="607">if(OR(AW121 = $AO$4, AW121 = $AQ$4), 1, 0)</f>
        <v>0</v>
      </c>
      <c r="W121" s="21">
        <f t="shared" si="607"/>
        <v>0</v>
      </c>
      <c r="X121" s="21">
        <f t="shared" si="607"/>
        <v>0</v>
      </c>
      <c r="Y121" s="21">
        <f t="shared" si="607"/>
        <v>0</v>
      </c>
      <c r="Z121" s="21">
        <f t="shared" si="607"/>
        <v>0</v>
      </c>
      <c r="AA121" s="21">
        <f t="shared" si="607"/>
        <v>0</v>
      </c>
      <c r="AB121" s="21">
        <f t="shared" si="607"/>
        <v>0</v>
      </c>
      <c r="AC121" s="21">
        <f t="shared" si="10"/>
        <v>0</v>
      </c>
      <c r="AD121" s="21">
        <f t="shared" si="11"/>
        <v>1</v>
      </c>
      <c r="AE121" s="21">
        <f t="shared" ref="AE121:AH121" si="608">if(OR(BD121 = $AO$6, BD121 = $AS$6, BD121 = $AT$6, BD121 = $AU$6), 1, 0)</f>
        <v>1</v>
      </c>
      <c r="AF121" s="21">
        <f t="shared" si="608"/>
        <v>0</v>
      </c>
      <c r="AG121" s="21">
        <f t="shared" si="608"/>
        <v>0</v>
      </c>
      <c r="AH121" s="21">
        <f t="shared" si="608"/>
        <v>0</v>
      </c>
      <c r="AI121" s="21">
        <f t="shared" si="13"/>
        <v>1</v>
      </c>
      <c r="AJ121" s="21">
        <f t="shared" si="14"/>
        <v>2</v>
      </c>
      <c r="AK121" s="59">
        <f t="shared" si="15"/>
        <v>1.25</v>
      </c>
      <c r="AL121" s="60" t="str">
        <f t="shared" si="16"/>
        <v>subpar</v>
      </c>
      <c r="AW121" s="22">
        <f t="shared" ref="AW121:BC121" si="609">IF(IFERROR(SEARCH(E$1, $D121),0) &gt;= 1, E$1,0)</f>
        <v>0</v>
      </c>
      <c r="AX121" s="22">
        <f t="shared" si="609"/>
        <v>0</v>
      </c>
      <c r="AY121" s="22" t="str">
        <f t="shared" si="609"/>
        <v>Mode</v>
      </c>
      <c r="AZ121" s="22">
        <f t="shared" si="609"/>
        <v>0</v>
      </c>
      <c r="BA121" s="22">
        <f t="shared" si="609"/>
        <v>0</v>
      </c>
      <c r="BB121" s="22">
        <f t="shared" si="609"/>
        <v>0</v>
      </c>
      <c r="BC121" s="22">
        <f t="shared" si="609"/>
        <v>0</v>
      </c>
      <c r="BD121" s="22" t="str">
        <f t="shared" ref="BD121:BG121" si="610">IF(L121 = true, BD$1, 0)</f>
        <v>Shop</v>
      </c>
      <c r="BE121" s="22">
        <f t="shared" si="610"/>
        <v>0</v>
      </c>
      <c r="BF121" s="22">
        <f t="shared" si="610"/>
        <v>0</v>
      </c>
      <c r="BG121" s="22">
        <f t="shared" si="610"/>
        <v>0</v>
      </c>
      <c r="BH121" s="22" t="str">
        <f>IFERROR(__xludf.DUMMYFUNCTION("""COMPUTED_VALUE"""),"MACS | Museum voor Hedendaagse Kunsten Grand-Hornu")</f>
        <v>MACS | Museum voor Hedendaagse Kunsten Grand-Hornu</v>
      </c>
      <c r="BI121" s="24">
        <f>IFERROR(__xludf.DUMMYFUNCTION("""COMPUTED_VALUE"""),10.0)</f>
        <v>10</v>
      </c>
      <c r="BJ121" s="22" t="b">
        <f>IFERROR(__xludf.DUMMYFUNCTION("""COMPUTED_VALUE"""),FALSE)</f>
        <v>0</v>
      </c>
      <c r="BK121" s="22" t="b">
        <f>IFERROR(__xludf.DUMMYFUNCTION("""COMPUTED_VALUE"""),TRUE)</f>
        <v>1</v>
      </c>
      <c r="BL121" s="24">
        <f>IFERROR(__xludf.DUMMYFUNCTION("""COMPUTED_VALUE"""),10.0)</f>
        <v>10</v>
      </c>
      <c r="BM121" s="22">
        <f>IFERROR(__xludf.DUMMYFUNCTION("""COMPUTED_VALUE"""),0.0)</f>
        <v>0</v>
      </c>
      <c r="BN121" s="22">
        <f>IFERROR(__xludf.DUMMYFUNCTION("""COMPUTED_VALUE"""),0.0)</f>
        <v>0</v>
      </c>
      <c r="BO121" s="22">
        <f>IFERROR(__xludf.DUMMYFUNCTION("""COMPUTED_VALUE"""),0.0)</f>
        <v>0</v>
      </c>
      <c r="BP121" s="22">
        <f>IFERROR(__xludf.DUMMYFUNCTION("""COMPUTED_VALUE"""),0.0)</f>
        <v>0</v>
      </c>
      <c r="BQ121" s="22">
        <f>IFERROR(__xludf.DUMMYFUNCTION("""COMPUTED_VALUE"""),0.0)</f>
        <v>0</v>
      </c>
      <c r="BR121" s="22">
        <f>IFERROR(__xludf.DUMMYFUNCTION("""COMPUTED_VALUE"""),0.0)</f>
        <v>0</v>
      </c>
      <c r="BS121" s="22">
        <f>IFERROR(__xludf.DUMMYFUNCTION("""COMPUTED_VALUE"""),0.0)</f>
        <v>0</v>
      </c>
      <c r="BT121" s="22">
        <f>IFERROR(__xludf.DUMMYFUNCTION("""COMPUTED_VALUE"""),0.0)</f>
        <v>0</v>
      </c>
      <c r="BU121" s="22">
        <f>IFERROR(__xludf.DUMMYFUNCTION("""COMPUTED_VALUE"""),0.0)</f>
        <v>0</v>
      </c>
      <c r="BV121" s="22">
        <f>IFERROR(__xludf.DUMMYFUNCTION("""COMPUTED_VALUE"""),1.0)</f>
        <v>1</v>
      </c>
      <c r="BW121" s="22">
        <f>IFERROR(__xludf.DUMMYFUNCTION("""COMPUTED_VALUE"""),1.0)</f>
        <v>1</v>
      </c>
      <c r="BX121" s="22">
        <f>IFERROR(__xludf.DUMMYFUNCTION("""COMPUTED_VALUE"""),1.0)</f>
        <v>1</v>
      </c>
      <c r="BY121" s="22">
        <f>IFERROR(__xludf.DUMMYFUNCTION("""COMPUTED_VALUE"""),0.0)</f>
        <v>0</v>
      </c>
      <c r="BZ121" s="22">
        <f>IFERROR(__xludf.DUMMYFUNCTION("""COMPUTED_VALUE"""),1.0)</f>
        <v>1</v>
      </c>
      <c r="CA121" s="22">
        <f>IFERROR(__xludf.DUMMYFUNCTION("""COMPUTED_VALUE"""),3.0)</f>
        <v>3</v>
      </c>
      <c r="CB121" s="22">
        <f>IFERROR(__xludf.DUMMYFUNCTION("""COMPUTED_VALUE"""),4.0)</f>
        <v>4</v>
      </c>
      <c r="CC121" s="61">
        <f>IFERROR(__xludf.DUMMYFUNCTION("""COMPUTED_VALUE"""),2.5)</f>
        <v>2.5</v>
      </c>
      <c r="CD121" s="62" t="str">
        <f>IFERROR(__xludf.DUMMYFUNCTION("""COMPUTED_VALUE"""),"subpar")</f>
        <v>subpar</v>
      </c>
      <c r="CE121" s="22" t="s">
        <v>356</v>
      </c>
      <c r="CF121" s="24">
        <v>10.0</v>
      </c>
      <c r="CG121" s="22" t="b">
        <v>0</v>
      </c>
      <c r="CH121" s="22" t="b">
        <v>1</v>
      </c>
      <c r="CI121" s="24">
        <v>10.0</v>
      </c>
      <c r="CJ121" s="22">
        <v>0.0</v>
      </c>
      <c r="CK121" s="22">
        <v>0.0</v>
      </c>
      <c r="CL121" s="22">
        <v>0.0</v>
      </c>
      <c r="CM121" s="22">
        <v>0.0</v>
      </c>
      <c r="CN121" s="22">
        <v>0.0</v>
      </c>
      <c r="CO121" s="22">
        <v>0.0</v>
      </c>
      <c r="CP121" s="22">
        <v>0.0</v>
      </c>
      <c r="CQ121" s="22">
        <v>0.0</v>
      </c>
      <c r="CR121" s="22">
        <v>0.0</v>
      </c>
      <c r="CS121" s="22">
        <v>1.0</v>
      </c>
      <c r="CT121" s="22">
        <v>1.0</v>
      </c>
      <c r="CU121" s="22">
        <v>1.0</v>
      </c>
      <c r="CV121" s="22">
        <v>0.0</v>
      </c>
      <c r="CW121" s="22">
        <v>1.0</v>
      </c>
      <c r="CX121" s="22">
        <v>3.0</v>
      </c>
      <c r="CY121" s="22">
        <v>4.0</v>
      </c>
      <c r="CZ121" s="61">
        <v>2.5</v>
      </c>
      <c r="DA121" s="62" t="s">
        <v>568</v>
      </c>
    </row>
    <row r="122">
      <c r="A122" s="16" t="s">
        <v>273</v>
      </c>
      <c r="B122" s="16" t="s">
        <v>274</v>
      </c>
      <c r="C122" s="17" t="s">
        <v>40</v>
      </c>
      <c r="D122" s="16" t="s">
        <v>4</v>
      </c>
      <c r="E122" s="17" t="b">
        <f t="shared" ref="E122:K122" si="611">If(IFERROR(SEARCH(E$1, $D122),0) &gt;= 1, true,false)</f>
        <v>1</v>
      </c>
      <c r="F122" s="17" t="b">
        <f t="shared" si="611"/>
        <v>0</v>
      </c>
      <c r="G122" s="17" t="b">
        <f t="shared" si="611"/>
        <v>0</v>
      </c>
      <c r="H122" s="17" t="b">
        <f t="shared" si="611"/>
        <v>0</v>
      </c>
      <c r="I122" s="17" t="b">
        <f t="shared" si="611"/>
        <v>0</v>
      </c>
      <c r="J122" s="17" t="b">
        <f t="shared" si="611"/>
        <v>0</v>
      </c>
      <c r="K122" s="17" t="b">
        <f t="shared" si="611"/>
        <v>0</v>
      </c>
      <c r="L122" s="18" t="b">
        <v>1</v>
      </c>
      <c r="M122" s="18" t="b">
        <v>1</v>
      </c>
      <c r="N122" s="18" t="b">
        <v>1</v>
      </c>
      <c r="O122" s="18" t="b">
        <v>1</v>
      </c>
      <c r="P122" s="16" t="str">
        <f t="shared" si="7"/>
        <v>Openluchtmuseum Bokrijk</v>
      </c>
      <c r="Q122" s="19">
        <v>16.0</v>
      </c>
      <c r="R122" s="20" t="b">
        <v>1</v>
      </c>
      <c r="S122" s="18" t="b">
        <v>0</v>
      </c>
      <c r="T122" s="16"/>
      <c r="U122" s="21">
        <f t="shared" si="8"/>
        <v>0</v>
      </c>
      <c r="V122" s="21">
        <f t="shared" ref="V122:AB122" si="612">if(OR(AW122 = $AO$4, AW122 = $AQ$4), 1, 0)</f>
        <v>1</v>
      </c>
      <c r="W122" s="21">
        <f t="shared" si="612"/>
        <v>0</v>
      </c>
      <c r="X122" s="21">
        <f t="shared" si="612"/>
        <v>0</v>
      </c>
      <c r="Y122" s="21">
        <f t="shared" si="612"/>
        <v>0</v>
      </c>
      <c r="Z122" s="21">
        <f t="shared" si="612"/>
        <v>0</v>
      </c>
      <c r="AA122" s="21">
        <f t="shared" si="612"/>
        <v>0</v>
      </c>
      <c r="AB122" s="21">
        <f t="shared" si="612"/>
        <v>0</v>
      </c>
      <c r="AC122" s="21">
        <f t="shared" si="10"/>
        <v>1</v>
      </c>
      <c r="AD122" s="21">
        <f t="shared" si="11"/>
        <v>0</v>
      </c>
      <c r="AE122" s="21">
        <f t="shared" ref="AE122:AH122" si="613">if(OR(BD122 = $AO$6, BD122 = $AS$6, BD122 = $AT$6, BD122 = $AU$6), 1, 0)</f>
        <v>1</v>
      </c>
      <c r="AF122" s="21">
        <f t="shared" si="613"/>
        <v>1</v>
      </c>
      <c r="AG122" s="21">
        <f t="shared" si="613"/>
        <v>1</v>
      </c>
      <c r="AH122" s="21">
        <f t="shared" si="613"/>
        <v>1</v>
      </c>
      <c r="AI122" s="21">
        <f t="shared" si="13"/>
        <v>4</v>
      </c>
      <c r="AJ122" s="21">
        <f t="shared" si="14"/>
        <v>5</v>
      </c>
      <c r="AK122" s="59">
        <f t="shared" si="15"/>
        <v>3.125</v>
      </c>
      <c r="AL122" s="60" t="str">
        <f t="shared" si="16"/>
        <v>good</v>
      </c>
      <c r="AW122" s="22" t="str">
        <f t="shared" ref="AW122:BC122" si="614">IF(IFERROR(SEARCH(E$1, $D122),0) &gt;= 1, E$1,0)</f>
        <v>Geschiedenis en archeologie</v>
      </c>
      <c r="AX122" s="22">
        <f t="shared" si="614"/>
        <v>0</v>
      </c>
      <c r="AY122" s="22">
        <f t="shared" si="614"/>
        <v>0</v>
      </c>
      <c r="AZ122" s="22">
        <f t="shared" si="614"/>
        <v>0</v>
      </c>
      <c r="BA122" s="22">
        <f t="shared" si="614"/>
        <v>0</v>
      </c>
      <c r="BB122" s="22">
        <f t="shared" si="614"/>
        <v>0</v>
      </c>
      <c r="BC122" s="22">
        <f t="shared" si="614"/>
        <v>0</v>
      </c>
      <c r="BD122" s="22" t="str">
        <f t="shared" ref="BD122:BG122" si="615">IF(L122 = true, BD$1, 0)</f>
        <v>Shop</v>
      </c>
      <c r="BE122" s="22" t="str">
        <f t="shared" si="615"/>
        <v>Café</v>
      </c>
      <c r="BF122" s="22" t="str">
        <f t="shared" si="615"/>
        <v>Parking</v>
      </c>
      <c r="BG122" s="22" t="str">
        <f t="shared" si="615"/>
        <v>Restaurant</v>
      </c>
      <c r="BH122" s="22" t="str">
        <f>IFERROR(__xludf.DUMMYFUNCTION("""COMPUTED_VALUE"""),"Maison de l’Imprimerie ")</f>
        <v>Maison de l’Imprimerie </v>
      </c>
      <c r="BI122" s="24">
        <f>IFERROR(__xludf.DUMMYFUNCTION("""COMPUTED_VALUE"""),5.0)</f>
        <v>5</v>
      </c>
      <c r="BJ122" s="22" t="b">
        <f>IFERROR(__xludf.DUMMYFUNCTION("""COMPUTED_VALUE"""),FALSE)</f>
        <v>0</v>
      </c>
      <c r="BK122" s="22" t="b">
        <f>IFERROR(__xludf.DUMMYFUNCTION("""COMPUTED_VALUE"""),TRUE)</f>
        <v>1</v>
      </c>
      <c r="BL122" s="24">
        <f>IFERROR(__xludf.DUMMYFUNCTION("""COMPUTED_VALUE"""),5.0)</f>
        <v>5</v>
      </c>
      <c r="BM122" s="22">
        <f>IFERROR(__xludf.DUMMYFUNCTION("""COMPUTED_VALUE"""),0.0)</f>
        <v>0</v>
      </c>
      <c r="BN122" s="22">
        <f>IFERROR(__xludf.DUMMYFUNCTION("""COMPUTED_VALUE"""),0.0)</f>
        <v>0</v>
      </c>
      <c r="BO122" s="22">
        <f>IFERROR(__xludf.DUMMYFUNCTION("""COMPUTED_VALUE"""),0.0)</f>
        <v>0</v>
      </c>
      <c r="BP122" s="22">
        <f>IFERROR(__xludf.DUMMYFUNCTION("""COMPUTED_VALUE"""),0.0)</f>
        <v>0</v>
      </c>
      <c r="BQ122" s="22">
        <f>IFERROR(__xludf.DUMMYFUNCTION("""COMPUTED_VALUE"""),0.0)</f>
        <v>0</v>
      </c>
      <c r="BR122" s="22">
        <f>IFERROR(__xludf.DUMMYFUNCTION("""COMPUTED_VALUE"""),0.0)</f>
        <v>0</v>
      </c>
      <c r="BS122" s="22">
        <f>IFERROR(__xludf.DUMMYFUNCTION("""COMPUTED_VALUE"""),0.0)</f>
        <v>0</v>
      </c>
      <c r="BT122" s="22">
        <f>IFERROR(__xludf.DUMMYFUNCTION("""COMPUTED_VALUE"""),0.0)</f>
        <v>0</v>
      </c>
      <c r="BU122" s="22">
        <f>IFERROR(__xludf.DUMMYFUNCTION("""COMPUTED_VALUE"""),0.0)</f>
        <v>0</v>
      </c>
      <c r="BV122" s="22">
        <f>IFERROR(__xludf.DUMMYFUNCTION("""COMPUTED_VALUE"""),1.0)</f>
        <v>1</v>
      </c>
      <c r="BW122" s="22">
        <f>IFERROR(__xludf.DUMMYFUNCTION("""COMPUTED_VALUE"""),1.0)</f>
        <v>1</v>
      </c>
      <c r="BX122" s="22">
        <f>IFERROR(__xludf.DUMMYFUNCTION("""COMPUTED_VALUE"""),1.0)</f>
        <v>1</v>
      </c>
      <c r="BY122" s="22">
        <f>IFERROR(__xludf.DUMMYFUNCTION("""COMPUTED_VALUE"""),0.0)</f>
        <v>0</v>
      </c>
      <c r="BZ122" s="22">
        <f>IFERROR(__xludf.DUMMYFUNCTION("""COMPUTED_VALUE"""),1.0)</f>
        <v>1</v>
      </c>
      <c r="CA122" s="22">
        <f>IFERROR(__xludf.DUMMYFUNCTION("""COMPUTED_VALUE"""),3.0)</f>
        <v>3</v>
      </c>
      <c r="CB122" s="22">
        <f>IFERROR(__xludf.DUMMYFUNCTION("""COMPUTED_VALUE"""),4.0)</f>
        <v>4</v>
      </c>
      <c r="CC122" s="61">
        <f>IFERROR(__xludf.DUMMYFUNCTION("""COMPUTED_VALUE"""),2.5)</f>
        <v>2.5</v>
      </c>
      <c r="CD122" s="62" t="str">
        <f>IFERROR(__xludf.DUMMYFUNCTION("""COMPUTED_VALUE"""),"subpar")</f>
        <v>subpar</v>
      </c>
      <c r="CE122" s="22" t="s">
        <v>359</v>
      </c>
      <c r="CF122" s="24">
        <v>5.0</v>
      </c>
      <c r="CG122" s="22" t="b">
        <v>0</v>
      </c>
      <c r="CH122" s="22" t="b">
        <v>1</v>
      </c>
      <c r="CI122" s="24">
        <v>5.0</v>
      </c>
      <c r="CJ122" s="22">
        <v>0.0</v>
      </c>
      <c r="CK122" s="22">
        <v>0.0</v>
      </c>
      <c r="CL122" s="22">
        <v>0.0</v>
      </c>
      <c r="CM122" s="22">
        <v>0.0</v>
      </c>
      <c r="CN122" s="22">
        <v>0.0</v>
      </c>
      <c r="CO122" s="22">
        <v>0.0</v>
      </c>
      <c r="CP122" s="22">
        <v>0.0</v>
      </c>
      <c r="CQ122" s="22">
        <v>0.0</v>
      </c>
      <c r="CR122" s="22">
        <v>0.0</v>
      </c>
      <c r="CS122" s="22">
        <v>1.0</v>
      </c>
      <c r="CT122" s="22">
        <v>1.0</v>
      </c>
      <c r="CU122" s="22">
        <v>1.0</v>
      </c>
      <c r="CV122" s="22">
        <v>0.0</v>
      </c>
      <c r="CW122" s="22">
        <v>1.0</v>
      </c>
      <c r="CX122" s="22">
        <v>3.0</v>
      </c>
      <c r="CY122" s="22">
        <v>4.0</v>
      </c>
      <c r="CZ122" s="61">
        <v>2.5</v>
      </c>
      <c r="DA122" s="62" t="s">
        <v>568</v>
      </c>
    </row>
    <row r="123">
      <c r="A123" s="16" t="s">
        <v>275</v>
      </c>
      <c r="B123" s="16" t="s">
        <v>276</v>
      </c>
      <c r="C123" s="17" t="s">
        <v>40</v>
      </c>
      <c r="D123" s="16" t="s">
        <v>4</v>
      </c>
      <c r="E123" s="17" t="b">
        <f t="shared" ref="E123:K123" si="616">If(IFERROR(SEARCH(E$1, $D123),0) &gt;= 1, true,false)</f>
        <v>1</v>
      </c>
      <c r="F123" s="17" t="b">
        <f t="shared" si="616"/>
        <v>0</v>
      </c>
      <c r="G123" s="17" t="b">
        <f t="shared" si="616"/>
        <v>0</v>
      </c>
      <c r="H123" s="17" t="b">
        <f t="shared" si="616"/>
        <v>0</v>
      </c>
      <c r="I123" s="17" t="b">
        <f t="shared" si="616"/>
        <v>0</v>
      </c>
      <c r="J123" s="17" t="b">
        <f t="shared" si="616"/>
        <v>0</v>
      </c>
      <c r="K123" s="17" t="b">
        <f t="shared" si="616"/>
        <v>0</v>
      </c>
      <c r="L123" s="18" t="b">
        <v>1</v>
      </c>
      <c r="M123" s="18" t="b">
        <v>0</v>
      </c>
      <c r="N123" s="18" t="b">
        <v>0</v>
      </c>
      <c r="O123" s="18" t="b">
        <v>0</v>
      </c>
      <c r="P123" s="16" t="str">
        <f t="shared" si="7"/>
        <v>RAM | Regionaal Archeologisch Museum</v>
      </c>
      <c r="Q123" s="26">
        <v>6.0</v>
      </c>
      <c r="R123" s="18" t="b">
        <v>0</v>
      </c>
      <c r="S123" s="18" t="b">
        <v>0</v>
      </c>
      <c r="U123" s="21">
        <f t="shared" si="8"/>
        <v>0</v>
      </c>
      <c r="V123" s="21">
        <f t="shared" ref="V123:AB123" si="617">if(OR(AW123 = $AO$4, AW123 = $AQ$4), 1, 0)</f>
        <v>1</v>
      </c>
      <c r="W123" s="21">
        <f t="shared" si="617"/>
        <v>0</v>
      </c>
      <c r="X123" s="21">
        <f t="shared" si="617"/>
        <v>0</v>
      </c>
      <c r="Y123" s="21">
        <f t="shared" si="617"/>
        <v>0</v>
      </c>
      <c r="Z123" s="21">
        <f t="shared" si="617"/>
        <v>0</v>
      </c>
      <c r="AA123" s="21">
        <f t="shared" si="617"/>
        <v>0</v>
      </c>
      <c r="AB123" s="21">
        <f t="shared" si="617"/>
        <v>0</v>
      </c>
      <c r="AC123" s="21">
        <f t="shared" si="10"/>
        <v>1</v>
      </c>
      <c r="AD123" s="21">
        <f t="shared" si="11"/>
        <v>1</v>
      </c>
      <c r="AE123" s="21">
        <f t="shared" ref="AE123:AH123" si="618">if(OR(BD123 = $AO$6, BD123 = $AS$6, BD123 = $AT$6, BD123 = $AU$6), 1, 0)</f>
        <v>1</v>
      </c>
      <c r="AF123" s="21">
        <f t="shared" si="618"/>
        <v>0</v>
      </c>
      <c r="AG123" s="21">
        <f t="shared" si="618"/>
        <v>0</v>
      </c>
      <c r="AH123" s="21">
        <f t="shared" si="618"/>
        <v>0</v>
      </c>
      <c r="AI123" s="21">
        <f t="shared" si="13"/>
        <v>1</v>
      </c>
      <c r="AJ123" s="21">
        <f t="shared" si="14"/>
        <v>3</v>
      </c>
      <c r="AK123" s="59">
        <f t="shared" si="15"/>
        <v>1.875</v>
      </c>
      <c r="AL123" s="60" t="str">
        <f t="shared" si="16"/>
        <v>subpar</v>
      </c>
      <c r="AW123" s="22" t="str">
        <f t="shared" ref="AW123:BC123" si="619">IF(IFERROR(SEARCH(E$1, $D123),0) &gt;= 1, E$1,0)</f>
        <v>Geschiedenis en archeologie</v>
      </c>
      <c r="AX123" s="22">
        <f t="shared" si="619"/>
        <v>0</v>
      </c>
      <c r="AY123" s="22">
        <f t="shared" si="619"/>
        <v>0</v>
      </c>
      <c r="AZ123" s="22">
        <f t="shared" si="619"/>
        <v>0</v>
      </c>
      <c r="BA123" s="22">
        <f t="shared" si="619"/>
        <v>0</v>
      </c>
      <c r="BB123" s="22">
        <f t="shared" si="619"/>
        <v>0</v>
      </c>
      <c r="BC123" s="22">
        <f t="shared" si="619"/>
        <v>0</v>
      </c>
      <c r="BD123" s="22" t="str">
        <f t="shared" ref="BD123:BG123" si="620">IF(L123 = true, BD$1, 0)</f>
        <v>Shop</v>
      </c>
      <c r="BE123" s="22">
        <f t="shared" si="620"/>
        <v>0</v>
      </c>
      <c r="BF123" s="22">
        <f t="shared" si="620"/>
        <v>0</v>
      </c>
      <c r="BG123" s="22">
        <f t="shared" si="620"/>
        <v>0</v>
      </c>
      <c r="BH123" s="22" t="str">
        <f>IFERROR(__xludf.DUMMYFUNCTION("""COMPUTED_VALUE"""),"Maison Losseau ")</f>
        <v>Maison Losseau </v>
      </c>
      <c r="BI123" s="24">
        <f>IFERROR(__xludf.DUMMYFUNCTION("""COMPUTED_VALUE"""),5.0)</f>
        <v>5</v>
      </c>
      <c r="BJ123" s="22" t="b">
        <f>IFERROR(__xludf.DUMMYFUNCTION("""COMPUTED_VALUE"""),FALSE)</f>
        <v>0</v>
      </c>
      <c r="BK123" s="22" t="b">
        <f>IFERROR(__xludf.DUMMYFUNCTION("""COMPUTED_VALUE"""),TRUE)</f>
        <v>1</v>
      </c>
      <c r="BL123" s="24">
        <f>IFERROR(__xludf.DUMMYFUNCTION("""COMPUTED_VALUE"""),5.0)</f>
        <v>5</v>
      </c>
      <c r="BM123" s="22">
        <f>IFERROR(__xludf.DUMMYFUNCTION("""COMPUTED_VALUE"""),0.0)</f>
        <v>0</v>
      </c>
      <c r="BN123" s="22">
        <f>IFERROR(__xludf.DUMMYFUNCTION("""COMPUTED_VALUE"""),1.0)</f>
        <v>1</v>
      </c>
      <c r="BO123" s="22">
        <f>IFERROR(__xludf.DUMMYFUNCTION("""COMPUTED_VALUE"""),0.0)</f>
        <v>0</v>
      </c>
      <c r="BP123" s="22">
        <f>IFERROR(__xludf.DUMMYFUNCTION("""COMPUTED_VALUE"""),0.0)</f>
        <v>0</v>
      </c>
      <c r="BQ123" s="22">
        <f>IFERROR(__xludf.DUMMYFUNCTION("""COMPUTED_VALUE"""),0.0)</f>
        <v>0</v>
      </c>
      <c r="BR123" s="22">
        <f>IFERROR(__xludf.DUMMYFUNCTION("""COMPUTED_VALUE"""),0.0)</f>
        <v>0</v>
      </c>
      <c r="BS123" s="22">
        <f>IFERROR(__xludf.DUMMYFUNCTION("""COMPUTED_VALUE"""),1.0)</f>
        <v>1</v>
      </c>
      <c r="BT123" s="22">
        <f>IFERROR(__xludf.DUMMYFUNCTION("""COMPUTED_VALUE"""),0.0)</f>
        <v>0</v>
      </c>
      <c r="BU123" s="22">
        <f>IFERROR(__xludf.DUMMYFUNCTION("""COMPUTED_VALUE"""),2.0)</f>
        <v>2</v>
      </c>
      <c r="BV123" s="22">
        <f>IFERROR(__xludf.DUMMYFUNCTION("""COMPUTED_VALUE"""),1.0)</f>
        <v>1</v>
      </c>
      <c r="BW123" s="22">
        <f>IFERROR(__xludf.DUMMYFUNCTION("""COMPUTED_VALUE"""),1.0)</f>
        <v>1</v>
      </c>
      <c r="BX123" s="22">
        <f>IFERROR(__xludf.DUMMYFUNCTION("""COMPUTED_VALUE"""),0.0)</f>
        <v>0</v>
      </c>
      <c r="BY123" s="22">
        <f>IFERROR(__xludf.DUMMYFUNCTION("""COMPUTED_VALUE"""),0.0)</f>
        <v>0</v>
      </c>
      <c r="BZ123" s="22">
        <f>IFERROR(__xludf.DUMMYFUNCTION("""COMPUTED_VALUE"""),0.0)</f>
        <v>0</v>
      </c>
      <c r="CA123" s="22">
        <f>IFERROR(__xludf.DUMMYFUNCTION("""COMPUTED_VALUE"""),1.0)</f>
        <v>1</v>
      </c>
      <c r="CB123" s="22">
        <f>IFERROR(__xludf.DUMMYFUNCTION("""COMPUTED_VALUE"""),4.0)</f>
        <v>4</v>
      </c>
      <c r="CC123" s="61">
        <f>IFERROR(__xludf.DUMMYFUNCTION("""COMPUTED_VALUE"""),2.5)</f>
        <v>2.5</v>
      </c>
      <c r="CD123" s="62" t="str">
        <f>IFERROR(__xludf.DUMMYFUNCTION("""COMPUTED_VALUE"""),"subpar")</f>
        <v>subpar</v>
      </c>
      <c r="CE123" s="22" t="s">
        <v>361</v>
      </c>
      <c r="CF123" s="24">
        <v>5.0</v>
      </c>
      <c r="CG123" s="22" t="b">
        <v>0</v>
      </c>
      <c r="CH123" s="22" t="b">
        <v>1</v>
      </c>
      <c r="CI123" s="24">
        <v>5.0</v>
      </c>
      <c r="CJ123" s="22">
        <v>0.0</v>
      </c>
      <c r="CK123" s="22">
        <v>1.0</v>
      </c>
      <c r="CL123" s="22">
        <v>0.0</v>
      </c>
      <c r="CM123" s="22">
        <v>0.0</v>
      </c>
      <c r="CN123" s="22">
        <v>0.0</v>
      </c>
      <c r="CO123" s="22">
        <v>0.0</v>
      </c>
      <c r="CP123" s="22">
        <v>1.0</v>
      </c>
      <c r="CQ123" s="22">
        <v>0.0</v>
      </c>
      <c r="CR123" s="22">
        <v>2.0</v>
      </c>
      <c r="CS123" s="22">
        <v>1.0</v>
      </c>
      <c r="CT123" s="22">
        <v>1.0</v>
      </c>
      <c r="CU123" s="22">
        <v>0.0</v>
      </c>
      <c r="CV123" s="22">
        <v>0.0</v>
      </c>
      <c r="CW123" s="22">
        <v>0.0</v>
      </c>
      <c r="CX123" s="22">
        <v>1.0</v>
      </c>
      <c r="CY123" s="22">
        <v>4.0</v>
      </c>
      <c r="CZ123" s="61">
        <v>2.5</v>
      </c>
      <c r="DA123" s="62" t="s">
        <v>568</v>
      </c>
    </row>
    <row r="124">
      <c r="A124" s="16" t="s">
        <v>277</v>
      </c>
      <c r="B124" s="16" t="s">
        <v>278</v>
      </c>
      <c r="C124" s="17" t="s">
        <v>40</v>
      </c>
      <c r="D124" s="16" t="s">
        <v>9</v>
      </c>
      <c r="E124" s="17" t="b">
        <f t="shared" ref="E124:K124" si="621">If(IFERROR(SEARCH(E$1, $D124),0) &gt;= 1, true,false)</f>
        <v>0</v>
      </c>
      <c r="F124" s="17" t="b">
        <f t="shared" si="621"/>
        <v>0</v>
      </c>
      <c r="G124" s="17" t="b">
        <f t="shared" si="621"/>
        <v>0</v>
      </c>
      <c r="H124" s="17" t="b">
        <f t="shared" si="621"/>
        <v>0</v>
      </c>
      <c r="I124" s="17" t="b">
        <f t="shared" si="621"/>
        <v>0</v>
      </c>
      <c r="J124" s="17" t="b">
        <f t="shared" si="621"/>
        <v>1</v>
      </c>
      <c r="K124" s="17" t="b">
        <f t="shared" si="621"/>
        <v>0</v>
      </c>
      <c r="L124" s="18" t="b">
        <v>0</v>
      </c>
      <c r="M124" s="18" t="b">
        <v>0</v>
      </c>
      <c r="N124" s="18" t="b">
        <v>0</v>
      </c>
      <c r="O124" s="18" t="b">
        <v>0</v>
      </c>
      <c r="P124" s="16" t="str">
        <f t="shared" si="7"/>
        <v>Schatkamer van Sint-Catharina</v>
      </c>
      <c r="Q124" s="19">
        <v>6.0</v>
      </c>
      <c r="R124" s="18" t="b">
        <v>0</v>
      </c>
      <c r="S124" s="18" t="b">
        <v>0</v>
      </c>
      <c r="U124" s="21">
        <f t="shared" si="8"/>
        <v>0</v>
      </c>
      <c r="V124" s="21">
        <f t="shared" ref="V124:AB124" si="622">if(OR(AW124 = $AO$4, AW124 = $AQ$4), 1, 0)</f>
        <v>0</v>
      </c>
      <c r="W124" s="21">
        <f t="shared" si="622"/>
        <v>0</v>
      </c>
      <c r="X124" s="21">
        <f t="shared" si="622"/>
        <v>0</v>
      </c>
      <c r="Y124" s="21">
        <f t="shared" si="622"/>
        <v>0</v>
      </c>
      <c r="Z124" s="21">
        <f t="shared" si="622"/>
        <v>0</v>
      </c>
      <c r="AA124" s="21">
        <f t="shared" si="622"/>
        <v>1</v>
      </c>
      <c r="AB124" s="21">
        <f t="shared" si="622"/>
        <v>0</v>
      </c>
      <c r="AC124" s="21">
        <f t="shared" si="10"/>
        <v>1</v>
      </c>
      <c r="AD124" s="21">
        <f t="shared" si="11"/>
        <v>1</v>
      </c>
      <c r="AE124" s="21">
        <f t="shared" ref="AE124:AH124" si="623">if(OR(BD124 = $AO$6, BD124 = $AS$6, BD124 = $AT$6, BD124 = $AU$6), 1, 0)</f>
        <v>0</v>
      </c>
      <c r="AF124" s="21">
        <f t="shared" si="623"/>
        <v>0</v>
      </c>
      <c r="AG124" s="21">
        <f t="shared" si="623"/>
        <v>0</v>
      </c>
      <c r="AH124" s="21">
        <f t="shared" si="623"/>
        <v>0</v>
      </c>
      <c r="AI124" s="21">
        <f t="shared" si="13"/>
        <v>0</v>
      </c>
      <c r="AJ124" s="21">
        <f t="shared" si="14"/>
        <v>2</v>
      </c>
      <c r="AK124" s="59">
        <f t="shared" si="15"/>
        <v>1.25</v>
      </c>
      <c r="AL124" s="60" t="str">
        <f t="shared" si="16"/>
        <v>subpar</v>
      </c>
      <c r="AW124" s="22">
        <f t="shared" ref="AW124:BC124" si="624">IF(IFERROR(SEARCH(E$1, $D124),0) &gt;= 1, E$1,0)</f>
        <v>0</v>
      </c>
      <c r="AX124" s="22">
        <f t="shared" si="624"/>
        <v>0</v>
      </c>
      <c r="AY124" s="22">
        <f t="shared" si="624"/>
        <v>0</v>
      </c>
      <c r="AZ124" s="22">
        <f t="shared" si="624"/>
        <v>0</v>
      </c>
      <c r="BA124" s="22">
        <f t="shared" si="624"/>
        <v>0</v>
      </c>
      <c r="BB124" s="22" t="str">
        <f t="shared" si="624"/>
        <v>Beeldende kunst</v>
      </c>
      <c r="BC124" s="22">
        <f t="shared" si="624"/>
        <v>0</v>
      </c>
      <c r="BD124" s="22">
        <f t="shared" ref="BD124:BG124" si="625">IF(L124 = true, BD$1, 0)</f>
        <v>0</v>
      </c>
      <c r="BE124" s="22">
        <f t="shared" si="625"/>
        <v>0</v>
      </c>
      <c r="BF124" s="22">
        <f t="shared" si="625"/>
        <v>0</v>
      </c>
      <c r="BG124" s="22">
        <f t="shared" si="625"/>
        <v>0</v>
      </c>
      <c r="BH124" s="22" t="str">
        <f>IFERROR(__xludf.DUMMYFUNCTION("""COMPUTED_VALUE"""),"MUMONS ")</f>
        <v>MUMONS </v>
      </c>
      <c r="BI124" s="24">
        <f>IFERROR(__xludf.DUMMYFUNCTION("""COMPUTED_VALUE"""),5.0)</f>
        <v>5</v>
      </c>
      <c r="BJ124" s="22" t="b">
        <f>IFERROR(__xludf.DUMMYFUNCTION("""COMPUTED_VALUE"""),FALSE)</f>
        <v>0</v>
      </c>
      <c r="BK124" s="22" t="b">
        <f>IFERROR(__xludf.DUMMYFUNCTION("""COMPUTED_VALUE"""),TRUE)</f>
        <v>1</v>
      </c>
      <c r="BL124" s="24">
        <f>IFERROR(__xludf.DUMMYFUNCTION("""COMPUTED_VALUE"""),5.0)</f>
        <v>5</v>
      </c>
      <c r="BM124" s="22">
        <f>IFERROR(__xludf.DUMMYFUNCTION("""COMPUTED_VALUE"""),0.0)</f>
        <v>0</v>
      </c>
      <c r="BN124" s="22">
        <f>IFERROR(__xludf.DUMMYFUNCTION("""COMPUTED_VALUE"""),0.0)</f>
        <v>0</v>
      </c>
      <c r="BO124" s="22">
        <f>IFERROR(__xludf.DUMMYFUNCTION("""COMPUTED_VALUE"""),0.0)</f>
        <v>0</v>
      </c>
      <c r="BP124" s="22">
        <f>IFERROR(__xludf.DUMMYFUNCTION("""COMPUTED_VALUE"""),0.0)</f>
        <v>0</v>
      </c>
      <c r="BQ124" s="22">
        <f>IFERROR(__xludf.DUMMYFUNCTION("""COMPUTED_VALUE"""),0.0)</f>
        <v>0</v>
      </c>
      <c r="BR124" s="22">
        <f>IFERROR(__xludf.DUMMYFUNCTION("""COMPUTED_VALUE"""),0.0)</f>
        <v>0</v>
      </c>
      <c r="BS124" s="22">
        <f>IFERROR(__xludf.DUMMYFUNCTION("""COMPUTED_VALUE"""),0.0)</f>
        <v>0</v>
      </c>
      <c r="BT124" s="22">
        <f>IFERROR(__xludf.DUMMYFUNCTION("""COMPUTED_VALUE"""),0.0)</f>
        <v>0</v>
      </c>
      <c r="BU124" s="22">
        <f>IFERROR(__xludf.DUMMYFUNCTION("""COMPUTED_VALUE"""),0.0)</f>
        <v>0</v>
      </c>
      <c r="BV124" s="22">
        <f>IFERROR(__xludf.DUMMYFUNCTION("""COMPUTED_VALUE"""),1.0)</f>
        <v>1</v>
      </c>
      <c r="BW124" s="22">
        <f>IFERROR(__xludf.DUMMYFUNCTION("""COMPUTED_VALUE"""),1.0)</f>
        <v>1</v>
      </c>
      <c r="BX124" s="22">
        <f>IFERROR(__xludf.DUMMYFUNCTION("""COMPUTED_VALUE"""),1.0)</f>
        <v>1</v>
      </c>
      <c r="BY124" s="22">
        <f>IFERROR(__xludf.DUMMYFUNCTION("""COMPUTED_VALUE"""),0.0)</f>
        <v>0</v>
      </c>
      <c r="BZ124" s="22">
        <f>IFERROR(__xludf.DUMMYFUNCTION("""COMPUTED_VALUE"""),1.0)</f>
        <v>1</v>
      </c>
      <c r="CA124" s="22">
        <f>IFERROR(__xludf.DUMMYFUNCTION("""COMPUTED_VALUE"""),3.0)</f>
        <v>3</v>
      </c>
      <c r="CB124" s="22">
        <f>IFERROR(__xludf.DUMMYFUNCTION("""COMPUTED_VALUE"""),4.0)</f>
        <v>4</v>
      </c>
      <c r="CC124" s="61">
        <f>IFERROR(__xludf.DUMMYFUNCTION("""COMPUTED_VALUE"""),2.5)</f>
        <v>2.5</v>
      </c>
      <c r="CD124" s="62" t="str">
        <f>IFERROR(__xludf.DUMMYFUNCTION("""COMPUTED_VALUE"""),"subpar")</f>
        <v>subpar</v>
      </c>
      <c r="CE124" s="22" t="s">
        <v>364</v>
      </c>
      <c r="CF124" s="24">
        <v>5.0</v>
      </c>
      <c r="CG124" s="22" t="b">
        <v>0</v>
      </c>
      <c r="CH124" s="22" t="b">
        <v>1</v>
      </c>
      <c r="CI124" s="24">
        <v>5.0</v>
      </c>
      <c r="CJ124" s="22">
        <v>0.0</v>
      </c>
      <c r="CK124" s="22">
        <v>0.0</v>
      </c>
      <c r="CL124" s="22">
        <v>0.0</v>
      </c>
      <c r="CM124" s="22">
        <v>0.0</v>
      </c>
      <c r="CN124" s="22">
        <v>0.0</v>
      </c>
      <c r="CO124" s="22">
        <v>0.0</v>
      </c>
      <c r="CP124" s="22">
        <v>0.0</v>
      </c>
      <c r="CQ124" s="22">
        <v>0.0</v>
      </c>
      <c r="CR124" s="22">
        <v>0.0</v>
      </c>
      <c r="CS124" s="22">
        <v>1.0</v>
      </c>
      <c r="CT124" s="22">
        <v>1.0</v>
      </c>
      <c r="CU124" s="22">
        <v>1.0</v>
      </c>
      <c r="CV124" s="22">
        <v>0.0</v>
      </c>
      <c r="CW124" s="22">
        <v>1.0</v>
      </c>
      <c r="CX124" s="22">
        <v>3.0</v>
      </c>
      <c r="CY124" s="22">
        <v>4.0</v>
      </c>
      <c r="CZ124" s="61">
        <v>2.5</v>
      </c>
      <c r="DA124" s="62" t="s">
        <v>568</v>
      </c>
    </row>
    <row r="125">
      <c r="A125" s="16" t="s">
        <v>279</v>
      </c>
      <c r="B125" s="16" t="s">
        <v>280</v>
      </c>
      <c r="C125" s="17" t="s">
        <v>40</v>
      </c>
      <c r="D125" s="16" t="s">
        <v>281</v>
      </c>
      <c r="E125" s="17" t="b">
        <f t="shared" ref="E125:K125" si="626">If(IFERROR(SEARCH(E$1, $D125),0) &gt;= 1, true,false)</f>
        <v>0</v>
      </c>
      <c r="F125" s="17" t="b">
        <f t="shared" si="626"/>
        <v>0</v>
      </c>
      <c r="G125" s="17" t="b">
        <f t="shared" si="626"/>
        <v>0</v>
      </c>
      <c r="H125" s="17" t="b">
        <f t="shared" si="626"/>
        <v>0</v>
      </c>
      <c r="I125" s="17" t="b">
        <f t="shared" si="626"/>
        <v>1</v>
      </c>
      <c r="J125" s="17" t="b">
        <f t="shared" si="626"/>
        <v>1</v>
      </c>
      <c r="K125" s="17" t="b">
        <f t="shared" si="626"/>
        <v>1</v>
      </c>
      <c r="L125" s="18" t="b">
        <v>1</v>
      </c>
      <c r="M125" s="18" t="b">
        <v>0</v>
      </c>
      <c r="N125" s="18" t="b">
        <v>1</v>
      </c>
      <c r="O125" s="18" t="b">
        <v>1</v>
      </c>
      <c r="P125" s="16" t="str">
        <f t="shared" si="7"/>
        <v>Z33 | Huis voor Actuele Kunst, Design &amp; Architectuur</v>
      </c>
      <c r="Q125" s="19">
        <v>12.0</v>
      </c>
      <c r="R125" s="18" t="b">
        <v>0</v>
      </c>
      <c r="S125" s="18" t="b">
        <v>1</v>
      </c>
      <c r="T125" s="27">
        <v>12.0</v>
      </c>
      <c r="U125" s="21">
        <f t="shared" si="8"/>
        <v>0</v>
      </c>
      <c r="V125" s="21">
        <f t="shared" ref="V125:AB125" si="627">if(OR(AW125 = $AO$4, AW125 = $AQ$4), 1, 0)</f>
        <v>0</v>
      </c>
      <c r="W125" s="21">
        <f t="shared" si="627"/>
        <v>0</v>
      </c>
      <c r="X125" s="21">
        <f t="shared" si="627"/>
        <v>0</v>
      </c>
      <c r="Y125" s="21">
        <f t="shared" si="627"/>
        <v>0</v>
      </c>
      <c r="Z125" s="21">
        <f t="shared" si="627"/>
        <v>0</v>
      </c>
      <c r="AA125" s="21">
        <f t="shared" si="627"/>
        <v>1</v>
      </c>
      <c r="AB125" s="21">
        <f t="shared" si="627"/>
        <v>0</v>
      </c>
      <c r="AC125" s="21">
        <f t="shared" si="10"/>
        <v>1</v>
      </c>
      <c r="AD125" s="21">
        <f t="shared" si="11"/>
        <v>0</v>
      </c>
      <c r="AE125" s="21">
        <f t="shared" ref="AE125:AH125" si="628">if(OR(BD125 = $AO$6, BD125 = $AS$6, BD125 = $AT$6, BD125 = $AU$6), 1, 0)</f>
        <v>1</v>
      </c>
      <c r="AF125" s="21">
        <f t="shared" si="628"/>
        <v>0</v>
      </c>
      <c r="AG125" s="21">
        <f t="shared" si="628"/>
        <v>1</v>
      </c>
      <c r="AH125" s="21">
        <f t="shared" si="628"/>
        <v>1</v>
      </c>
      <c r="AI125" s="21">
        <f t="shared" si="13"/>
        <v>3</v>
      </c>
      <c r="AJ125" s="21">
        <f t="shared" si="14"/>
        <v>4</v>
      </c>
      <c r="AK125" s="59">
        <f t="shared" si="15"/>
        <v>2.5</v>
      </c>
      <c r="AL125" s="60" t="str">
        <f t="shared" si="16"/>
        <v>subpar</v>
      </c>
      <c r="AW125" s="22">
        <f t="shared" ref="AW125:BC125" si="629">IF(IFERROR(SEARCH(E$1, $D125),0) &gt;= 1, E$1,0)</f>
        <v>0</v>
      </c>
      <c r="AX125" s="22">
        <f t="shared" si="629"/>
        <v>0</v>
      </c>
      <c r="AY125" s="22">
        <f t="shared" si="629"/>
        <v>0</v>
      </c>
      <c r="AZ125" s="22">
        <f t="shared" si="629"/>
        <v>0</v>
      </c>
      <c r="BA125" s="22" t="str">
        <f t="shared" si="629"/>
        <v>Architectuur</v>
      </c>
      <c r="BB125" s="22" t="str">
        <f t="shared" si="629"/>
        <v>Beeldende kunst</v>
      </c>
      <c r="BC125" s="22" t="str">
        <f t="shared" si="629"/>
        <v>Toegepaste kunst en design</v>
      </c>
      <c r="BD125" s="22" t="str">
        <f t="shared" ref="BD125:BG125" si="630">IF(L125 = true, BD$1, 0)</f>
        <v>Shop</v>
      </c>
      <c r="BE125" s="22">
        <f t="shared" si="630"/>
        <v>0</v>
      </c>
      <c r="BF125" s="22" t="str">
        <f t="shared" si="630"/>
        <v>Parking</v>
      </c>
      <c r="BG125" s="22" t="str">
        <f t="shared" si="630"/>
        <v>Restaurant</v>
      </c>
      <c r="BH125" s="22" t="str">
        <f>IFERROR(__xludf.DUMMYFUNCTION("""COMPUTED_VALUE"""),"Mundaneum ")</f>
        <v>Mundaneum </v>
      </c>
      <c r="BI125" s="24">
        <f>IFERROR(__xludf.DUMMYFUNCTION("""COMPUTED_VALUE"""),9.0)</f>
        <v>9</v>
      </c>
      <c r="BJ125" s="22" t="b">
        <f>IFERROR(__xludf.DUMMYFUNCTION("""COMPUTED_VALUE"""),FALSE)</f>
        <v>0</v>
      </c>
      <c r="BK125" s="22" t="b">
        <f>IFERROR(__xludf.DUMMYFUNCTION("""COMPUTED_VALUE"""),TRUE)</f>
        <v>1</v>
      </c>
      <c r="BL125" s="24">
        <f>IFERROR(__xludf.DUMMYFUNCTION("""COMPUTED_VALUE"""),9.0)</f>
        <v>9</v>
      </c>
      <c r="BM125" s="22">
        <f>IFERROR(__xludf.DUMMYFUNCTION("""COMPUTED_VALUE"""),0.0)</f>
        <v>0</v>
      </c>
      <c r="BN125" s="22">
        <f>IFERROR(__xludf.DUMMYFUNCTION("""COMPUTED_VALUE"""),1.0)</f>
        <v>1</v>
      </c>
      <c r="BO125" s="22">
        <f>IFERROR(__xludf.DUMMYFUNCTION("""COMPUTED_VALUE"""),0.0)</f>
        <v>0</v>
      </c>
      <c r="BP125" s="22">
        <f>IFERROR(__xludf.DUMMYFUNCTION("""COMPUTED_VALUE"""),0.0)</f>
        <v>0</v>
      </c>
      <c r="BQ125" s="22">
        <f>IFERROR(__xludf.DUMMYFUNCTION("""COMPUTED_VALUE"""),0.0)</f>
        <v>0</v>
      </c>
      <c r="BR125" s="22">
        <f>IFERROR(__xludf.DUMMYFUNCTION("""COMPUTED_VALUE"""),0.0)</f>
        <v>0</v>
      </c>
      <c r="BS125" s="22">
        <f>IFERROR(__xludf.DUMMYFUNCTION("""COMPUTED_VALUE"""),1.0)</f>
        <v>1</v>
      </c>
      <c r="BT125" s="22">
        <f>IFERROR(__xludf.DUMMYFUNCTION("""COMPUTED_VALUE"""),0.0)</f>
        <v>0</v>
      </c>
      <c r="BU125" s="22">
        <f>IFERROR(__xludf.DUMMYFUNCTION("""COMPUTED_VALUE"""),2.0)</f>
        <v>2</v>
      </c>
      <c r="BV125" s="22">
        <f>IFERROR(__xludf.DUMMYFUNCTION("""COMPUTED_VALUE"""),1.0)</f>
        <v>1</v>
      </c>
      <c r="BW125" s="22">
        <f>IFERROR(__xludf.DUMMYFUNCTION("""COMPUTED_VALUE"""),1.0)</f>
        <v>1</v>
      </c>
      <c r="BX125" s="22">
        <f>IFERROR(__xludf.DUMMYFUNCTION("""COMPUTED_VALUE"""),0.0)</f>
        <v>0</v>
      </c>
      <c r="BY125" s="22">
        <f>IFERROR(__xludf.DUMMYFUNCTION("""COMPUTED_VALUE"""),0.0)</f>
        <v>0</v>
      </c>
      <c r="BZ125" s="22">
        <f>IFERROR(__xludf.DUMMYFUNCTION("""COMPUTED_VALUE"""),0.0)</f>
        <v>0</v>
      </c>
      <c r="CA125" s="22">
        <f>IFERROR(__xludf.DUMMYFUNCTION("""COMPUTED_VALUE"""),1.0)</f>
        <v>1</v>
      </c>
      <c r="CB125" s="22">
        <f>IFERROR(__xludf.DUMMYFUNCTION("""COMPUTED_VALUE"""),4.0)</f>
        <v>4</v>
      </c>
      <c r="CC125" s="61">
        <f>IFERROR(__xludf.DUMMYFUNCTION("""COMPUTED_VALUE"""),2.5)</f>
        <v>2.5</v>
      </c>
      <c r="CD125" s="62" t="str">
        <f>IFERROR(__xludf.DUMMYFUNCTION("""COMPUTED_VALUE"""),"subpar")</f>
        <v>subpar</v>
      </c>
      <c r="CE125" s="22" t="s">
        <v>365</v>
      </c>
      <c r="CF125" s="24">
        <v>9.0</v>
      </c>
      <c r="CG125" s="22" t="b">
        <v>0</v>
      </c>
      <c r="CH125" s="22" t="b">
        <v>1</v>
      </c>
      <c r="CI125" s="24">
        <v>9.0</v>
      </c>
      <c r="CJ125" s="22">
        <v>0.0</v>
      </c>
      <c r="CK125" s="22">
        <v>1.0</v>
      </c>
      <c r="CL125" s="22">
        <v>0.0</v>
      </c>
      <c r="CM125" s="22">
        <v>0.0</v>
      </c>
      <c r="CN125" s="22">
        <v>0.0</v>
      </c>
      <c r="CO125" s="22">
        <v>0.0</v>
      </c>
      <c r="CP125" s="22">
        <v>1.0</v>
      </c>
      <c r="CQ125" s="22">
        <v>0.0</v>
      </c>
      <c r="CR125" s="22">
        <v>2.0</v>
      </c>
      <c r="CS125" s="22">
        <v>1.0</v>
      </c>
      <c r="CT125" s="22">
        <v>1.0</v>
      </c>
      <c r="CU125" s="22">
        <v>0.0</v>
      </c>
      <c r="CV125" s="22">
        <v>0.0</v>
      </c>
      <c r="CW125" s="22">
        <v>0.0</v>
      </c>
      <c r="CX125" s="22">
        <v>1.0</v>
      </c>
      <c r="CY125" s="22">
        <v>4.0</v>
      </c>
      <c r="CZ125" s="61">
        <v>2.5</v>
      </c>
      <c r="DA125" s="62" t="s">
        <v>568</v>
      </c>
    </row>
    <row r="126">
      <c r="A126" s="16" t="s">
        <v>282</v>
      </c>
      <c r="B126" s="16" t="s">
        <v>283</v>
      </c>
      <c r="C126" s="17" t="s">
        <v>43</v>
      </c>
      <c r="D126" s="16" t="s">
        <v>4</v>
      </c>
      <c r="E126" s="17" t="b">
        <f t="shared" ref="E126:K126" si="631">If(IFERROR(SEARCH(E$1, $D126),0) &gt;= 1, true,false)</f>
        <v>1</v>
      </c>
      <c r="F126" s="17" t="b">
        <f t="shared" si="631"/>
        <v>0</v>
      </c>
      <c r="G126" s="17" t="b">
        <f t="shared" si="631"/>
        <v>0</v>
      </c>
      <c r="H126" s="17" t="b">
        <f t="shared" si="631"/>
        <v>0</v>
      </c>
      <c r="I126" s="17" t="b">
        <f t="shared" si="631"/>
        <v>0</v>
      </c>
      <c r="J126" s="17" t="b">
        <f t="shared" si="631"/>
        <v>0</v>
      </c>
      <c r="K126" s="17" t="b">
        <f t="shared" si="631"/>
        <v>0</v>
      </c>
      <c r="L126" s="18" t="b">
        <v>1</v>
      </c>
      <c r="M126" s="18" t="b">
        <v>1</v>
      </c>
      <c r="N126" s="18" t="b">
        <v>1</v>
      </c>
      <c r="O126" s="18" t="b">
        <v>1</v>
      </c>
      <c r="P126" s="16" t="str">
        <f t="shared" si="7"/>
        <v>Abdij van Stavelot</v>
      </c>
      <c r="Q126" s="19">
        <v>11.0</v>
      </c>
      <c r="R126" s="18" t="b">
        <v>0</v>
      </c>
      <c r="S126" s="18" t="b">
        <v>1</v>
      </c>
      <c r="T126" s="30">
        <v>19.0</v>
      </c>
      <c r="U126" s="21">
        <f t="shared" si="8"/>
        <v>0</v>
      </c>
      <c r="V126" s="21">
        <f t="shared" ref="V126:AB126" si="632">if(OR(AW126 = $AO$4, AW126 = $AQ$4), 1, 0)</f>
        <v>1</v>
      </c>
      <c r="W126" s="21">
        <f t="shared" si="632"/>
        <v>0</v>
      </c>
      <c r="X126" s="21">
        <f t="shared" si="632"/>
        <v>0</v>
      </c>
      <c r="Y126" s="21">
        <f t="shared" si="632"/>
        <v>0</v>
      </c>
      <c r="Z126" s="21">
        <f t="shared" si="632"/>
        <v>0</v>
      </c>
      <c r="AA126" s="21">
        <f t="shared" si="632"/>
        <v>0</v>
      </c>
      <c r="AB126" s="21">
        <f t="shared" si="632"/>
        <v>0</v>
      </c>
      <c r="AC126" s="21">
        <f t="shared" si="10"/>
        <v>1</v>
      </c>
      <c r="AD126" s="21">
        <f t="shared" si="11"/>
        <v>0</v>
      </c>
      <c r="AE126" s="21">
        <f t="shared" ref="AE126:AH126" si="633">if(OR(BD126 = $AO$6, BD126 = $AS$6, BD126 = $AT$6, BD126 = $AU$6), 1, 0)</f>
        <v>1</v>
      </c>
      <c r="AF126" s="21">
        <f t="shared" si="633"/>
        <v>1</v>
      </c>
      <c r="AG126" s="21">
        <f t="shared" si="633"/>
        <v>1</v>
      </c>
      <c r="AH126" s="21">
        <f t="shared" si="633"/>
        <v>1</v>
      </c>
      <c r="AI126" s="21">
        <f t="shared" si="13"/>
        <v>4</v>
      </c>
      <c r="AJ126" s="21">
        <f t="shared" si="14"/>
        <v>5</v>
      </c>
      <c r="AK126" s="59">
        <f t="shared" si="15"/>
        <v>3.125</v>
      </c>
      <c r="AL126" s="60" t="str">
        <f t="shared" si="16"/>
        <v>good</v>
      </c>
      <c r="AW126" s="22" t="str">
        <f t="shared" ref="AW126:BC126" si="634">IF(IFERROR(SEARCH(E$1, $D126),0) &gt;= 1, E$1,0)</f>
        <v>Geschiedenis en archeologie</v>
      </c>
      <c r="AX126" s="22">
        <f t="shared" si="634"/>
        <v>0</v>
      </c>
      <c r="AY126" s="22">
        <f t="shared" si="634"/>
        <v>0</v>
      </c>
      <c r="AZ126" s="22">
        <f t="shared" si="634"/>
        <v>0</v>
      </c>
      <c r="BA126" s="22">
        <f t="shared" si="634"/>
        <v>0</v>
      </c>
      <c r="BB126" s="22">
        <f t="shared" si="634"/>
        <v>0</v>
      </c>
      <c r="BC126" s="22">
        <f t="shared" si="634"/>
        <v>0</v>
      </c>
      <c r="BD126" s="22" t="str">
        <f t="shared" ref="BD126:BG126" si="635">IF(L126 = true, BD$1, 0)</f>
        <v>Shop</v>
      </c>
      <c r="BE126" s="22" t="str">
        <f t="shared" si="635"/>
        <v>Café</v>
      </c>
      <c r="BF126" s="22" t="str">
        <f t="shared" si="635"/>
        <v>Parking</v>
      </c>
      <c r="BG126" s="22" t="str">
        <f t="shared" si="635"/>
        <v>Restaurant</v>
      </c>
      <c r="BH126" s="22" t="str">
        <f>IFERROR(__xludf.DUMMYFUNCTION("""COMPUTED_VALUE"""),"Fotografiemuseum")</f>
        <v>Fotografiemuseum</v>
      </c>
      <c r="BI126" s="24">
        <f>IFERROR(__xludf.DUMMYFUNCTION("""COMPUTED_VALUE"""),4.0)</f>
        <v>4</v>
      </c>
      <c r="BJ126" s="22" t="b">
        <f>IFERROR(__xludf.DUMMYFUNCTION("""COMPUTED_VALUE"""),FALSE)</f>
        <v>0</v>
      </c>
      <c r="BK126" s="22" t="b">
        <f>IFERROR(__xludf.DUMMYFUNCTION("""COMPUTED_VALUE"""),TRUE)</f>
        <v>1</v>
      </c>
      <c r="BL126" s="24">
        <f>IFERROR(__xludf.DUMMYFUNCTION("""COMPUTED_VALUE"""),8.0)</f>
        <v>8</v>
      </c>
      <c r="BM126" s="22">
        <f>IFERROR(__xludf.DUMMYFUNCTION("""COMPUTED_VALUE"""),0.0)</f>
        <v>0</v>
      </c>
      <c r="BN126" s="22">
        <f>IFERROR(__xludf.DUMMYFUNCTION("""COMPUTED_VALUE"""),0.0)</f>
        <v>0</v>
      </c>
      <c r="BO126" s="22">
        <f>IFERROR(__xludf.DUMMYFUNCTION("""COMPUTED_VALUE"""),0.0)</f>
        <v>0</v>
      </c>
      <c r="BP126" s="22">
        <f>IFERROR(__xludf.DUMMYFUNCTION("""COMPUTED_VALUE"""),0.0)</f>
        <v>0</v>
      </c>
      <c r="BQ126" s="22">
        <f>IFERROR(__xludf.DUMMYFUNCTION("""COMPUTED_VALUE"""),0.0)</f>
        <v>0</v>
      </c>
      <c r="BR126" s="22">
        <f>IFERROR(__xludf.DUMMYFUNCTION("""COMPUTED_VALUE"""),0.0)</f>
        <v>0</v>
      </c>
      <c r="BS126" s="22">
        <f>IFERROR(__xludf.DUMMYFUNCTION("""COMPUTED_VALUE"""),1.0)</f>
        <v>1</v>
      </c>
      <c r="BT126" s="22">
        <f>IFERROR(__xludf.DUMMYFUNCTION("""COMPUTED_VALUE"""),0.0)</f>
        <v>0</v>
      </c>
      <c r="BU126" s="22">
        <f>IFERROR(__xludf.DUMMYFUNCTION("""COMPUTED_VALUE"""),1.0)</f>
        <v>1</v>
      </c>
      <c r="BV126" s="22">
        <f>IFERROR(__xludf.DUMMYFUNCTION("""COMPUTED_VALUE"""),1.0)</f>
        <v>1</v>
      </c>
      <c r="BW126" s="22">
        <f>IFERROR(__xludf.DUMMYFUNCTION("""COMPUTED_VALUE"""),1.0)</f>
        <v>1</v>
      </c>
      <c r="BX126" s="22">
        <f>IFERROR(__xludf.DUMMYFUNCTION("""COMPUTED_VALUE"""),1.0)</f>
        <v>1</v>
      </c>
      <c r="BY126" s="22">
        <f>IFERROR(__xludf.DUMMYFUNCTION("""COMPUTED_VALUE"""),0.0)</f>
        <v>0</v>
      </c>
      <c r="BZ126" s="22">
        <f>IFERROR(__xludf.DUMMYFUNCTION("""COMPUTED_VALUE"""),0.0)</f>
        <v>0</v>
      </c>
      <c r="CA126" s="22">
        <f>IFERROR(__xludf.DUMMYFUNCTION("""COMPUTED_VALUE"""),2.0)</f>
        <v>2</v>
      </c>
      <c r="CB126" s="22">
        <f>IFERROR(__xludf.DUMMYFUNCTION("""COMPUTED_VALUE"""),4.0)</f>
        <v>4</v>
      </c>
      <c r="CC126" s="61">
        <f>IFERROR(__xludf.DUMMYFUNCTION("""COMPUTED_VALUE"""),2.5)</f>
        <v>2.5</v>
      </c>
      <c r="CD126" s="62" t="str">
        <f>IFERROR(__xludf.DUMMYFUNCTION("""COMPUTED_VALUE"""),"subpar")</f>
        <v>subpar</v>
      </c>
      <c r="CE126" s="22" t="s">
        <v>370</v>
      </c>
      <c r="CF126" s="24">
        <v>4.0</v>
      </c>
      <c r="CG126" s="22" t="b">
        <v>0</v>
      </c>
      <c r="CH126" s="22" t="b">
        <v>1</v>
      </c>
      <c r="CI126" s="24">
        <v>8.0</v>
      </c>
      <c r="CJ126" s="22">
        <v>0.0</v>
      </c>
      <c r="CK126" s="22">
        <v>0.0</v>
      </c>
      <c r="CL126" s="22">
        <v>0.0</v>
      </c>
      <c r="CM126" s="22">
        <v>0.0</v>
      </c>
      <c r="CN126" s="22">
        <v>0.0</v>
      </c>
      <c r="CO126" s="22">
        <v>0.0</v>
      </c>
      <c r="CP126" s="22">
        <v>1.0</v>
      </c>
      <c r="CQ126" s="22">
        <v>0.0</v>
      </c>
      <c r="CR126" s="22">
        <v>1.0</v>
      </c>
      <c r="CS126" s="22">
        <v>1.0</v>
      </c>
      <c r="CT126" s="22">
        <v>1.0</v>
      </c>
      <c r="CU126" s="22">
        <v>1.0</v>
      </c>
      <c r="CV126" s="22">
        <v>0.0</v>
      </c>
      <c r="CW126" s="22">
        <v>0.0</v>
      </c>
      <c r="CX126" s="22">
        <v>2.0</v>
      </c>
      <c r="CY126" s="22">
        <v>4.0</v>
      </c>
      <c r="CZ126" s="61">
        <v>2.5</v>
      </c>
      <c r="DA126" s="62" t="s">
        <v>568</v>
      </c>
    </row>
    <row r="127">
      <c r="A127" s="16" t="s">
        <v>284</v>
      </c>
      <c r="B127" s="16" t="s">
        <v>285</v>
      </c>
      <c r="C127" s="17" t="s">
        <v>43</v>
      </c>
      <c r="D127" s="16" t="s">
        <v>5</v>
      </c>
      <c r="E127" s="17" t="b">
        <f t="shared" ref="E127:K127" si="636">If(IFERROR(SEARCH(E$1, $D127),0) &gt;= 1, true,false)</f>
        <v>0</v>
      </c>
      <c r="F127" s="17" t="b">
        <f t="shared" si="636"/>
        <v>1</v>
      </c>
      <c r="G127" s="17" t="b">
        <f t="shared" si="636"/>
        <v>0</v>
      </c>
      <c r="H127" s="17" t="b">
        <f t="shared" si="636"/>
        <v>0</v>
      </c>
      <c r="I127" s="17" t="b">
        <f t="shared" si="636"/>
        <v>0</v>
      </c>
      <c r="J127" s="17" t="b">
        <f t="shared" si="636"/>
        <v>0</v>
      </c>
      <c r="K127" s="17" t="b">
        <f t="shared" si="636"/>
        <v>0</v>
      </c>
      <c r="L127" s="18" t="b">
        <v>1</v>
      </c>
      <c r="M127" s="18" t="b">
        <v>1</v>
      </c>
      <c r="N127" s="18" t="b">
        <v>1</v>
      </c>
      <c r="O127" s="18" t="b">
        <v>0</v>
      </c>
      <c r="P127" s="16" t="str">
        <f t="shared" si="7"/>
        <v>Aquarium-Museum van Luik</v>
      </c>
      <c r="Q127" s="19">
        <v>7.5</v>
      </c>
      <c r="R127" s="18" t="b">
        <v>1</v>
      </c>
      <c r="S127" s="18" t="b">
        <v>0</v>
      </c>
      <c r="T127" s="21"/>
      <c r="U127" s="21">
        <f t="shared" si="8"/>
        <v>0</v>
      </c>
      <c r="V127" s="21">
        <f t="shared" ref="V127:AB127" si="637">if(OR(AW127 = $AO$4, AW127 = $AQ$4), 1, 0)</f>
        <v>0</v>
      </c>
      <c r="W127" s="21">
        <f t="shared" si="637"/>
        <v>0</v>
      </c>
      <c r="X127" s="21">
        <f t="shared" si="637"/>
        <v>0</v>
      </c>
      <c r="Y127" s="21">
        <f t="shared" si="637"/>
        <v>0</v>
      </c>
      <c r="Z127" s="21">
        <f t="shared" si="637"/>
        <v>0</v>
      </c>
      <c r="AA127" s="21">
        <f t="shared" si="637"/>
        <v>0</v>
      </c>
      <c r="AB127" s="21">
        <f t="shared" si="637"/>
        <v>0</v>
      </c>
      <c r="AC127" s="21">
        <f t="shared" si="10"/>
        <v>0</v>
      </c>
      <c r="AD127" s="21">
        <f t="shared" si="11"/>
        <v>1</v>
      </c>
      <c r="AE127" s="21">
        <f t="shared" ref="AE127:AH127" si="638">if(OR(BD127 = $AO$6, BD127 = $AS$6, BD127 = $AT$6, BD127 = $AU$6), 1, 0)</f>
        <v>1</v>
      </c>
      <c r="AF127" s="21">
        <f t="shared" si="638"/>
        <v>1</v>
      </c>
      <c r="AG127" s="21">
        <f t="shared" si="638"/>
        <v>1</v>
      </c>
      <c r="AH127" s="21">
        <f t="shared" si="638"/>
        <v>0</v>
      </c>
      <c r="AI127" s="21">
        <f t="shared" si="13"/>
        <v>3</v>
      </c>
      <c r="AJ127" s="21">
        <f t="shared" si="14"/>
        <v>4</v>
      </c>
      <c r="AK127" s="59">
        <f t="shared" si="15"/>
        <v>2.5</v>
      </c>
      <c r="AL127" s="60" t="str">
        <f t="shared" si="16"/>
        <v>subpar</v>
      </c>
      <c r="AW127" s="22">
        <f t="shared" ref="AW127:BC127" si="639">IF(IFERROR(SEARCH(E$1, $D127),0) &gt;= 1, E$1,0)</f>
        <v>0</v>
      </c>
      <c r="AX127" s="22" t="str">
        <f t="shared" si="639"/>
        <v>Wetenschap en technologie</v>
      </c>
      <c r="AY127" s="22">
        <f t="shared" si="639"/>
        <v>0</v>
      </c>
      <c r="AZ127" s="22">
        <f t="shared" si="639"/>
        <v>0</v>
      </c>
      <c r="BA127" s="22">
        <f t="shared" si="639"/>
        <v>0</v>
      </c>
      <c r="BB127" s="22">
        <f t="shared" si="639"/>
        <v>0</v>
      </c>
      <c r="BC127" s="22">
        <f t="shared" si="639"/>
        <v>0</v>
      </c>
      <c r="BD127" s="22" t="str">
        <f t="shared" ref="BD127:BG127" si="640">IF(L127 = true, BD$1, 0)</f>
        <v>Shop</v>
      </c>
      <c r="BE127" s="22" t="str">
        <f t="shared" si="640"/>
        <v>Café</v>
      </c>
      <c r="BF127" s="22" t="str">
        <f t="shared" si="640"/>
        <v>Parking</v>
      </c>
      <c r="BG127" s="22">
        <f t="shared" si="640"/>
        <v>0</v>
      </c>
      <c r="BH127" s="22" t="str">
        <f>IFERROR(__xludf.DUMMYFUNCTION("""COMPUTED_VALUE"""),"Lintweverijmuseum van Komen")</f>
        <v>Lintweverijmuseum van Komen</v>
      </c>
      <c r="BI127" s="24">
        <f>IFERROR(__xludf.DUMMYFUNCTION("""COMPUTED_VALUE"""),7.0)</f>
        <v>7</v>
      </c>
      <c r="BJ127" s="22" t="b">
        <f>IFERROR(__xludf.DUMMYFUNCTION("""COMPUTED_VALUE"""),FALSE)</f>
        <v>0</v>
      </c>
      <c r="BK127" s="22" t="b">
        <f>IFERROR(__xludf.DUMMYFUNCTION("""COMPUTED_VALUE"""),TRUE)</f>
        <v>1</v>
      </c>
      <c r="BL127" s="24">
        <f>IFERROR(__xludf.DUMMYFUNCTION("""COMPUTED_VALUE"""),7.0)</f>
        <v>7</v>
      </c>
      <c r="BM127" s="22">
        <f>IFERROR(__xludf.DUMMYFUNCTION("""COMPUTED_VALUE"""),0.0)</f>
        <v>0</v>
      </c>
      <c r="BN127" s="22">
        <f>IFERROR(__xludf.DUMMYFUNCTION("""COMPUTED_VALUE"""),1.0)</f>
        <v>1</v>
      </c>
      <c r="BO127" s="22">
        <f>IFERROR(__xludf.DUMMYFUNCTION("""COMPUTED_VALUE"""),0.0)</f>
        <v>0</v>
      </c>
      <c r="BP127" s="22">
        <f>IFERROR(__xludf.DUMMYFUNCTION("""COMPUTED_VALUE"""),0.0)</f>
        <v>0</v>
      </c>
      <c r="BQ127" s="22">
        <f>IFERROR(__xludf.DUMMYFUNCTION("""COMPUTED_VALUE"""),0.0)</f>
        <v>0</v>
      </c>
      <c r="BR127" s="22">
        <f>IFERROR(__xludf.DUMMYFUNCTION("""COMPUTED_VALUE"""),0.0)</f>
        <v>0</v>
      </c>
      <c r="BS127" s="22">
        <f>IFERROR(__xludf.DUMMYFUNCTION("""COMPUTED_VALUE"""),0.0)</f>
        <v>0</v>
      </c>
      <c r="BT127" s="22">
        <f>IFERROR(__xludf.DUMMYFUNCTION("""COMPUTED_VALUE"""),0.0)</f>
        <v>0</v>
      </c>
      <c r="BU127" s="22">
        <f>IFERROR(__xludf.DUMMYFUNCTION("""COMPUTED_VALUE"""),1.0)</f>
        <v>1</v>
      </c>
      <c r="BV127" s="22">
        <f>IFERROR(__xludf.DUMMYFUNCTION("""COMPUTED_VALUE"""),1.0)</f>
        <v>1</v>
      </c>
      <c r="BW127" s="22">
        <f>IFERROR(__xludf.DUMMYFUNCTION("""COMPUTED_VALUE"""),1.0)</f>
        <v>1</v>
      </c>
      <c r="BX127" s="22">
        <f>IFERROR(__xludf.DUMMYFUNCTION("""COMPUTED_VALUE"""),1.0)</f>
        <v>1</v>
      </c>
      <c r="BY127" s="22">
        <f>IFERROR(__xludf.DUMMYFUNCTION("""COMPUTED_VALUE"""),0.0)</f>
        <v>0</v>
      </c>
      <c r="BZ127" s="22">
        <f>IFERROR(__xludf.DUMMYFUNCTION("""COMPUTED_VALUE"""),0.0)</f>
        <v>0</v>
      </c>
      <c r="CA127" s="22">
        <f>IFERROR(__xludf.DUMMYFUNCTION("""COMPUTED_VALUE"""),2.0)</f>
        <v>2</v>
      </c>
      <c r="CB127" s="22">
        <f>IFERROR(__xludf.DUMMYFUNCTION("""COMPUTED_VALUE"""),4.0)</f>
        <v>4</v>
      </c>
      <c r="CC127" s="61">
        <f>IFERROR(__xludf.DUMMYFUNCTION("""COMPUTED_VALUE"""),2.5)</f>
        <v>2.5</v>
      </c>
      <c r="CD127" s="62" t="str">
        <f>IFERROR(__xludf.DUMMYFUNCTION("""COMPUTED_VALUE"""),"subpar")</f>
        <v>subpar</v>
      </c>
      <c r="CE127" s="22" t="s">
        <v>372</v>
      </c>
      <c r="CF127" s="24">
        <v>7.0</v>
      </c>
      <c r="CG127" s="22" t="b">
        <v>0</v>
      </c>
      <c r="CH127" s="22" t="b">
        <v>1</v>
      </c>
      <c r="CI127" s="24">
        <v>7.0</v>
      </c>
      <c r="CJ127" s="22">
        <v>0.0</v>
      </c>
      <c r="CK127" s="22">
        <v>1.0</v>
      </c>
      <c r="CL127" s="22">
        <v>0.0</v>
      </c>
      <c r="CM127" s="22">
        <v>0.0</v>
      </c>
      <c r="CN127" s="22">
        <v>0.0</v>
      </c>
      <c r="CO127" s="22">
        <v>0.0</v>
      </c>
      <c r="CP127" s="22">
        <v>0.0</v>
      </c>
      <c r="CQ127" s="22">
        <v>0.0</v>
      </c>
      <c r="CR127" s="22">
        <v>1.0</v>
      </c>
      <c r="CS127" s="22">
        <v>1.0</v>
      </c>
      <c r="CT127" s="22">
        <v>1.0</v>
      </c>
      <c r="CU127" s="22">
        <v>1.0</v>
      </c>
      <c r="CV127" s="22">
        <v>0.0</v>
      </c>
      <c r="CW127" s="22">
        <v>0.0</v>
      </c>
      <c r="CX127" s="22">
        <v>2.0</v>
      </c>
      <c r="CY127" s="22">
        <v>4.0</v>
      </c>
      <c r="CZ127" s="61">
        <v>2.5</v>
      </c>
      <c r="DA127" s="62" t="s">
        <v>568</v>
      </c>
    </row>
    <row r="128">
      <c r="A128" s="16" t="s">
        <v>286</v>
      </c>
      <c r="B128" s="16" t="s">
        <v>287</v>
      </c>
      <c r="C128" s="17" t="s">
        <v>43</v>
      </c>
      <c r="D128" s="16" t="s">
        <v>4</v>
      </c>
      <c r="E128" s="17" t="b">
        <f t="shared" ref="E128:K128" si="641">If(IFERROR(SEARCH(E$1, $D128),0) &gt;= 1, true,false)</f>
        <v>1</v>
      </c>
      <c r="F128" s="17" t="b">
        <f t="shared" si="641"/>
        <v>0</v>
      </c>
      <c r="G128" s="17" t="b">
        <f t="shared" si="641"/>
        <v>0</v>
      </c>
      <c r="H128" s="17" t="b">
        <f t="shared" si="641"/>
        <v>0</v>
      </c>
      <c r="I128" s="17" t="b">
        <f t="shared" si="641"/>
        <v>0</v>
      </c>
      <c r="J128" s="17" t="b">
        <f t="shared" si="641"/>
        <v>0</v>
      </c>
      <c r="K128" s="17" t="b">
        <f t="shared" si="641"/>
        <v>0</v>
      </c>
      <c r="L128" s="18" t="b">
        <v>1</v>
      </c>
      <c r="M128" s="18" t="b">
        <v>0</v>
      </c>
      <c r="N128" s="18" t="b">
        <v>0</v>
      </c>
      <c r="O128" s="18" t="b">
        <v>0</v>
      </c>
      <c r="P128" s="16" t="str">
        <f t="shared" si="7"/>
        <v>Archeoforum van Luik</v>
      </c>
      <c r="Q128" s="19">
        <v>6.0</v>
      </c>
      <c r="R128" s="18" t="b">
        <v>0</v>
      </c>
      <c r="S128" s="18" t="b">
        <v>0</v>
      </c>
      <c r="T128" s="21"/>
      <c r="U128" s="21">
        <f t="shared" si="8"/>
        <v>0</v>
      </c>
      <c r="V128" s="21">
        <f t="shared" ref="V128:AB128" si="642">if(OR(AW128 = $AO$4, AW128 = $AQ$4), 1, 0)</f>
        <v>1</v>
      </c>
      <c r="W128" s="21">
        <f t="shared" si="642"/>
        <v>0</v>
      </c>
      <c r="X128" s="21">
        <f t="shared" si="642"/>
        <v>0</v>
      </c>
      <c r="Y128" s="21">
        <f t="shared" si="642"/>
        <v>0</v>
      </c>
      <c r="Z128" s="21">
        <f t="shared" si="642"/>
        <v>0</v>
      </c>
      <c r="AA128" s="21">
        <f t="shared" si="642"/>
        <v>0</v>
      </c>
      <c r="AB128" s="21">
        <f t="shared" si="642"/>
        <v>0</v>
      </c>
      <c r="AC128" s="21">
        <f t="shared" si="10"/>
        <v>1</v>
      </c>
      <c r="AD128" s="21">
        <f t="shared" si="11"/>
        <v>1</v>
      </c>
      <c r="AE128" s="21">
        <f t="shared" ref="AE128:AH128" si="643">if(OR(BD128 = $AO$6, BD128 = $AS$6, BD128 = $AT$6, BD128 = $AU$6), 1, 0)</f>
        <v>1</v>
      </c>
      <c r="AF128" s="21">
        <f t="shared" si="643"/>
        <v>0</v>
      </c>
      <c r="AG128" s="21">
        <f t="shared" si="643"/>
        <v>0</v>
      </c>
      <c r="AH128" s="21">
        <f t="shared" si="643"/>
        <v>0</v>
      </c>
      <c r="AI128" s="21">
        <f t="shared" si="13"/>
        <v>1</v>
      </c>
      <c r="AJ128" s="21">
        <f t="shared" si="14"/>
        <v>3</v>
      </c>
      <c r="AK128" s="59">
        <f t="shared" si="15"/>
        <v>1.875</v>
      </c>
      <c r="AL128" s="60" t="str">
        <f t="shared" si="16"/>
        <v>subpar</v>
      </c>
      <c r="AW128" s="22" t="str">
        <f t="shared" ref="AW128:BC128" si="644">IF(IFERROR(SEARCH(E$1, $D128),0) &gt;= 1, E$1,0)</f>
        <v>Geschiedenis en archeologie</v>
      </c>
      <c r="AX128" s="22">
        <f t="shared" si="644"/>
        <v>0</v>
      </c>
      <c r="AY128" s="22">
        <f t="shared" si="644"/>
        <v>0</v>
      </c>
      <c r="AZ128" s="22">
        <f t="shared" si="644"/>
        <v>0</v>
      </c>
      <c r="BA128" s="22">
        <f t="shared" si="644"/>
        <v>0</v>
      </c>
      <c r="BB128" s="22">
        <f t="shared" si="644"/>
        <v>0</v>
      </c>
      <c r="BC128" s="22">
        <f t="shared" si="644"/>
        <v>0</v>
      </c>
      <c r="BD128" s="22" t="str">
        <f t="shared" ref="BD128:BG128" si="645">IF(L128 = true, BD$1, 0)</f>
        <v>Shop</v>
      </c>
      <c r="BE128" s="22">
        <f t="shared" si="645"/>
        <v>0</v>
      </c>
      <c r="BF128" s="22">
        <f t="shared" si="645"/>
        <v>0</v>
      </c>
      <c r="BG128" s="22">
        <f t="shared" si="645"/>
        <v>0</v>
      </c>
      <c r="BH128" s="22" t="str">
        <f>IFERROR(__xludf.DUMMYFUNCTION("""COMPUTED_VALUE"""),"Musée des arts de la Marionnette ")</f>
        <v>Musée des arts de la Marionnette </v>
      </c>
      <c r="BI128" s="24">
        <f>IFERROR(__xludf.DUMMYFUNCTION("""COMPUTED_VALUE"""),0.0)</f>
        <v>0</v>
      </c>
      <c r="BJ128" s="22" t="b">
        <f>IFERROR(__xludf.DUMMYFUNCTION("""COMPUTED_VALUE"""),FALSE)</f>
        <v>0</v>
      </c>
      <c r="BK128" s="22" t="b">
        <f>IFERROR(__xludf.DUMMYFUNCTION("""COMPUTED_VALUE"""),FALSE)</f>
        <v>0</v>
      </c>
      <c r="BL128" s="22"/>
      <c r="BM128" s="22">
        <f>IFERROR(__xludf.DUMMYFUNCTION("""COMPUTED_VALUE"""),0.0)</f>
        <v>0</v>
      </c>
      <c r="BN128" s="22">
        <f>IFERROR(__xludf.DUMMYFUNCTION("""COMPUTED_VALUE"""),1.0)</f>
        <v>1</v>
      </c>
      <c r="BO128" s="22">
        <f>IFERROR(__xludf.DUMMYFUNCTION("""COMPUTED_VALUE"""),0.0)</f>
        <v>0</v>
      </c>
      <c r="BP128" s="22">
        <f>IFERROR(__xludf.DUMMYFUNCTION("""COMPUTED_VALUE"""),0.0)</f>
        <v>0</v>
      </c>
      <c r="BQ128" s="22">
        <f>IFERROR(__xludf.DUMMYFUNCTION("""COMPUTED_VALUE"""),0.0)</f>
        <v>0</v>
      </c>
      <c r="BR128" s="22">
        <f>IFERROR(__xludf.DUMMYFUNCTION("""COMPUTED_VALUE"""),0.0)</f>
        <v>0</v>
      </c>
      <c r="BS128" s="22">
        <f>IFERROR(__xludf.DUMMYFUNCTION("""COMPUTED_VALUE"""),1.0)</f>
        <v>1</v>
      </c>
      <c r="BT128" s="22">
        <f>IFERROR(__xludf.DUMMYFUNCTION("""COMPUTED_VALUE"""),0.0)</f>
        <v>0</v>
      </c>
      <c r="BU128" s="22">
        <f>IFERROR(__xludf.DUMMYFUNCTION("""COMPUTED_VALUE"""),2.0)</f>
        <v>2</v>
      </c>
      <c r="BV128" s="22">
        <f>IFERROR(__xludf.DUMMYFUNCTION("""COMPUTED_VALUE"""),1.0)</f>
        <v>1</v>
      </c>
      <c r="BW128" s="22">
        <f>IFERROR(__xludf.DUMMYFUNCTION("""COMPUTED_VALUE"""),1.0)</f>
        <v>1</v>
      </c>
      <c r="BX128" s="22">
        <f>IFERROR(__xludf.DUMMYFUNCTION("""COMPUTED_VALUE"""),0.0)</f>
        <v>0</v>
      </c>
      <c r="BY128" s="22">
        <f>IFERROR(__xludf.DUMMYFUNCTION("""COMPUTED_VALUE"""),0.0)</f>
        <v>0</v>
      </c>
      <c r="BZ128" s="22">
        <f>IFERROR(__xludf.DUMMYFUNCTION("""COMPUTED_VALUE"""),0.0)</f>
        <v>0</v>
      </c>
      <c r="CA128" s="22">
        <f>IFERROR(__xludf.DUMMYFUNCTION("""COMPUTED_VALUE"""),1.0)</f>
        <v>1</v>
      </c>
      <c r="CB128" s="22">
        <f>IFERROR(__xludf.DUMMYFUNCTION("""COMPUTED_VALUE"""),4.0)</f>
        <v>4</v>
      </c>
      <c r="CC128" s="61">
        <f>IFERROR(__xludf.DUMMYFUNCTION("""COMPUTED_VALUE"""),2.5)</f>
        <v>2.5</v>
      </c>
      <c r="CD128" s="62" t="str">
        <f>IFERROR(__xludf.DUMMYFUNCTION("""COMPUTED_VALUE"""),"subpar")</f>
        <v>subpar</v>
      </c>
      <c r="CE128" s="22" t="s">
        <v>375</v>
      </c>
      <c r="CF128" s="24">
        <v>0.0</v>
      </c>
      <c r="CG128" s="22" t="b">
        <v>0</v>
      </c>
      <c r="CH128" s="22" t="b">
        <v>0</v>
      </c>
      <c r="CI128" s="22"/>
      <c r="CJ128" s="22">
        <v>0.0</v>
      </c>
      <c r="CK128" s="22">
        <v>1.0</v>
      </c>
      <c r="CL128" s="22">
        <v>0.0</v>
      </c>
      <c r="CM128" s="22">
        <v>0.0</v>
      </c>
      <c r="CN128" s="22">
        <v>0.0</v>
      </c>
      <c r="CO128" s="22">
        <v>0.0</v>
      </c>
      <c r="CP128" s="22">
        <v>1.0</v>
      </c>
      <c r="CQ128" s="22">
        <v>0.0</v>
      </c>
      <c r="CR128" s="22">
        <v>2.0</v>
      </c>
      <c r="CS128" s="22">
        <v>1.0</v>
      </c>
      <c r="CT128" s="22">
        <v>1.0</v>
      </c>
      <c r="CU128" s="22">
        <v>0.0</v>
      </c>
      <c r="CV128" s="22">
        <v>0.0</v>
      </c>
      <c r="CW128" s="22">
        <v>0.0</v>
      </c>
      <c r="CX128" s="22">
        <v>1.0</v>
      </c>
      <c r="CY128" s="22">
        <v>4.0</v>
      </c>
      <c r="CZ128" s="61">
        <v>2.5</v>
      </c>
      <c r="DA128" s="62" t="s">
        <v>568</v>
      </c>
    </row>
    <row r="129">
      <c r="A129" s="16"/>
      <c r="B129" s="16" t="s">
        <v>288</v>
      </c>
      <c r="C129" s="17" t="s">
        <v>43</v>
      </c>
      <c r="D129" s="16" t="s">
        <v>95</v>
      </c>
      <c r="E129" s="17" t="b">
        <f t="shared" ref="E129:K129" si="646">If(IFERROR(SEARCH(E$1, $D129),0) &gt;= 1, true,false)</f>
        <v>1</v>
      </c>
      <c r="F129" s="17" t="b">
        <f t="shared" si="646"/>
        <v>0</v>
      </c>
      <c r="G129" s="17" t="b">
        <f t="shared" si="646"/>
        <v>0</v>
      </c>
      <c r="H129" s="17" t="b">
        <f t="shared" si="646"/>
        <v>0</v>
      </c>
      <c r="I129" s="17" t="b">
        <f t="shared" si="646"/>
        <v>0</v>
      </c>
      <c r="J129" s="17" t="b">
        <f t="shared" si="646"/>
        <v>1</v>
      </c>
      <c r="K129" s="17" t="b">
        <f t="shared" si="646"/>
        <v>0</v>
      </c>
      <c r="L129" s="18" t="b">
        <v>0</v>
      </c>
      <c r="M129" s="18" t="b">
        <v>1</v>
      </c>
      <c r="N129" s="18" t="b">
        <v>0</v>
      </c>
      <c r="O129" s="18" t="b">
        <v>1</v>
      </c>
      <c r="P129" s="16" t="str">
        <f t="shared" si="7"/>
        <v>ArtHouse</v>
      </c>
      <c r="Q129" s="19">
        <v>4.0</v>
      </c>
      <c r="R129" s="18" t="b">
        <v>0</v>
      </c>
      <c r="S129" s="18" t="b">
        <v>0</v>
      </c>
      <c r="T129" s="21"/>
      <c r="U129" s="21">
        <f t="shared" si="8"/>
        <v>0</v>
      </c>
      <c r="V129" s="21">
        <f t="shared" ref="V129:AB129" si="647">if(OR(AW129 = $AO$4, AW129 = $AQ$4), 1, 0)</f>
        <v>1</v>
      </c>
      <c r="W129" s="21">
        <f t="shared" si="647"/>
        <v>0</v>
      </c>
      <c r="X129" s="21">
        <f t="shared" si="647"/>
        <v>0</v>
      </c>
      <c r="Y129" s="21">
        <f t="shared" si="647"/>
        <v>0</v>
      </c>
      <c r="Z129" s="21">
        <f t="shared" si="647"/>
        <v>0</v>
      </c>
      <c r="AA129" s="21">
        <f t="shared" si="647"/>
        <v>1</v>
      </c>
      <c r="AB129" s="21">
        <f t="shared" si="647"/>
        <v>0</v>
      </c>
      <c r="AC129" s="21">
        <f t="shared" si="10"/>
        <v>2</v>
      </c>
      <c r="AD129" s="21">
        <f t="shared" si="11"/>
        <v>1</v>
      </c>
      <c r="AE129" s="21">
        <f t="shared" ref="AE129:AH129" si="648">if(OR(BD129 = $AO$6, BD129 = $AS$6, BD129 = $AT$6, BD129 = $AU$6), 1, 0)</f>
        <v>0</v>
      </c>
      <c r="AF129" s="21">
        <f t="shared" si="648"/>
        <v>1</v>
      </c>
      <c r="AG129" s="21">
        <f t="shared" si="648"/>
        <v>0</v>
      </c>
      <c r="AH129" s="21">
        <f t="shared" si="648"/>
        <v>1</v>
      </c>
      <c r="AI129" s="21">
        <f t="shared" si="13"/>
        <v>2</v>
      </c>
      <c r="AJ129" s="21">
        <f t="shared" si="14"/>
        <v>5</v>
      </c>
      <c r="AK129" s="59">
        <f t="shared" si="15"/>
        <v>3.125</v>
      </c>
      <c r="AL129" s="60" t="str">
        <f t="shared" si="16"/>
        <v>good</v>
      </c>
      <c r="AW129" s="22" t="str">
        <f t="shared" ref="AW129:BC129" si="649">IF(IFERROR(SEARCH(E$1, $D129),0) &gt;= 1, E$1,0)</f>
        <v>Geschiedenis en archeologie</v>
      </c>
      <c r="AX129" s="22">
        <f t="shared" si="649"/>
        <v>0</v>
      </c>
      <c r="AY129" s="22">
        <f t="shared" si="649"/>
        <v>0</v>
      </c>
      <c r="AZ129" s="22">
        <f t="shared" si="649"/>
        <v>0</v>
      </c>
      <c r="BA129" s="22">
        <f t="shared" si="649"/>
        <v>0</v>
      </c>
      <c r="BB129" s="22" t="str">
        <f t="shared" si="649"/>
        <v>Beeldende kunst</v>
      </c>
      <c r="BC129" s="22">
        <f t="shared" si="649"/>
        <v>0</v>
      </c>
      <c r="BD129" s="22">
        <f t="shared" ref="BD129:BG129" si="650">IF(L129 = true, BD$1, 0)</f>
        <v>0</v>
      </c>
      <c r="BE129" s="22" t="str">
        <f t="shared" si="650"/>
        <v>Café</v>
      </c>
      <c r="BF129" s="22">
        <f t="shared" si="650"/>
        <v>0</v>
      </c>
      <c r="BG129" s="22" t="str">
        <f t="shared" si="650"/>
        <v>Restaurant</v>
      </c>
      <c r="BH129" s="22" t="str">
        <f>IFERROR(__xludf.DUMMYFUNCTION("""COMPUTED_VALUE"""),"Museum voor Schone Kunsten van Doornik")</f>
        <v>Museum voor Schone Kunsten van Doornik</v>
      </c>
      <c r="BI129" s="24">
        <f>IFERROR(__xludf.DUMMYFUNCTION("""COMPUTED_VALUE"""),4.0)</f>
        <v>4</v>
      </c>
      <c r="BJ129" s="22" t="b">
        <f>IFERROR(__xludf.DUMMYFUNCTION("""COMPUTED_VALUE"""),FALSE)</f>
        <v>0</v>
      </c>
      <c r="BK129" s="22" t="b">
        <f>IFERROR(__xludf.DUMMYFUNCTION("""COMPUTED_VALUE"""),TRUE)</f>
        <v>1</v>
      </c>
      <c r="BL129" s="24">
        <f>IFERROR(__xludf.DUMMYFUNCTION("""COMPUTED_VALUE"""),4.0)</f>
        <v>4</v>
      </c>
      <c r="BM129" s="22">
        <f>IFERROR(__xludf.DUMMYFUNCTION("""COMPUTED_VALUE"""),0.0)</f>
        <v>0</v>
      </c>
      <c r="BN129" s="22">
        <f>IFERROR(__xludf.DUMMYFUNCTION("""COMPUTED_VALUE"""),0.0)</f>
        <v>0</v>
      </c>
      <c r="BO129" s="22">
        <f>IFERROR(__xludf.DUMMYFUNCTION("""COMPUTED_VALUE"""),0.0)</f>
        <v>0</v>
      </c>
      <c r="BP129" s="22">
        <f>IFERROR(__xludf.DUMMYFUNCTION("""COMPUTED_VALUE"""),0.0)</f>
        <v>0</v>
      </c>
      <c r="BQ129" s="22">
        <f>IFERROR(__xludf.DUMMYFUNCTION("""COMPUTED_VALUE"""),0.0)</f>
        <v>0</v>
      </c>
      <c r="BR129" s="22">
        <f>IFERROR(__xludf.DUMMYFUNCTION("""COMPUTED_VALUE"""),0.0)</f>
        <v>0</v>
      </c>
      <c r="BS129" s="22">
        <f>IFERROR(__xludf.DUMMYFUNCTION("""COMPUTED_VALUE"""),1.0)</f>
        <v>1</v>
      </c>
      <c r="BT129" s="22">
        <f>IFERROR(__xludf.DUMMYFUNCTION("""COMPUTED_VALUE"""),0.0)</f>
        <v>0</v>
      </c>
      <c r="BU129" s="22">
        <f>IFERROR(__xludf.DUMMYFUNCTION("""COMPUTED_VALUE"""),1.0)</f>
        <v>1</v>
      </c>
      <c r="BV129" s="22">
        <f>IFERROR(__xludf.DUMMYFUNCTION("""COMPUTED_VALUE"""),1.0)</f>
        <v>1</v>
      </c>
      <c r="BW129" s="22">
        <f>IFERROR(__xludf.DUMMYFUNCTION("""COMPUTED_VALUE"""),1.0)</f>
        <v>1</v>
      </c>
      <c r="BX129" s="22">
        <f>IFERROR(__xludf.DUMMYFUNCTION("""COMPUTED_VALUE"""),1.0)</f>
        <v>1</v>
      </c>
      <c r="BY129" s="22">
        <f>IFERROR(__xludf.DUMMYFUNCTION("""COMPUTED_VALUE"""),0.0)</f>
        <v>0</v>
      </c>
      <c r="BZ129" s="22">
        <f>IFERROR(__xludf.DUMMYFUNCTION("""COMPUTED_VALUE"""),0.0)</f>
        <v>0</v>
      </c>
      <c r="CA129" s="22">
        <f>IFERROR(__xludf.DUMMYFUNCTION("""COMPUTED_VALUE"""),2.0)</f>
        <v>2</v>
      </c>
      <c r="CB129" s="22">
        <f>IFERROR(__xludf.DUMMYFUNCTION("""COMPUTED_VALUE"""),4.0)</f>
        <v>4</v>
      </c>
      <c r="CC129" s="61">
        <f>IFERROR(__xludf.DUMMYFUNCTION("""COMPUTED_VALUE"""),2.5)</f>
        <v>2.5</v>
      </c>
      <c r="CD129" s="62" t="str">
        <f>IFERROR(__xludf.DUMMYFUNCTION("""COMPUTED_VALUE"""),"subpar")</f>
        <v>subpar</v>
      </c>
      <c r="CE129" s="22" t="s">
        <v>376</v>
      </c>
      <c r="CF129" s="24">
        <v>4.0</v>
      </c>
      <c r="CG129" s="22" t="b">
        <v>0</v>
      </c>
      <c r="CH129" s="22" t="b">
        <v>1</v>
      </c>
      <c r="CI129" s="24">
        <v>4.0</v>
      </c>
      <c r="CJ129" s="22">
        <v>0.0</v>
      </c>
      <c r="CK129" s="22">
        <v>0.0</v>
      </c>
      <c r="CL129" s="22">
        <v>0.0</v>
      </c>
      <c r="CM129" s="22">
        <v>0.0</v>
      </c>
      <c r="CN129" s="22">
        <v>0.0</v>
      </c>
      <c r="CO129" s="22">
        <v>0.0</v>
      </c>
      <c r="CP129" s="22">
        <v>1.0</v>
      </c>
      <c r="CQ129" s="22">
        <v>0.0</v>
      </c>
      <c r="CR129" s="22">
        <v>1.0</v>
      </c>
      <c r="CS129" s="22">
        <v>1.0</v>
      </c>
      <c r="CT129" s="22">
        <v>1.0</v>
      </c>
      <c r="CU129" s="22">
        <v>1.0</v>
      </c>
      <c r="CV129" s="22">
        <v>0.0</v>
      </c>
      <c r="CW129" s="22">
        <v>0.0</v>
      </c>
      <c r="CX129" s="22">
        <v>2.0</v>
      </c>
      <c r="CY129" s="22">
        <v>4.0</v>
      </c>
      <c r="CZ129" s="61">
        <v>2.5</v>
      </c>
      <c r="DA129" s="62" t="s">
        <v>568</v>
      </c>
    </row>
    <row r="130">
      <c r="A130" s="16" t="s">
        <v>289</v>
      </c>
      <c r="B130" s="16" t="s">
        <v>290</v>
      </c>
      <c r="C130" s="17" t="s">
        <v>43</v>
      </c>
      <c r="D130" s="16" t="s">
        <v>9</v>
      </c>
      <c r="E130" s="17" t="b">
        <f t="shared" ref="E130:K130" si="651">If(IFERROR(SEARCH(E$1, $D130),0) &gt;= 1, true,false)</f>
        <v>0</v>
      </c>
      <c r="F130" s="17" t="b">
        <f t="shared" si="651"/>
        <v>0</v>
      </c>
      <c r="G130" s="17" t="b">
        <f t="shared" si="651"/>
        <v>0</v>
      </c>
      <c r="H130" s="17" t="b">
        <f t="shared" si="651"/>
        <v>0</v>
      </c>
      <c r="I130" s="17" t="b">
        <f t="shared" si="651"/>
        <v>0</v>
      </c>
      <c r="J130" s="17" t="b">
        <f t="shared" si="651"/>
        <v>1</v>
      </c>
      <c r="K130" s="17" t="b">
        <f t="shared" si="651"/>
        <v>0</v>
      </c>
      <c r="L130" s="18" t="b">
        <v>1</v>
      </c>
      <c r="M130" s="18" t="b">
        <v>1</v>
      </c>
      <c r="N130" s="18" t="b">
        <v>0</v>
      </c>
      <c r="O130" s="18" t="b">
        <v>1</v>
      </c>
      <c r="P130" s="16" t="str">
        <f t="shared" si="7"/>
        <v>Museum voor Hedendaagse Kunst</v>
      </c>
      <c r="Q130" s="19">
        <v>6.0</v>
      </c>
      <c r="R130" s="18" t="b">
        <v>0</v>
      </c>
      <c r="S130" s="18" t="b">
        <v>1</v>
      </c>
      <c r="T130" s="30">
        <v>6.0</v>
      </c>
      <c r="U130" s="21">
        <f t="shared" si="8"/>
        <v>0</v>
      </c>
      <c r="V130" s="21">
        <f t="shared" ref="V130:AB130" si="652">if(OR(AW130 = $AO$4, AW130 = $AQ$4), 1, 0)</f>
        <v>0</v>
      </c>
      <c r="W130" s="21">
        <f t="shared" si="652"/>
        <v>0</v>
      </c>
      <c r="X130" s="21">
        <f t="shared" si="652"/>
        <v>0</v>
      </c>
      <c r="Y130" s="21">
        <f t="shared" si="652"/>
        <v>0</v>
      </c>
      <c r="Z130" s="21">
        <f t="shared" si="652"/>
        <v>0</v>
      </c>
      <c r="AA130" s="21">
        <f t="shared" si="652"/>
        <v>1</v>
      </c>
      <c r="AB130" s="21">
        <f t="shared" si="652"/>
        <v>0</v>
      </c>
      <c r="AC130" s="21">
        <f t="shared" si="10"/>
        <v>1</v>
      </c>
      <c r="AD130" s="21">
        <f t="shared" si="11"/>
        <v>1</v>
      </c>
      <c r="AE130" s="21">
        <f t="shared" ref="AE130:AH130" si="653">if(OR(BD130 = $AO$6, BD130 = $AS$6, BD130 = $AT$6, BD130 = $AU$6), 1, 0)</f>
        <v>1</v>
      </c>
      <c r="AF130" s="21">
        <f t="shared" si="653"/>
        <v>1</v>
      </c>
      <c r="AG130" s="21">
        <f t="shared" si="653"/>
        <v>0</v>
      </c>
      <c r="AH130" s="21">
        <f t="shared" si="653"/>
        <v>1</v>
      </c>
      <c r="AI130" s="21">
        <f t="shared" si="13"/>
        <v>3</v>
      </c>
      <c r="AJ130" s="21">
        <f t="shared" si="14"/>
        <v>5</v>
      </c>
      <c r="AK130" s="59">
        <f t="shared" si="15"/>
        <v>3.125</v>
      </c>
      <c r="AL130" s="60" t="str">
        <f t="shared" si="16"/>
        <v>good</v>
      </c>
      <c r="AW130" s="22">
        <f t="shared" ref="AW130:BC130" si="654">IF(IFERROR(SEARCH(E$1, $D130),0) &gt;= 1, E$1,0)</f>
        <v>0</v>
      </c>
      <c r="AX130" s="22">
        <f t="shared" si="654"/>
        <v>0</v>
      </c>
      <c r="AY130" s="22">
        <f t="shared" si="654"/>
        <v>0</v>
      </c>
      <c r="AZ130" s="22">
        <f t="shared" si="654"/>
        <v>0</v>
      </c>
      <c r="BA130" s="22">
        <f t="shared" si="654"/>
        <v>0</v>
      </c>
      <c r="BB130" s="22" t="str">
        <f t="shared" si="654"/>
        <v>Beeldende kunst</v>
      </c>
      <c r="BC130" s="22">
        <f t="shared" si="654"/>
        <v>0</v>
      </c>
      <c r="BD130" s="22" t="str">
        <f t="shared" ref="BD130:BG130" si="655">IF(L130 = true, BD$1, 0)</f>
        <v>Shop</v>
      </c>
      <c r="BE130" s="22" t="str">
        <f t="shared" si="655"/>
        <v>Café</v>
      </c>
      <c r="BF130" s="22">
        <f t="shared" si="655"/>
        <v>0</v>
      </c>
      <c r="BG130" s="22" t="str">
        <f t="shared" si="655"/>
        <v>Restaurant</v>
      </c>
      <c r="BH130" s="22" t="str">
        <f>IFERROR(__xludf.DUMMYFUNCTION("""COMPUTED_VALUE"""),"DHAM | Durbuy History &amp; Art Museum")</f>
        <v>DHAM | Durbuy History &amp; Art Museum</v>
      </c>
      <c r="BI130" s="24">
        <f>IFERROR(__xludf.DUMMYFUNCTION("""COMPUTED_VALUE"""),6.0)</f>
        <v>6</v>
      </c>
      <c r="BJ130" s="22" t="b">
        <f>IFERROR(__xludf.DUMMYFUNCTION("""COMPUTED_VALUE"""),FALSE)</f>
        <v>0</v>
      </c>
      <c r="BK130" s="22" t="b">
        <f>IFERROR(__xludf.DUMMYFUNCTION("""COMPUTED_VALUE"""),TRUE)</f>
        <v>1</v>
      </c>
      <c r="BL130" s="24">
        <f>IFERROR(__xludf.DUMMYFUNCTION("""COMPUTED_VALUE"""),6.0)</f>
        <v>6</v>
      </c>
      <c r="BM130" s="22">
        <f>IFERROR(__xludf.DUMMYFUNCTION("""COMPUTED_VALUE"""),0.0)</f>
        <v>0</v>
      </c>
      <c r="BN130" s="22">
        <f>IFERROR(__xludf.DUMMYFUNCTION("""COMPUTED_VALUE"""),1.0)</f>
        <v>1</v>
      </c>
      <c r="BO130" s="22">
        <f>IFERROR(__xludf.DUMMYFUNCTION("""COMPUTED_VALUE"""),0.0)</f>
        <v>0</v>
      </c>
      <c r="BP130" s="22">
        <f>IFERROR(__xludf.DUMMYFUNCTION("""COMPUTED_VALUE"""),0.0)</f>
        <v>0</v>
      </c>
      <c r="BQ130" s="22">
        <f>IFERROR(__xludf.DUMMYFUNCTION("""COMPUTED_VALUE"""),0.0)</f>
        <v>0</v>
      </c>
      <c r="BR130" s="22">
        <f>IFERROR(__xludf.DUMMYFUNCTION("""COMPUTED_VALUE"""),0.0)</f>
        <v>0</v>
      </c>
      <c r="BS130" s="22">
        <f>IFERROR(__xludf.DUMMYFUNCTION("""COMPUTED_VALUE"""),1.0)</f>
        <v>1</v>
      </c>
      <c r="BT130" s="22">
        <f>IFERROR(__xludf.DUMMYFUNCTION("""COMPUTED_VALUE"""),0.0)</f>
        <v>0</v>
      </c>
      <c r="BU130" s="22">
        <f>IFERROR(__xludf.DUMMYFUNCTION("""COMPUTED_VALUE"""),2.0)</f>
        <v>2</v>
      </c>
      <c r="BV130" s="22">
        <f>IFERROR(__xludf.DUMMYFUNCTION("""COMPUTED_VALUE"""),1.0)</f>
        <v>1</v>
      </c>
      <c r="BW130" s="22">
        <f>IFERROR(__xludf.DUMMYFUNCTION("""COMPUTED_VALUE"""),1.0)</f>
        <v>1</v>
      </c>
      <c r="BX130" s="22">
        <f>IFERROR(__xludf.DUMMYFUNCTION("""COMPUTED_VALUE"""),0.0)</f>
        <v>0</v>
      </c>
      <c r="BY130" s="22">
        <f>IFERROR(__xludf.DUMMYFUNCTION("""COMPUTED_VALUE"""),0.0)</f>
        <v>0</v>
      </c>
      <c r="BZ130" s="22">
        <f>IFERROR(__xludf.DUMMYFUNCTION("""COMPUTED_VALUE"""),0.0)</f>
        <v>0</v>
      </c>
      <c r="CA130" s="22">
        <f>IFERROR(__xludf.DUMMYFUNCTION("""COMPUTED_VALUE"""),1.0)</f>
        <v>1</v>
      </c>
      <c r="CB130" s="22">
        <f>IFERROR(__xludf.DUMMYFUNCTION("""COMPUTED_VALUE"""),4.0)</f>
        <v>4</v>
      </c>
      <c r="CC130" s="61">
        <f>IFERROR(__xludf.DUMMYFUNCTION("""COMPUTED_VALUE"""),2.5)</f>
        <v>2.5</v>
      </c>
      <c r="CD130" s="62" t="str">
        <f>IFERROR(__xludf.DUMMYFUNCTION("""COMPUTED_VALUE"""),"subpar")</f>
        <v>subpar</v>
      </c>
      <c r="CE130" s="22" t="s">
        <v>394</v>
      </c>
      <c r="CF130" s="24">
        <v>6.0</v>
      </c>
      <c r="CG130" s="22" t="b">
        <v>0</v>
      </c>
      <c r="CH130" s="22" t="b">
        <v>1</v>
      </c>
      <c r="CI130" s="24">
        <v>6.0</v>
      </c>
      <c r="CJ130" s="22">
        <v>0.0</v>
      </c>
      <c r="CK130" s="22">
        <v>1.0</v>
      </c>
      <c r="CL130" s="22">
        <v>0.0</v>
      </c>
      <c r="CM130" s="22">
        <v>0.0</v>
      </c>
      <c r="CN130" s="22">
        <v>0.0</v>
      </c>
      <c r="CO130" s="22">
        <v>0.0</v>
      </c>
      <c r="CP130" s="22">
        <v>1.0</v>
      </c>
      <c r="CQ130" s="22">
        <v>0.0</v>
      </c>
      <c r="CR130" s="22">
        <v>2.0</v>
      </c>
      <c r="CS130" s="22">
        <v>1.0</v>
      </c>
      <c r="CT130" s="22">
        <v>1.0</v>
      </c>
      <c r="CU130" s="22">
        <v>0.0</v>
      </c>
      <c r="CV130" s="22">
        <v>0.0</v>
      </c>
      <c r="CW130" s="22">
        <v>0.0</v>
      </c>
      <c r="CX130" s="22">
        <v>1.0</v>
      </c>
      <c r="CY130" s="22">
        <v>4.0</v>
      </c>
      <c r="CZ130" s="61">
        <v>2.5</v>
      </c>
      <c r="DA130" s="62" t="s">
        <v>568</v>
      </c>
    </row>
    <row r="131">
      <c r="A131" s="16"/>
      <c r="B131" s="16" t="s">
        <v>291</v>
      </c>
      <c r="C131" s="17" t="s">
        <v>43</v>
      </c>
      <c r="D131" s="16" t="s">
        <v>95</v>
      </c>
      <c r="E131" s="17" t="b">
        <f t="shared" ref="E131:K131" si="656">If(IFERROR(SEARCH(E$1, $D131),0) &gt;= 1, true,false)</f>
        <v>1</v>
      </c>
      <c r="F131" s="17" t="b">
        <f t="shared" si="656"/>
        <v>0</v>
      </c>
      <c r="G131" s="17" t="b">
        <f t="shared" si="656"/>
        <v>0</v>
      </c>
      <c r="H131" s="17" t="b">
        <f t="shared" si="656"/>
        <v>0</v>
      </c>
      <c r="I131" s="17" t="b">
        <f t="shared" si="656"/>
        <v>0</v>
      </c>
      <c r="J131" s="17" t="b">
        <f t="shared" si="656"/>
        <v>1</v>
      </c>
      <c r="K131" s="17" t="b">
        <f t="shared" si="656"/>
        <v>0</v>
      </c>
      <c r="L131" s="18" t="b">
        <v>1</v>
      </c>
      <c r="M131" s="18" t="b">
        <v>0</v>
      </c>
      <c r="N131" s="18" t="b">
        <v>0</v>
      </c>
      <c r="O131" s="18" t="b">
        <v>1</v>
      </c>
      <c r="P131" s="16" t="str">
        <f t="shared" si="7"/>
        <v>La Boverie</v>
      </c>
      <c r="Q131" s="19">
        <v>5.0</v>
      </c>
      <c r="R131" s="18" t="b">
        <v>0</v>
      </c>
      <c r="S131" s="18" t="b">
        <v>0</v>
      </c>
      <c r="T131" s="16"/>
      <c r="U131" s="21">
        <f t="shared" si="8"/>
        <v>0</v>
      </c>
      <c r="V131" s="21">
        <f t="shared" ref="V131:AB131" si="657">if(OR(AW131 = $AO$4, AW131 = $AQ$4), 1, 0)</f>
        <v>1</v>
      </c>
      <c r="W131" s="21">
        <f t="shared" si="657"/>
        <v>0</v>
      </c>
      <c r="X131" s="21">
        <f t="shared" si="657"/>
        <v>0</v>
      </c>
      <c r="Y131" s="21">
        <f t="shared" si="657"/>
        <v>0</v>
      </c>
      <c r="Z131" s="21">
        <f t="shared" si="657"/>
        <v>0</v>
      </c>
      <c r="AA131" s="21">
        <f t="shared" si="657"/>
        <v>1</v>
      </c>
      <c r="AB131" s="21">
        <f t="shared" si="657"/>
        <v>0</v>
      </c>
      <c r="AC131" s="21">
        <f t="shared" si="10"/>
        <v>2</v>
      </c>
      <c r="AD131" s="21">
        <f t="shared" si="11"/>
        <v>1</v>
      </c>
      <c r="AE131" s="21">
        <f t="shared" ref="AE131:AH131" si="658">if(OR(BD131 = $AO$6, BD131 = $AS$6, BD131 = $AT$6, BD131 = $AU$6), 1, 0)</f>
        <v>1</v>
      </c>
      <c r="AF131" s="21">
        <f t="shared" si="658"/>
        <v>0</v>
      </c>
      <c r="AG131" s="21">
        <f t="shared" si="658"/>
        <v>0</v>
      </c>
      <c r="AH131" s="21">
        <f t="shared" si="658"/>
        <v>1</v>
      </c>
      <c r="AI131" s="21">
        <f t="shared" si="13"/>
        <v>2</v>
      </c>
      <c r="AJ131" s="21">
        <f t="shared" si="14"/>
        <v>5</v>
      </c>
      <c r="AK131" s="59">
        <f t="shared" si="15"/>
        <v>3.125</v>
      </c>
      <c r="AL131" s="60" t="str">
        <f t="shared" si="16"/>
        <v>good</v>
      </c>
      <c r="AW131" s="22" t="str">
        <f t="shared" ref="AW131:BC131" si="659">IF(IFERROR(SEARCH(E$1, $D131),0) &gt;= 1, E$1,0)</f>
        <v>Geschiedenis en archeologie</v>
      </c>
      <c r="AX131" s="22">
        <f t="shared" si="659"/>
        <v>0</v>
      </c>
      <c r="AY131" s="22">
        <f t="shared" si="659"/>
        <v>0</v>
      </c>
      <c r="AZ131" s="22">
        <f t="shared" si="659"/>
        <v>0</v>
      </c>
      <c r="BA131" s="22">
        <f t="shared" si="659"/>
        <v>0</v>
      </c>
      <c r="BB131" s="22" t="str">
        <f t="shared" si="659"/>
        <v>Beeldende kunst</v>
      </c>
      <c r="BC131" s="22">
        <f t="shared" si="659"/>
        <v>0</v>
      </c>
      <c r="BD131" s="22" t="str">
        <f t="shared" ref="BD131:BG131" si="660">IF(L131 = true, BD$1, 0)</f>
        <v>Shop</v>
      </c>
      <c r="BE131" s="22">
        <f t="shared" si="660"/>
        <v>0</v>
      </c>
      <c r="BF131" s="22">
        <f t="shared" si="660"/>
        <v>0</v>
      </c>
      <c r="BG131" s="22" t="str">
        <f t="shared" si="660"/>
        <v>Restaurant</v>
      </c>
      <c r="BH131" s="22" t="str">
        <f>IFERROR(__xludf.DUMMYFUNCTION("""COMPUTED_VALUE"""),"FAM | Famenne &amp; Art Museum")</f>
        <v>FAM | Famenne &amp; Art Museum</v>
      </c>
      <c r="BI131" s="24">
        <f>IFERROR(__xludf.DUMMYFUNCTION("""COMPUTED_VALUE"""),5.0)</f>
        <v>5</v>
      </c>
      <c r="BJ131" s="22" t="b">
        <f>IFERROR(__xludf.DUMMYFUNCTION("""COMPUTED_VALUE"""),FALSE)</f>
        <v>0</v>
      </c>
      <c r="BK131" s="22" t="b">
        <f>IFERROR(__xludf.DUMMYFUNCTION("""COMPUTED_VALUE"""),TRUE)</f>
        <v>1</v>
      </c>
      <c r="BL131" s="24">
        <f>IFERROR(__xludf.DUMMYFUNCTION("""COMPUTED_VALUE"""),5.0)</f>
        <v>5</v>
      </c>
      <c r="BM131" s="22">
        <f>IFERROR(__xludf.DUMMYFUNCTION("""COMPUTED_VALUE"""),0.0)</f>
        <v>0</v>
      </c>
      <c r="BN131" s="22">
        <f>IFERROR(__xludf.DUMMYFUNCTION("""COMPUTED_VALUE"""),1.0)</f>
        <v>1</v>
      </c>
      <c r="BO131" s="22">
        <f>IFERROR(__xludf.DUMMYFUNCTION("""COMPUTED_VALUE"""),0.0)</f>
        <v>0</v>
      </c>
      <c r="BP131" s="22">
        <f>IFERROR(__xludf.DUMMYFUNCTION("""COMPUTED_VALUE"""),0.0)</f>
        <v>0</v>
      </c>
      <c r="BQ131" s="22">
        <f>IFERROR(__xludf.DUMMYFUNCTION("""COMPUTED_VALUE"""),0.0)</f>
        <v>0</v>
      </c>
      <c r="BR131" s="22">
        <f>IFERROR(__xludf.DUMMYFUNCTION("""COMPUTED_VALUE"""),0.0)</f>
        <v>0</v>
      </c>
      <c r="BS131" s="22">
        <f>IFERROR(__xludf.DUMMYFUNCTION("""COMPUTED_VALUE"""),1.0)</f>
        <v>1</v>
      </c>
      <c r="BT131" s="22">
        <f>IFERROR(__xludf.DUMMYFUNCTION("""COMPUTED_VALUE"""),0.0)</f>
        <v>0</v>
      </c>
      <c r="BU131" s="22">
        <f>IFERROR(__xludf.DUMMYFUNCTION("""COMPUTED_VALUE"""),2.0)</f>
        <v>2</v>
      </c>
      <c r="BV131" s="22">
        <f>IFERROR(__xludf.DUMMYFUNCTION("""COMPUTED_VALUE"""),1.0)</f>
        <v>1</v>
      </c>
      <c r="BW131" s="22">
        <f>IFERROR(__xludf.DUMMYFUNCTION("""COMPUTED_VALUE"""),1.0)</f>
        <v>1</v>
      </c>
      <c r="BX131" s="22">
        <f>IFERROR(__xludf.DUMMYFUNCTION("""COMPUTED_VALUE"""),0.0)</f>
        <v>0</v>
      </c>
      <c r="BY131" s="22">
        <f>IFERROR(__xludf.DUMMYFUNCTION("""COMPUTED_VALUE"""),0.0)</f>
        <v>0</v>
      </c>
      <c r="BZ131" s="22">
        <f>IFERROR(__xludf.DUMMYFUNCTION("""COMPUTED_VALUE"""),0.0)</f>
        <v>0</v>
      </c>
      <c r="CA131" s="22">
        <f>IFERROR(__xludf.DUMMYFUNCTION("""COMPUTED_VALUE"""),1.0)</f>
        <v>1</v>
      </c>
      <c r="CB131" s="22">
        <f>IFERROR(__xludf.DUMMYFUNCTION("""COMPUTED_VALUE"""),4.0)</f>
        <v>4</v>
      </c>
      <c r="CC131" s="61">
        <f>IFERROR(__xludf.DUMMYFUNCTION("""COMPUTED_VALUE"""),2.5)</f>
        <v>2.5</v>
      </c>
      <c r="CD131" s="62" t="str">
        <f>IFERROR(__xludf.DUMMYFUNCTION("""COMPUTED_VALUE"""),"subpar")</f>
        <v>subpar</v>
      </c>
      <c r="CE131" s="22" t="s">
        <v>395</v>
      </c>
      <c r="CF131" s="24">
        <v>5.0</v>
      </c>
      <c r="CG131" s="22" t="b">
        <v>0</v>
      </c>
      <c r="CH131" s="22" t="b">
        <v>1</v>
      </c>
      <c r="CI131" s="24">
        <v>5.0</v>
      </c>
      <c r="CJ131" s="22">
        <v>0.0</v>
      </c>
      <c r="CK131" s="22">
        <v>1.0</v>
      </c>
      <c r="CL131" s="22">
        <v>0.0</v>
      </c>
      <c r="CM131" s="22">
        <v>0.0</v>
      </c>
      <c r="CN131" s="22">
        <v>0.0</v>
      </c>
      <c r="CO131" s="22">
        <v>0.0</v>
      </c>
      <c r="CP131" s="22">
        <v>1.0</v>
      </c>
      <c r="CQ131" s="22">
        <v>0.0</v>
      </c>
      <c r="CR131" s="22">
        <v>2.0</v>
      </c>
      <c r="CS131" s="22">
        <v>1.0</v>
      </c>
      <c r="CT131" s="22">
        <v>1.0</v>
      </c>
      <c r="CU131" s="22">
        <v>0.0</v>
      </c>
      <c r="CV131" s="22">
        <v>0.0</v>
      </c>
      <c r="CW131" s="22">
        <v>0.0</v>
      </c>
      <c r="CX131" s="22">
        <v>1.0</v>
      </c>
      <c r="CY131" s="22">
        <v>4.0</v>
      </c>
      <c r="CZ131" s="61">
        <v>2.5</v>
      </c>
      <c r="DA131" s="62" t="s">
        <v>568</v>
      </c>
    </row>
    <row r="132">
      <c r="A132" s="16"/>
      <c r="B132" s="16" t="s">
        <v>292</v>
      </c>
      <c r="C132" s="17" t="s">
        <v>43</v>
      </c>
      <c r="D132" s="16" t="s">
        <v>95</v>
      </c>
      <c r="E132" s="17" t="b">
        <f t="shared" ref="E132:K132" si="661">If(IFERROR(SEARCH(E$1, $D132),0) &gt;= 1, true,false)</f>
        <v>1</v>
      </c>
      <c r="F132" s="17" t="b">
        <f t="shared" si="661"/>
        <v>0</v>
      </c>
      <c r="G132" s="17" t="b">
        <f t="shared" si="661"/>
        <v>0</v>
      </c>
      <c r="H132" s="17" t="b">
        <f t="shared" si="661"/>
        <v>0</v>
      </c>
      <c r="I132" s="17" t="b">
        <f t="shared" si="661"/>
        <v>0</v>
      </c>
      <c r="J132" s="17" t="b">
        <f t="shared" si="661"/>
        <v>1</v>
      </c>
      <c r="K132" s="17" t="b">
        <f t="shared" si="661"/>
        <v>0</v>
      </c>
      <c r="L132" s="18" t="b">
        <v>1</v>
      </c>
      <c r="M132" s="18" t="b">
        <v>0</v>
      </c>
      <c r="N132" s="18" t="b">
        <v>0</v>
      </c>
      <c r="O132" s="18" t="b">
        <v>1</v>
      </c>
      <c r="P132" s="16" t="str">
        <f t="shared" si="7"/>
        <v>Le Grand Curtius</v>
      </c>
      <c r="Q132" s="19">
        <v>9.0</v>
      </c>
      <c r="R132" s="18" t="b">
        <v>0</v>
      </c>
      <c r="S132" s="18" t="b">
        <v>0</v>
      </c>
      <c r="T132" s="21"/>
      <c r="U132" s="21">
        <f t="shared" si="8"/>
        <v>0</v>
      </c>
      <c r="V132" s="21">
        <f t="shared" ref="V132:AB132" si="662">if(OR(AW132 = $AO$4, AW132 = $AQ$4), 1, 0)</f>
        <v>1</v>
      </c>
      <c r="W132" s="21">
        <f t="shared" si="662"/>
        <v>0</v>
      </c>
      <c r="X132" s="21">
        <f t="shared" si="662"/>
        <v>0</v>
      </c>
      <c r="Y132" s="21">
        <f t="shared" si="662"/>
        <v>0</v>
      </c>
      <c r="Z132" s="21">
        <f t="shared" si="662"/>
        <v>0</v>
      </c>
      <c r="AA132" s="21">
        <f t="shared" si="662"/>
        <v>1</v>
      </c>
      <c r="AB132" s="21">
        <f t="shared" si="662"/>
        <v>0</v>
      </c>
      <c r="AC132" s="21">
        <f t="shared" si="10"/>
        <v>2</v>
      </c>
      <c r="AD132" s="21">
        <f t="shared" si="11"/>
        <v>1</v>
      </c>
      <c r="AE132" s="21">
        <f t="shared" ref="AE132:AH132" si="663">if(OR(BD132 = $AO$6, BD132 = $AS$6, BD132 = $AT$6, BD132 = $AU$6), 1, 0)</f>
        <v>1</v>
      </c>
      <c r="AF132" s="21">
        <f t="shared" si="663"/>
        <v>0</v>
      </c>
      <c r="AG132" s="21">
        <f t="shared" si="663"/>
        <v>0</v>
      </c>
      <c r="AH132" s="21">
        <f t="shared" si="663"/>
        <v>1</v>
      </c>
      <c r="AI132" s="21">
        <f t="shared" si="13"/>
        <v>2</v>
      </c>
      <c r="AJ132" s="21">
        <f t="shared" si="14"/>
        <v>5</v>
      </c>
      <c r="AK132" s="59">
        <f t="shared" si="15"/>
        <v>3.125</v>
      </c>
      <c r="AL132" s="60" t="str">
        <f t="shared" si="16"/>
        <v>good</v>
      </c>
      <c r="AW132" s="22" t="str">
        <f t="shared" ref="AW132:BC132" si="664">IF(IFERROR(SEARCH(E$1, $D132),0) &gt;= 1, E$1,0)</f>
        <v>Geschiedenis en archeologie</v>
      </c>
      <c r="AX132" s="22">
        <f t="shared" si="664"/>
        <v>0</v>
      </c>
      <c r="AY132" s="22">
        <f t="shared" si="664"/>
        <v>0</v>
      </c>
      <c r="AZ132" s="22">
        <f t="shared" si="664"/>
        <v>0</v>
      </c>
      <c r="BA132" s="22">
        <f t="shared" si="664"/>
        <v>0</v>
      </c>
      <c r="BB132" s="22" t="str">
        <f t="shared" si="664"/>
        <v>Beeldende kunst</v>
      </c>
      <c r="BC132" s="22">
        <f t="shared" si="664"/>
        <v>0</v>
      </c>
      <c r="BD132" s="22" t="str">
        <f t="shared" ref="BD132:BG132" si="665">IF(L132 = true, BD$1, 0)</f>
        <v>Shop</v>
      </c>
      <c r="BE132" s="22">
        <f t="shared" si="665"/>
        <v>0</v>
      </c>
      <c r="BF132" s="22">
        <f t="shared" si="665"/>
        <v>0</v>
      </c>
      <c r="BG132" s="22" t="str">
        <f t="shared" si="665"/>
        <v>Restaurant</v>
      </c>
      <c r="BH132" s="22" t="str">
        <f>IFERROR(__xludf.DUMMYFUNCTION("""COMPUTED_VALUE"""),"Gaspar Museum")</f>
        <v>Gaspar Museum</v>
      </c>
      <c r="BI132" s="24">
        <f>IFERROR(__xludf.DUMMYFUNCTION("""COMPUTED_VALUE"""),6.0)</f>
        <v>6</v>
      </c>
      <c r="BJ132" s="22" t="b">
        <f>IFERROR(__xludf.DUMMYFUNCTION("""COMPUTED_VALUE"""),FALSE)</f>
        <v>0</v>
      </c>
      <c r="BK132" s="22" t="b">
        <f>IFERROR(__xludf.DUMMYFUNCTION("""COMPUTED_VALUE"""),TRUE)</f>
        <v>1</v>
      </c>
      <c r="BL132" s="24">
        <f>IFERROR(__xludf.DUMMYFUNCTION("""COMPUTED_VALUE"""),6.0)</f>
        <v>6</v>
      </c>
      <c r="BM132" s="22">
        <f>IFERROR(__xludf.DUMMYFUNCTION("""COMPUTED_VALUE"""),0.0)</f>
        <v>0</v>
      </c>
      <c r="BN132" s="22">
        <f>IFERROR(__xludf.DUMMYFUNCTION("""COMPUTED_VALUE"""),1.0)</f>
        <v>1</v>
      </c>
      <c r="BO132" s="22">
        <f>IFERROR(__xludf.DUMMYFUNCTION("""COMPUTED_VALUE"""),0.0)</f>
        <v>0</v>
      </c>
      <c r="BP132" s="22">
        <f>IFERROR(__xludf.DUMMYFUNCTION("""COMPUTED_VALUE"""),0.0)</f>
        <v>0</v>
      </c>
      <c r="BQ132" s="22">
        <f>IFERROR(__xludf.DUMMYFUNCTION("""COMPUTED_VALUE"""),0.0)</f>
        <v>0</v>
      </c>
      <c r="BR132" s="22">
        <f>IFERROR(__xludf.DUMMYFUNCTION("""COMPUTED_VALUE"""),0.0)</f>
        <v>0</v>
      </c>
      <c r="BS132" s="22">
        <f>IFERROR(__xludf.DUMMYFUNCTION("""COMPUTED_VALUE"""),1.0)</f>
        <v>1</v>
      </c>
      <c r="BT132" s="22">
        <f>IFERROR(__xludf.DUMMYFUNCTION("""COMPUTED_VALUE"""),0.0)</f>
        <v>0</v>
      </c>
      <c r="BU132" s="22">
        <f>IFERROR(__xludf.DUMMYFUNCTION("""COMPUTED_VALUE"""),2.0)</f>
        <v>2</v>
      </c>
      <c r="BV132" s="22">
        <f>IFERROR(__xludf.DUMMYFUNCTION("""COMPUTED_VALUE"""),1.0)</f>
        <v>1</v>
      </c>
      <c r="BW132" s="22">
        <f>IFERROR(__xludf.DUMMYFUNCTION("""COMPUTED_VALUE"""),1.0)</f>
        <v>1</v>
      </c>
      <c r="BX132" s="22">
        <f>IFERROR(__xludf.DUMMYFUNCTION("""COMPUTED_VALUE"""),0.0)</f>
        <v>0</v>
      </c>
      <c r="BY132" s="22">
        <f>IFERROR(__xludf.DUMMYFUNCTION("""COMPUTED_VALUE"""),0.0)</f>
        <v>0</v>
      </c>
      <c r="BZ132" s="22">
        <f>IFERROR(__xludf.DUMMYFUNCTION("""COMPUTED_VALUE"""),0.0)</f>
        <v>0</v>
      </c>
      <c r="CA132" s="22">
        <f>IFERROR(__xludf.DUMMYFUNCTION("""COMPUTED_VALUE"""),1.0)</f>
        <v>1</v>
      </c>
      <c r="CB132" s="22">
        <f>IFERROR(__xludf.DUMMYFUNCTION("""COMPUTED_VALUE"""),4.0)</f>
        <v>4</v>
      </c>
      <c r="CC132" s="61">
        <f>IFERROR(__xludf.DUMMYFUNCTION("""COMPUTED_VALUE"""),2.5)</f>
        <v>2.5</v>
      </c>
      <c r="CD132" s="62" t="str">
        <f>IFERROR(__xludf.DUMMYFUNCTION("""COMPUTED_VALUE"""),"subpar")</f>
        <v>subpar</v>
      </c>
      <c r="CE132" s="22" t="s">
        <v>402</v>
      </c>
      <c r="CF132" s="24">
        <v>6.0</v>
      </c>
      <c r="CG132" s="22" t="b">
        <v>0</v>
      </c>
      <c r="CH132" s="22" t="b">
        <v>1</v>
      </c>
      <c r="CI132" s="24">
        <v>6.0</v>
      </c>
      <c r="CJ132" s="22">
        <v>0.0</v>
      </c>
      <c r="CK132" s="22">
        <v>1.0</v>
      </c>
      <c r="CL132" s="22">
        <v>0.0</v>
      </c>
      <c r="CM132" s="22">
        <v>0.0</v>
      </c>
      <c r="CN132" s="22">
        <v>0.0</v>
      </c>
      <c r="CO132" s="22">
        <v>0.0</v>
      </c>
      <c r="CP132" s="22">
        <v>1.0</v>
      </c>
      <c r="CQ132" s="22">
        <v>0.0</v>
      </c>
      <c r="CR132" s="22">
        <v>2.0</v>
      </c>
      <c r="CS132" s="22">
        <v>1.0</v>
      </c>
      <c r="CT132" s="22">
        <v>1.0</v>
      </c>
      <c r="CU132" s="22">
        <v>0.0</v>
      </c>
      <c r="CV132" s="22">
        <v>0.0</v>
      </c>
      <c r="CW132" s="22">
        <v>0.0</v>
      </c>
      <c r="CX132" s="22">
        <v>1.0</v>
      </c>
      <c r="CY132" s="22">
        <v>4.0</v>
      </c>
      <c r="CZ132" s="61">
        <v>2.5</v>
      </c>
      <c r="DA132" s="62" t="s">
        <v>568</v>
      </c>
    </row>
    <row r="133">
      <c r="A133" s="16" t="s">
        <v>293</v>
      </c>
      <c r="B133" s="16" t="s">
        <v>294</v>
      </c>
      <c r="C133" s="17" t="s">
        <v>43</v>
      </c>
      <c r="D133" s="16" t="s">
        <v>5</v>
      </c>
      <c r="E133" s="17" t="b">
        <f t="shared" ref="E133:K133" si="666">If(IFERROR(SEARCH(E$1, $D133),0) &gt;= 1, true,false)</f>
        <v>0</v>
      </c>
      <c r="F133" s="17" t="b">
        <f t="shared" si="666"/>
        <v>1</v>
      </c>
      <c r="G133" s="17" t="b">
        <f t="shared" si="666"/>
        <v>0</v>
      </c>
      <c r="H133" s="17" t="b">
        <f t="shared" si="666"/>
        <v>0</v>
      </c>
      <c r="I133" s="17" t="b">
        <f t="shared" si="666"/>
        <v>0</v>
      </c>
      <c r="J133" s="17" t="b">
        <f t="shared" si="666"/>
        <v>0</v>
      </c>
      <c r="K133" s="17" t="b">
        <f t="shared" si="666"/>
        <v>0</v>
      </c>
      <c r="L133" s="18" t="b">
        <v>1</v>
      </c>
      <c r="M133" s="18" t="b">
        <v>1</v>
      </c>
      <c r="N133" s="18" t="b">
        <v>0</v>
      </c>
      <c r="O133" s="18" t="b">
        <v>0</v>
      </c>
      <c r="P133" s="16" t="str">
        <f t="shared" si="7"/>
        <v>Bos en Watermuseum “P. Noé”</v>
      </c>
      <c r="Q133" s="19">
        <v>7.0</v>
      </c>
      <c r="R133" s="18" t="b">
        <v>0</v>
      </c>
      <c r="S133" s="18" t="b">
        <v>0</v>
      </c>
      <c r="T133" s="33"/>
      <c r="U133" s="21">
        <f t="shared" si="8"/>
        <v>0</v>
      </c>
      <c r="V133" s="21">
        <f t="shared" ref="V133:AB133" si="667">if(OR(AW133 = $AO$4, AW133 = $AQ$4), 1, 0)</f>
        <v>0</v>
      </c>
      <c r="W133" s="21">
        <f t="shared" si="667"/>
        <v>0</v>
      </c>
      <c r="X133" s="21">
        <f t="shared" si="667"/>
        <v>0</v>
      </c>
      <c r="Y133" s="21">
        <f t="shared" si="667"/>
        <v>0</v>
      </c>
      <c r="Z133" s="21">
        <f t="shared" si="667"/>
        <v>0</v>
      </c>
      <c r="AA133" s="21">
        <f t="shared" si="667"/>
        <v>0</v>
      </c>
      <c r="AB133" s="21">
        <f t="shared" si="667"/>
        <v>0</v>
      </c>
      <c r="AC133" s="21">
        <f t="shared" si="10"/>
        <v>0</v>
      </c>
      <c r="AD133" s="21">
        <f t="shared" si="11"/>
        <v>1</v>
      </c>
      <c r="AE133" s="21">
        <f t="shared" ref="AE133:AH133" si="668">if(OR(BD133 = $AO$6, BD133 = $AS$6, BD133 = $AT$6, BD133 = $AU$6), 1, 0)</f>
        <v>1</v>
      </c>
      <c r="AF133" s="21">
        <f t="shared" si="668"/>
        <v>1</v>
      </c>
      <c r="AG133" s="21">
        <f t="shared" si="668"/>
        <v>0</v>
      </c>
      <c r="AH133" s="21">
        <f t="shared" si="668"/>
        <v>0</v>
      </c>
      <c r="AI133" s="21">
        <f t="shared" si="13"/>
        <v>2</v>
      </c>
      <c r="AJ133" s="21">
        <f t="shared" si="14"/>
        <v>3</v>
      </c>
      <c r="AK133" s="59">
        <f t="shared" si="15"/>
        <v>1.875</v>
      </c>
      <c r="AL133" s="60" t="str">
        <f t="shared" si="16"/>
        <v>subpar</v>
      </c>
      <c r="AW133" s="22">
        <f t="shared" ref="AW133:BC133" si="669">IF(IFERROR(SEARCH(E$1, $D133),0) &gt;= 1, E$1,0)</f>
        <v>0</v>
      </c>
      <c r="AX133" s="22" t="str">
        <f t="shared" si="669"/>
        <v>Wetenschap en technologie</v>
      </c>
      <c r="AY133" s="22">
        <f t="shared" si="669"/>
        <v>0</v>
      </c>
      <c r="AZ133" s="22">
        <f t="shared" si="669"/>
        <v>0</v>
      </c>
      <c r="BA133" s="22">
        <f t="shared" si="669"/>
        <v>0</v>
      </c>
      <c r="BB133" s="22">
        <f t="shared" si="669"/>
        <v>0</v>
      </c>
      <c r="BC133" s="22">
        <f t="shared" si="669"/>
        <v>0</v>
      </c>
      <c r="BD133" s="22" t="str">
        <f t="shared" ref="BD133:BG133" si="670">IF(L133 = true, BD$1, 0)</f>
        <v>Shop</v>
      </c>
      <c r="BE133" s="22" t="str">
        <f t="shared" si="670"/>
        <v>Café</v>
      </c>
      <c r="BF133" s="22">
        <f t="shared" si="670"/>
        <v>0</v>
      </c>
      <c r="BG133" s="22">
        <f t="shared" si="670"/>
        <v>0</v>
      </c>
      <c r="BH133" s="22" t="str">
        <f>IFERROR(__xludf.DUMMYFUNCTION("""COMPUTED_VALUE"""),"ARGOS | centre for audiovisual arts")</f>
        <v>ARGOS | centre for audiovisual arts</v>
      </c>
      <c r="BI133" s="24">
        <f>IFERROR(__xludf.DUMMYFUNCTION("""COMPUTED_VALUE"""),10.0)</f>
        <v>10</v>
      </c>
      <c r="BJ133" s="22" t="b">
        <f>IFERROR(__xludf.DUMMYFUNCTION("""COMPUTED_VALUE"""),FALSE)</f>
        <v>0</v>
      </c>
      <c r="BK133" s="22" t="b">
        <f>IFERROR(__xludf.DUMMYFUNCTION("""COMPUTED_VALUE"""),TRUE)</f>
        <v>1</v>
      </c>
      <c r="BL133" s="24">
        <f>IFERROR(__xludf.DUMMYFUNCTION("""COMPUTED_VALUE"""),10.0)</f>
        <v>10</v>
      </c>
      <c r="BM133" s="22">
        <f>IFERROR(__xludf.DUMMYFUNCTION("""COMPUTED_VALUE"""),0.0)</f>
        <v>0</v>
      </c>
      <c r="BN133" s="22">
        <f>IFERROR(__xludf.DUMMYFUNCTION("""COMPUTED_VALUE"""),0.0)</f>
        <v>0</v>
      </c>
      <c r="BO133" s="22">
        <f>IFERROR(__xludf.DUMMYFUNCTION("""COMPUTED_VALUE"""),0.0)</f>
        <v>0</v>
      </c>
      <c r="BP133" s="22">
        <f>IFERROR(__xludf.DUMMYFUNCTION("""COMPUTED_VALUE"""),0.0)</f>
        <v>0</v>
      </c>
      <c r="BQ133" s="22">
        <f>IFERROR(__xludf.DUMMYFUNCTION("""COMPUTED_VALUE"""),0.0)</f>
        <v>0</v>
      </c>
      <c r="BR133" s="22">
        <f>IFERROR(__xludf.DUMMYFUNCTION("""COMPUTED_VALUE"""),0.0)</f>
        <v>0</v>
      </c>
      <c r="BS133" s="22">
        <f>IFERROR(__xludf.DUMMYFUNCTION("""COMPUTED_VALUE"""),1.0)</f>
        <v>1</v>
      </c>
      <c r="BT133" s="22">
        <f>IFERROR(__xludf.DUMMYFUNCTION("""COMPUTED_VALUE"""),0.0)</f>
        <v>0</v>
      </c>
      <c r="BU133" s="22">
        <f>IFERROR(__xludf.DUMMYFUNCTION("""COMPUTED_VALUE"""),1.0)</f>
        <v>1</v>
      </c>
      <c r="BV133" s="22">
        <f>IFERROR(__xludf.DUMMYFUNCTION("""COMPUTED_VALUE"""),1.0)</f>
        <v>1</v>
      </c>
      <c r="BW133" s="22">
        <f>IFERROR(__xludf.DUMMYFUNCTION("""COMPUTED_VALUE"""),1.0)</f>
        <v>1</v>
      </c>
      <c r="BX133" s="22">
        <f>IFERROR(__xludf.DUMMYFUNCTION("""COMPUTED_VALUE"""),1.0)</f>
        <v>1</v>
      </c>
      <c r="BY133" s="22">
        <f>IFERROR(__xludf.DUMMYFUNCTION("""COMPUTED_VALUE"""),0.0)</f>
        <v>0</v>
      </c>
      <c r="BZ133" s="22">
        <f>IFERROR(__xludf.DUMMYFUNCTION("""COMPUTED_VALUE"""),0.0)</f>
        <v>0</v>
      </c>
      <c r="CA133" s="22">
        <f>IFERROR(__xludf.DUMMYFUNCTION("""COMPUTED_VALUE"""),2.0)</f>
        <v>2</v>
      </c>
      <c r="CB133" s="22">
        <f>IFERROR(__xludf.DUMMYFUNCTION("""COMPUTED_VALUE"""),4.0)</f>
        <v>4</v>
      </c>
      <c r="CC133" s="61">
        <f>IFERROR(__xludf.DUMMYFUNCTION("""COMPUTED_VALUE"""),2.5)</f>
        <v>2.5</v>
      </c>
      <c r="CD133" s="62" t="str">
        <f>IFERROR(__xludf.DUMMYFUNCTION("""COMPUTED_VALUE"""),"subpar")</f>
        <v>subpar</v>
      </c>
      <c r="CE133" s="22" t="s">
        <v>411</v>
      </c>
      <c r="CF133" s="24">
        <v>10.0</v>
      </c>
      <c r="CG133" s="22" t="b">
        <v>0</v>
      </c>
      <c r="CH133" s="22" t="b">
        <v>1</v>
      </c>
      <c r="CI133" s="24">
        <v>10.0</v>
      </c>
      <c r="CJ133" s="22">
        <v>0.0</v>
      </c>
      <c r="CK133" s="22">
        <v>0.0</v>
      </c>
      <c r="CL133" s="22">
        <v>0.0</v>
      </c>
      <c r="CM133" s="22">
        <v>0.0</v>
      </c>
      <c r="CN133" s="22">
        <v>0.0</v>
      </c>
      <c r="CO133" s="22">
        <v>0.0</v>
      </c>
      <c r="CP133" s="22">
        <v>1.0</v>
      </c>
      <c r="CQ133" s="22">
        <v>0.0</v>
      </c>
      <c r="CR133" s="22">
        <v>1.0</v>
      </c>
      <c r="CS133" s="22">
        <v>1.0</v>
      </c>
      <c r="CT133" s="22">
        <v>1.0</v>
      </c>
      <c r="CU133" s="22">
        <v>1.0</v>
      </c>
      <c r="CV133" s="22">
        <v>0.0</v>
      </c>
      <c r="CW133" s="22">
        <v>0.0</v>
      </c>
      <c r="CX133" s="22">
        <v>2.0</v>
      </c>
      <c r="CY133" s="22">
        <v>4.0</v>
      </c>
      <c r="CZ133" s="61">
        <v>2.5</v>
      </c>
      <c r="DA133" s="62" t="s">
        <v>568</v>
      </c>
    </row>
    <row r="134">
      <c r="A134" s="16" t="s">
        <v>295</v>
      </c>
      <c r="B134" s="16" t="s">
        <v>296</v>
      </c>
      <c r="C134" s="17" t="s">
        <v>43</v>
      </c>
      <c r="D134" s="16" t="s">
        <v>107</v>
      </c>
      <c r="E134" s="17" t="b">
        <f t="shared" ref="E134:K134" si="671">If(IFERROR(SEARCH(E$1, $D134),0) &gt;= 1, true,false)</f>
        <v>1</v>
      </c>
      <c r="F134" s="17" t="b">
        <f t="shared" si="671"/>
        <v>1</v>
      </c>
      <c r="G134" s="17" t="b">
        <f t="shared" si="671"/>
        <v>0</v>
      </c>
      <c r="H134" s="17" t="b">
        <f t="shared" si="671"/>
        <v>0</v>
      </c>
      <c r="I134" s="17" t="b">
        <f t="shared" si="671"/>
        <v>0</v>
      </c>
      <c r="J134" s="17" t="b">
        <f t="shared" si="671"/>
        <v>0</v>
      </c>
      <c r="K134" s="17" t="b">
        <f t="shared" si="671"/>
        <v>0</v>
      </c>
      <c r="L134" s="18" t="b">
        <v>1</v>
      </c>
      <c r="M134" s="18" t="b">
        <v>1</v>
      </c>
      <c r="N134" s="18" t="b">
        <v>0</v>
      </c>
      <c r="O134" s="18" t="b">
        <v>0</v>
      </c>
      <c r="P134" s="16" t="str">
        <f t="shared" si="7"/>
        <v>Museum van de wastechniek</v>
      </c>
      <c r="Q134" s="19">
        <v>4.0</v>
      </c>
      <c r="R134" s="18" t="b">
        <v>0</v>
      </c>
      <c r="S134" s="18" t="b">
        <v>0</v>
      </c>
      <c r="T134" s="33"/>
      <c r="U134" s="21">
        <f t="shared" si="8"/>
        <v>0</v>
      </c>
      <c r="V134" s="21">
        <f t="shared" ref="V134:AB134" si="672">if(OR(AW134 = $AO$4, AW134 = $AQ$4), 1, 0)</f>
        <v>1</v>
      </c>
      <c r="W134" s="21">
        <f t="shared" si="672"/>
        <v>0</v>
      </c>
      <c r="X134" s="21">
        <f t="shared" si="672"/>
        <v>0</v>
      </c>
      <c r="Y134" s="21">
        <f t="shared" si="672"/>
        <v>0</v>
      </c>
      <c r="Z134" s="21">
        <f t="shared" si="672"/>
        <v>0</v>
      </c>
      <c r="AA134" s="21">
        <f t="shared" si="672"/>
        <v>0</v>
      </c>
      <c r="AB134" s="21">
        <f t="shared" si="672"/>
        <v>0</v>
      </c>
      <c r="AC134" s="21">
        <f t="shared" si="10"/>
        <v>1</v>
      </c>
      <c r="AD134" s="21">
        <f t="shared" si="11"/>
        <v>1</v>
      </c>
      <c r="AE134" s="21">
        <f t="shared" ref="AE134:AH134" si="673">if(OR(BD134 = $AO$6, BD134 = $AS$6, BD134 = $AT$6, BD134 = $AU$6), 1, 0)</f>
        <v>1</v>
      </c>
      <c r="AF134" s="21">
        <f t="shared" si="673"/>
        <v>1</v>
      </c>
      <c r="AG134" s="21">
        <f t="shared" si="673"/>
        <v>0</v>
      </c>
      <c r="AH134" s="21">
        <f t="shared" si="673"/>
        <v>0</v>
      </c>
      <c r="AI134" s="21">
        <f t="shared" si="13"/>
        <v>2</v>
      </c>
      <c r="AJ134" s="21">
        <f t="shared" si="14"/>
        <v>4</v>
      </c>
      <c r="AK134" s="59">
        <f t="shared" si="15"/>
        <v>2.5</v>
      </c>
      <c r="AL134" s="60" t="str">
        <f t="shared" si="16"/>
        <v>subpar</v>
      </c>
      <c r="AW134" s="22" t="str">
        <f t="shared" ref="AW134:BC134" si="674">IF(IFERROR(SEARCH(E$1, $D134),0) &gt;= 1, E$1,0)</f>
        <v>Geschiedenis en archeologie</v>
      </c>
      <c r="AX134" s="22" t="str">
        <f t="shared" si="674"/>
        <v>Wetenschap en technologie</v>
      </c>
      <c r="AY134" s="22">
        <f t="shared" si="674"/>
        <v>0</v>
      </c>
      <c r="AZ134" s="22">
        <f t="shared" si="674"/>
        <v>0</v>
      </c>
      <c r="BA134" s="22">
        <f t="shared" si="674"/>
        <v>0</v>
      </c>
      <c r="BB134" s="22">
        <f t="shared" si="674"/>
        <v>0</v>
      </c>
      <c r="BC134" s="22">
        <f t="shared" si="674"/>
        <v>0</v>
      </c>
      <c r="BD134" s="22" t="str">
        <f t="shared" ref="BD134:BG134" si="675">IF(L134 = true, BD$1, 0)</f>
        <v>Shop</v>
      </c>
      <c r="BE134" s="22" t="str">
        <f t="shared" si="675"/>
        <v>Café</v>
      </c>
      <c r="BF134" s="22">
        <f t="shared" si="675"/>
        <v>0</v>
      </c>
      <c r="BG134" s="22">
        <f t="shared" si="675"/>
        <v>0</v>
      </c>
      <c r="BH134" s="22" t="str">
        <f>IFERROR(__xludf.DUMMYFUNCTION("""COMPUTED_VALUE"""),"Autoworld Brussels")</f>
        <v>Autoworld Brussels</v>
      </c>
      <c r="BI134" s="24">
        <f>IFERROR(__xludf.DUMMYFUNCTION("""COMPUTED_VALUE"""),15.0)</f>
        <v>15</v>
      </c>
      <c r="BJ134" s="22" t="b">
        <f>IFERROR(__xludf.DUMMYFUNCTION("""COMPUTED_VALUE"""),FALSE)</f>
        <v>0</v>
      </c>
      <c r="BK134" s="22" t="b">
        <f>IFERROR(__xludf.DUMMYFUNCTION("""COMPUTED_VALUE"""),TRUE)</f>
        <v>1</v>
      </c>
      <c r="BL134" s="24">
        <f>IFERROR(__xludf.DUMMYFUNCTION("""COMPUTED_VALUE"""),16.0)</f>
        <v>16</v>
      </c>
      <c r="BM134" s="22">
        <f>IFERROR(__xludf.DUMMYFUNCTION("""COMPUTED_VALUE"""),0.0)</f>
        <v>0</v>
      </c>
      <c r="BN134" s="22">
        <f>IFERROR(__xludf.DUMMYFUNCTION("""COMPUTED_VALUE"""),0.0)</f>
        <v>0</v>
      </c>
      <c r="BO134" s="22">
        <f>IFERROR(__xludf.DUMMYFUNCTION("""COMPUTED_VALUE"""),0.0)</f>
        <v>0</v>
      </c>
      <c r="BP134" s="22">
        <f>IFERROR(__xludf.DUMMYFUNCTION("""COMPUTED_VALUE"""),0.0)</f>
        <v>0</v>
      </c>
      <c r="BQ134" s="22">
        <f>IFERROR(__xludf.DUMMYFUNCTION("""COMPUTED_VALUE"""),0.0)</f>
        <v>0</v>
      </c>
      <c r="BR134" s="22">
        <f>IFERROR(__xludf.DUMMYFUNCTION("""COMPUTED_VALUE"""),0.0)</f>
        <v>0</v>
      </c>
      <c r="BS134" s="22">
        <f>IFERROR(__xludf.DUMMYFUNCTION("""COMPUTED_VALUE"""),0.0)</f>
        <v>0</v>
      </c>
      <c r="BT134" s="22">
        <f>IFERROR(__xludf.DUMMYFUNCTION("""COMPUTED_VALUE"""),0.0)</f>
        <v>0</v>
      </c>
      <c r="BU134" s="22">
        <f>IFERROR(__xludf.DUMMYFUNCTION("""COMPUTED_VALUE"""),0.0)</f>
        <v>0</v>
      </c>
      <c r="BV134" s="22">
        <f>IFERROR(__xludf.DUMMYFUNCTION("""COMPUTED_VALUE"""),0.0)</f>
        <v>0</v>
      </c>
      <c r="BW134" s="22">
        <f>IFERROR(__xludf.DUMMYFUNCTION("""COMPUTED_VALUE"""),1.0)</f>
        <v>1</v>
      </c>
      <c r="BX134" s="22">
        <f>IFERROR(__xludf.DUMMYFUNCTION("""COMPUTED_VALUE"""),1.0)</f>
        <v>1</v>
      </c>
      <c r="BY134" s="22">
        <f>IFERROR(__xludf.DUMMYFUNCTION("""COMPUTED_VALUE"""),1.0)</f>
        <v>1</v>
      </c>
      <c r="BZ134" s="22">
        <f>IFERROR(__xludf.DUMMYFUNCTION("""COMPUTED_VALUE"""),1.0)</f>
        <v>1</v>
      </c>
      <c r="CA134" s="22">
        <f>IFERROR(__xludf.DUMMYFUNCTION("""COMPUTED_VALUE"""),4.0)</f>
        <v>4</v>
      </c>
      <c r="CB134" s="22">
        <f>IFERROR(__xludf.DUMMYFUNCTION("""COMPUTED_VALUE"""),4.0)</f>
        <v>4</v>
      </c>
      <c r="CC134" s="61">
        <f>IFERROR(__xludf.DUMMYFUNCTION("""COMPUTED_VALUE"""),2.5)</f>
        <v>2.5</v>
      </c>
      <c r="CD134" s="62" t="str">
        <f>IFERROR(__xludf.DUMMYFUNCTION("""COMPUTED_VALUE"""),"subpar")</f>
        <v>subpar</v>
      </c>
      <c r="CE134" s="22" t="s">
        <v>413</v>
      </c>
      <c r="CF134" s="24">
        <v>15.0</v>
      </c>
      <c r="CG134" s="22" t="b">
        <v>0</v>
      </c>
      <c r="CH134" s="22" t="b">
        <v>1</v>
      </c>
      <c r="CI134" s="24">
        <v>16.0</v>
      </c>
      <c r="CJ134" s="22">
        <v>0.0</v>
      </c>
      <c r="CK134" s="22">
        <v>0.0</v>
      </c>
      <c r="CL134" s="22">
        <v>0.0</v>
      </c>
      <c r="CM134" s="22">
        <v>0.0</v>
      </c>
      <c r="CN134" s="22">
        <v>0.0</v>
      </c>
      <c r="CO134" s="22">
        <v>0.0</v>
      </c>
      <c r="CP134" s="22">
        <v>0.0</v>
      </c>
      <c r="CQ134" s="22">
        <v>0.0</v>
      </c>
      <c r="CR134" s="22">
        <v>0.0</v>
      </c>
      <c r="CS134" s="22">
        <v>0.0</v>
      </c>
      <c r="CT134" s="22">
        <v>1.0</v>
      </c>
      <c r="CU134" s="22">
        <v>1.0</v>
      </c>
      <c r="CV134" s="22">
        <v>1.0</v>
      </c>
      <c r="CW134" s="22">
        <v>1.0</v>
      </c>
      <c r="CX134" s="22">
        <v>4.0</v>
      </c>
      <c r="CY134" s="22">
        <v>4.0</v>
      </c>
      <c r="CZ134" s="61">
        <v>2.5</v>
      </c>
      <c r="DA134" s="62" t="s">
        <v>568</v>
      </c>
    </row>
    <row r="135">
      <c r="A135" s="16" t="s">
        <v>297</v>
      </c>
      <c r="B135" s="16" t="s">
        <v>298</v>
      </c>
      <c r="C135" s="17" t="s">
        <v>43</v>
      </c>
      <c r="D135" s="16" t="s">
        <v>107</v>
      </c>
      <c r="E135" s="17" t="b">
        <f t="shared" ref="E135:K135" si="676">If(IFERROR(SEARCH(E$1, $D135),0) &gt;= 1, true,false)</f>
        <v>1</v>
      </c>
      <c r="F135" s="17" t="b">
        <f t="shared" si="676"/>
        <v>1</v>
      </c>
      <c r="G135" s="17" t="b">
        <f t="shared" si="676"/>
        <v>0</v>
      </c>
      <c r="H135" s="17" t="b">
        <f t="shared" si="676"/>
        <v>0</v>
      </c>
      <c r="I135" s="17" t="b">
        <f t="shared" si="676"/>
        <v>0</v>
      </c>
      <c r="J135" s="17" t="b">
        <f t="shared" si="676"/>
        <v>0</v>
      </c>
      <c r="K135" s="17" t="b">
        <f t="shared" si="676"/>
        <v>0</v>
      </c>
      <c r="L135" s="18" t="b">
        <v>1</v>
      </c>
      <c r="M135" s="18" t="b">
        <v>0</v>
      </c>
      <c r="N135" s="18" t="b">
        <v>0</v>
      </c>
      <c r="O135" s="18" t="b">
        <v>1</v>
      </c>
      <c r="P135" s="16" t="str">
        <f t="shared" si="7"/>
        <v>Huis van de Metallurgie en Industrie van Luik</v>
      </c>
      <c r="Q135" s="19">
        <v>5.0</v>
      </c>
      <c r="R135" s="18" t="b">
        <v>0</v>
      </c>
      <c r="S135" s="18" t="b">
        <v>0</v>
      </c>
      <c r="T135" s="32"/>
      <c r="U135" s="21">
        <f t="shared" si="8"/>
        <v>0</v>
      </c>
      <c r="V135" s="21">
        <f t="shared" ref="V135:AB135" si="677">if(OR(AW135 = $AO$4, AW135 = $AQ$4), 1, 0)</f>
        <v>1</v>
      </c>
      <c r="W135" s="21">
        <f t="shared" si="677"/>
        <v>0</v>
      </c>
      <c r="X135" s="21">
        <f t="shared" si="677"/>
        <v>0</v>
      </c>
      <c r="Y135" s="21">
        <f t="shared" si="677"/>
        <v>0</v>
      </c>
      <c r="Z135" s="21">
        <f t="shared" si="677"/>
        <v>0</v>
      </c>
      <c r="AA135" s="21">
        <f t="shared" si="677"/>
        <v>0</v>
      </c>
      <c r="AB135" s="21">
        <f t="shared" si="677"/>
        <v>0</v>
      </c>
      <c r="AC135" s="21">
        <f t="shared" si="10"/>
        <v>1</v>
      </c>
      <c r="AD135" s="21">
        <f t="shared" si="11"/>
        <v>1</v>
      </c>
      <c r="AE135" s="21">
        <f t="shared" ref="AE135:AH135" si="678">if(OR(BD135 = $AO$6, BD135 = $AS$6, BD135 = $AT$6, BD135 = $AU$6), 1, 0)</f>
        <v>1</v>
      </c>
      <c r="AF135" s="21">
        <f t="shared" si="678"/>
        <v>0</v>
      </c>
      <c r="AG135" s="21">
        <f t="shared" si="678"/>
        <v>0</v>
      </c>
      <c r="AH135" s="21">
        <f t="shared" si="678"/>
        <v>1</v>
      </c>
      <c r="AI135" s="21">
        <f t="shared" si="13"/>
        <v>2</v>
      </c>
      <c r="AJ135" s="21">
        <f t="shared" si="14"/>
        <v>4</v>
      </c>
      <c r="AK135" s="59">
        <f t="shared" si="15"/>
        <v>2.5</v>
      </c>
      <c r="AL135" s="60" t="str">
        <f t="shared" si="16"/>
        <v>subpar</v>
      </c>
      <c r="AW135" s="22" t="str">
        <f t="shared" ref="AW135:BC135" si="679">IF(IFERROR(SEARCH(E$1, $D135),0) &gt;= 1, E$1,0)</f>
        <v>Geschiedenis en archeologie</v>
      </c>
      <c r="AX135" s="22" t="str">
        <f t="shared" si="679"/>
        <v>Wetenschap en technologie</v>
      </c>
      <c r="AY135" s="22">
        <f t="shared" si="679"/>
        <v>0</v>
      </c>
      <c r="AZ135" s="22">
        <f t="shared" si="679"/>
        <v>0</v>
      </c>
      <c r="BA135" s="22">
        <f t="shared" si="679"/>
        <v>0</v>
      </c>
      <c r="BB135" s="22">
        <f t="shared" si="679"/>
        <v>0</v>
      </c>
      <c r="BC135" s="22">
        <f t="shared" si="679"/>
        <v>0</v>
      </c>
      <c r="BD135" s="22" t="str">
        <f t="shared" ref="BD135:BG135" si="680">IF(L135 = true, BD$1, 0)</f>
        <v>Shop</v>
      </c>
      <c r="BE135" s="22">
        <f t="shared" si="680"/>
        <v>0</v>
      </c>
      <c r="BF135" s="22">
        <f t="shared" si="680"/>
        <v>0</v>
      </c>
      <c r="BG135" s="22" t="str">
        <f t="shared" si="680"/>
        <v>Restaurant</v>
      </c>
      <c r="BH135" s="22" t="str">
        <f>IFERROR(__xludf.DUMMYFUNCTION("""COMPUTED_VALUE"""),"Botanique")</f>
        <v>Botanique</v>
      </c>
      <c r="BI135" s="24">
        <f>IFERROR(__xludf.DUMMYFUNCTION("""COMPUTED_VALUE"""),0.0)</f>
        <v>0</v>
      </c>
      <c r="BJ135" s="22" t="b">
        <f>IFERROR(__xludf.DUMMYFUNCTION("""COMPUTED_VALUE"""),FALSE)</f>
        <v>0</v>
      </c>
      <c r="BK135" s="22" t="b">
        <f>IFERROR(__xludf.DUMMYFUNCTION("""COMPUTED_VALUE"""),FALSE)</f>
        <v>0</v>
      </c>
      <c r="BL135" s="22"/>
      <c r="BM135" s="22">
        <f>IFERROR(__xludf.DUMMYFUNCTION("""COMPUTED_VALUE"""),0.0)</f>
        <v>0</v>
      </c>
      <c r="BN135" s="22">
        <f>IFERROR(__xludf.DUMMYFUNCTION("""COMPUTED_VALUE"""),0.0)</f>
        <v>0</v>
      </c>
      <c r="BO135" s="22">
        <f>IFERROR(__xludf.DUMMYFUNCTION("""COMPUTED_VALUE"""),0.0)</f>
        <v>0</v>
      </c>
      <c r="BP135" s="22">
        <f>IFERROR(__xludf.DUMMYFUNCTION("""COMPUTED_VALUE"""),0.0)</f>
        <v>0</v>
      </c>
      <c r="BQ135" s="22">
        <f>IFERROR(__xludf.DUMMYFUNCTION("""COMPUTED_VALUE"""),0.0)</f>
        <v>0</v>
      </c>
      <c r="BR135" s="22">
        <f>IFERROR(__xludf.DUMMYFUNCTION("""COMPUTED_VALUE"""),0.0)</f>
        <v>0</v>
      </c>
      <c r="BS135" s="22">
        <f>IFERROR(__xludf.DUMMYFUNCTION("""COMPUTED_VALUE"""),1.0)</f>
        <v>1</v>
      </c>
      <c r="BT135" s="22">
        <f>IFERROR(__xludf.DUMMYFUNCTION("""COMPUTED_VALUE"""),0.0)</f>
        <v>0</v>
      </c>
      <c r="BU135" s="22">
        <f>IFERROR(__xludf.DUMMYFUNCTION("""COMPUTED_VALUE"""),1.0)</f>
        <v>1</v>
      </c>
      <c r="BV135" s="22">
        <f>IFERROR(__xludf.DUMMYFUNCTION("""COMPUTED_VALUE"""),1.0)</f>
        <v>1</v>
      </c>
      <c r="BW135" s="22">
        <f>IFERROR(__xludf.DUMMYFUNCTION("""COMPUTED_VALUE"""),0.0)</f>
        <v>0</v>
      </c>
      <c r="BX135" s="22">
        <f>IFERROR(__xludf.DUMMYFUNCTION("""COMPUTED_VALUE"""),1.0)</f>
        <v>1</v>
      </c>
      <c r="BY135" s="22">
        <f>IFERROR(__xludf.DUMMYFUNCTION("""COMPUTED_VALUE"""),0.0)</f>
        <v>0</v>
      </c>
      <c r="BZ135" s="22">
        <f>IFERROR(__xludf.DUMMYFUNCTION("""COMPUTED_VALUE"""),1.0)</f>
        <v>1</v>
      </c>
      <c r="CA135" s="22">
        <f>IFERROR(__xludf.DUMMYFUNCTION("""COMPUTED_VALUE"""),2.0)</f>
        <v>2</v>
      </c>
      <c r="CB135" s="22">
        <f>IFERROR(__xludf.DUMMYFUNCTION("""COMPUTED_VALUE"""),4.0)</f>
        <v>4</v>
      </c>
      <c r="CC135" s="61">
        <f>IFERROR(__xludf.DUMMYFUNCTION("""COMPUTED_VALUE"""),2.5)</f>
        <v>2.5</v>
      </c>
      <c r="CD135" s="62" t="str">
        <f>IFERROR(__xludf.DUMMYFUNCTION("""COMPUTED_VALUE"""),"subpar")</f>
        <v>subpar</v>
      </c>
      <c r="CE135" s="22" t="s">
        <v>414</v>
      </c>
      <c r="CF135" s="24">
        <v>0.0</v>
      </c>
      <c r="CG135" s="22" t="b">
        <v>0</v>
      </c>
      <c r="CH135" s="22" t="b">
        <v>0</v>
      </c>
      <c r="CI135" s="22"/>
      <c r="CJ135" s="22">
        <v>0.0</v>
      </c>
      <c r="CK135" s="22">
        <v>0.0</v>
      </c>
      <c r="CL135" s="22">
        <v>0.0</v>
      </c>
      <c r="CM135" s="22">
        <v>0.0</v>
      </c>
      <c r="CN135" s="22">
        <v>0.0</v>
      </c>
      <c r="CO135" s="22">
        <v>0.0</v>
      </c>
      <c r="CP135" s="22">
        <v>1.0</v>
      </c>
      <c r="CQ135" s="22">
        <v>0.0</v>
      </c>
      <c r="CR135" s="22">
        <v>1.0</v>
      </c>
      <c r="CS135" s="22">
        <v>1.0</v>
      </c>
      <c r="CT135" s="22">
        <v>0.0</v>
      </c>
      <c r="CU135" s="22">
        <v>1.0</v>
      </c>
      <c r="CV135" s="22">
        <v>0.0</v>
      </c>
      <c r="CW135" s="22">
        <v>1.0</v>
      </c>
      <c r="CX135" s="22">
        <v>2.0</v>
      </c>
      <c r="CY135" s="22">
        <v>4.0</v>
      </c>
      <c r="CZ135" s="61">
        <v>2.5</v>
      </c>
      <c r="DA135" s="62" t="s">
        <v>568</v>
      </c>
    </row>
    <row r="136">
      <c r="A136" s="16" t="s">
        <v>299</v>
      </c>
      <c r="B136" s="16" t="s">
        <v>300</v>
      </c>
      <c r="C136" s="17" t="s">
        <v>43</v>
      </c>
      <c r="D136" s="16" t="s">
        <v>95</v>
      </c>
      <c r="E136" s="17" t="b">
        <f t="shared" ref="E136:K136" si="681">If(IFERROR(SEARCH(E$1, $D136),0) &gt;= 1, true,false)</f>
        <v>1</v>
      </c>
      <c r="F136" s="17" t="b">
        <f t="shared" si="681"/>
        <v>0</v>
      </c>
      <c r="G136" s="17" t="b">
        <f t="shared" si="681"/>
        <v>0</v>
      </c>
      <c r="H136" s="17" t="b">
        <f t="shared" si="681"/>
        <v>0</v>
      </c>
      <c r="I136" s="17" t="b">
        <f t="shared" si="681"/>
        <v>0</v>
      </c>
      <c r="J136" s="17" t="b">
        <f t="shared" si="681"/>
        <v>1</v>
      </c>
      <c r="K136" s="17" t="b">
        <f t="shared" si="681"/>
        <v>0</v>
      </c>
      <c r="L136" s="18" t="b">
        <v>1</v>
      </c>
      <c r="M136" s="18" t="b">
        <v>1</v>
      </c>
      <c r="N136" s="18" t="b">
        <v>0</v>
      </c>
      <c r="O136" s="18" t="b">
        <v>0</v>
      </c>
      <c r="P136" s="16" t="str">
        <f t="shared" si="7"/>
        <v>Pottenbakkerijmuseum Raeren</v>
      </c>
      <c r="Q136" s="19">
        <v>5.0</v>
      </c>
      <c r="R136" s="18" t="b">
        <v>0</v>
      </c>
      <c r="S136" s="18" t="b">
        <v>0</v>
      </c>
      <c r="T136" s="32"/>
      <c r="U136" s="21">
        <f t="shared" si="8"/>
        <v>0</v>
      </c>
      <c r="V136" s="21">
        <f t="shared" ref="V136:AB136" si="682">if(OR(AW136 = $AO$4, AW136 = $AQ$4), 1, 0)</f>
        <v>1</v>
      </c>
      <c r="W136" s="21">
        <f t="shared" si="682"/>
        <v>0</v>
      </c>
      <c r="X136" s="21">
        <f t="shared" si="682"/>
        <v>0</v>
      </c>
      <c r="Y136" s="21">
        <f t="shared" si="682"/>
        <v>0</v>
      </c>
      <c r="Z136" s="21">
        <f t="shared" si="682"/>
        <v>0</v>
      </c>
      <c r="AA136" s="21">
        <f t="shared" si="682"/>
        <v>1</v>
      </c>
      <c r="AB136" s="21">
        <f t="shared" si="682"/>
        <v>0</v>
      </c>
      <c r="AC136" s="21">
        <f t="shared" si="10"/>
        <v>2</v>
      </c>
      <c r="AD136" s="21">
        <f t="shared" si="11"/>
        <v>1</v>
      </c>
      <c r="AE136" s="21">
        <f t="shared" ref="AE136:AH136" si="683">if(OR(BD136 = $AO$6, BD136 = $AS$6, BD136 = $AT$6, BD136 = $AU$6), 1, 0)</f>
        <v>1</v>
      </c>
      <c r="AF136" s="21">
        <f t="shared" si="683"/>
        <v>1</v>
      </c>
      <c r="AG136" s="21">
        <f t="shared" si="683"/>
        <v>0</v>
      </c>
      <c r="AH136" s="21">
        <f t="shared" si="683"/>
        <v>0</v>
      </c>
      <c r="AI136" s="21">
        <f t="shared" si="13"/>
        <v>2</v>
      </c>
      <c r="AJ136" s="21">
        <f t="shared" si="14"/>
        <v>5</v>
      </c>
      <c r="AK136" s="59">
        <f t="shared" si="15"/>
        <v>3.125</v>
      </c>
      <c r="AL136" s="60" t="str">
        <f t="shared" si="16"/>
        <v>good</v>
      </c>
      <c r="AW136" s="22" t="str">
        <f t="shared" ref="AW136:BC136" si="684">IF(IFERROR(SEARCH(E$1, $D136),0) &gt;= 1, E$1,0)</f>
        <v>Geschiedenis en archeologie</v>
      </c>
      <c r="AX136" s="22">
        <f t="shared" si="684"/>
        <v>0</v>
      </c>
      <c r="AY136" s="22">
        <f t="shared" si="684"/>
        <v>0</v>
      </c>
      <c r="AZ136" s="22">
        <f t="shared" si="684"/>
        <v>0</v>
      </c>
      <c r="BA136" s="22">
        <f t="shared" si="684"/>
        <v>0</v>
      </c>
      <c r="BB136" s="22" t="str">
        <f t="shared" si="684"/>
        <v>Beeldende kunst</v>
      </c>
      <c r="BC136" s="22">
        <f t="shared" si="684"/>
        <v>0</v>
      </c>
      <c r="BD136" s="22" t="str">
        <f t="shared" ref="BD136:BG136" si="685">IF(L136 = true, BD$1, 0)</f>
        <v>Shop</v>
      </c>
      <c r="BE136" s="22" t="str">
        <f t="shared" si="685"/>
        <v>Café</v>
      </c>
      <c r="BF136" s="22">
        <f t="shared" si="685"/>
        <v>0</v>
      </c>
      <c r="BG136" s="22">
        <f t="shared" si="685"/>
        <v>0</v>
      </c>
      <c r="BH136" s="22" t="str">
        <f>IFERROR(__xludf.DUMMYFUNCTION("""COMPUTED_VALUE"""),"Design Museum Brussels")</f>
        <v>Design Museum Brussels</v>
      </c>
      <c r="BI136" s="24">
        <f>IFERROR(__xludf.DUMMYFUNCTION("""COMPUTED_VALUE"""),10.0)</f>
        <v>10</v>
      </c>
      <c r="BJ136" s="22" t="b">
        <f>IFERROR(__xludf.DUMMYFUNCTION("""COMPUTED_VALUE"""),FALSE)</f>
        <v>0</v>
      </c>
      <c r="BK136" s="22" t="b">
        <f>IFERROR(__xludf.DUMMYFUNCTION("""COMPUTED_VALUE"""),TRUE)</f>
        <v>1</v>
      </c>
      <c r="BL136" s="24">
        <f>IFERROR(__xludf.DUMMYFUNCTION("""COMPUTED_VALUE"""),8.0)</f>
        <v>8</v>
      </c>
      <c r="BM136" s="22">
        <f>IFERROR(__xludf.DUMMYFUNCTION("""COMPUTED_VALUE"""),0.0)</f>
        <v>0</v>
      </c>
      <c r="BN136" s="22">
        <f>IFERROR(__xludf.DUMMYFUNCTION("""COMPUTED_VALUE"""),0.0)</f>
        <v>0</v>
      </c>
      <c r="BO136" s="22">
        <f>IFERROR(__xludf.DUMMYFUNCTION("""COMPUTED_VALUE"""),0.0)</f>
        <v>0</v>
      </c>
      <c r="BP136" s="22">
        <f>IFERROR(__xludf.DUMMYFUNCTION("""COMPUTED_VALUE"""),0.0)</f>
        <v>0</v>
      </c>
      <c r="BQ136" s="22">
        <f>IFERROR(__xludf.DUMMYFUNCTION("""COMPUTED_VALUE"""),0.0)</f>
        <v>0</v>
      </c>
      <c r="BR136" s="22">
        <f>IFERROR(__xludf.DUMMYFUNCTION("""COMPUTED_VALUE"""),0.0)</f>
        <v>0</v>
      </c>
      <c r="BS136" s="22">
        <f>IFERROR(__xludf.DUMMYFUNCTION("""COMPUTED_VALUE"""),0.0)</f>
        <v>0</v>
      </c>
      <c r="BT136" s="22">
        <f>IFERROR(__xludf.DUMMYFUNCTION("""COMPUTED_VALUE"""),0.0)</f>
        <v>0</v>
      </c>
      <c r="BU136" s="22">
        <f>IFERROR(__xludf.DUMMYFUNCTION("""COMPUTED_VALUE"""),0.0)</f>
        <v>0</v>
      </c>
      <c r="BV136" s="22">
        <f>IFERROR(__xludf.DUMMYFUNCTION("""COMPUTED_VALUE"""),1.0)</f>
        <v>1</v>
      </c>
      <c r="BW136" s="22">
        <f>IFERROR(__xludf.DUMMYFUNCTION("""COMPUTED_VALUE"""),1.0)</f>
        <v>1</v>
      </c>
      <c r="BX136" s="22">
        <f>IFERROR(__xludf.DUMMYFUNCTION("""COMPUTED_VALUE"""),0.0)</f>
        <v>0</v>
      </c>
      <c r="BY136" s="22">
        <f>IFERROR(__xludf.DUMMYFUNCTION("""COMPUTED_VALUE"""),1.0)</f>
        <v>1</v>
      </c>
      <c r="BZ136" s="22">
        <f>IFERROR(__xludf.DUMMYFUNCTION("""COMPUTED_VALUE"""),1.0)</f>
        <v>1</v>
      </c>
      <c r="CA136" s="22">
        <f>IFERROR(__xludf.DUMMYFUNCTION("""COMPUTED_VALUE"""),3.0)</f>
        <v>3</v>
      </c>
      <c r="CB136" s="22">
        <f>IFERROR(__xludf.DUMMYFUNCTION("""COMPUTED_VALUE"""),4.0)</f>
        <v>4</v>
      </c>
      <c r="CC136" s="61">
        <f>IFERROR(__xludf.DUMMYFUNCTION("""COMPUTED_VALUE"""),2.5)</f>
        <v>2.5</v>
      </c>
      <c r="CD136" s="62" t="str">
        <f>IFERROR(__xludf.DUMMYFUNCTION("""COMPUTED_VALUE"""),"subpar")</f>
        <v>subpar</v>
      </c>
      <c r="CE136" s="22" t="s">
        <v>420</v>
      </c>
      <c r="CF136" s="24">
        <v>10.0</v>
      </c>
      <c r="CG136" s="22" t="b">
        <v>0</v>
      </c>
      <c r="CH136" s="22" t="b">
        <v>1</v>
      </c>
      <c r="CI136" s="24">
        <v>8.0</v>
      </c>
      <c r="CJ136" s="22">
        <v>0.0</v>
      </c>
      <c r="CK136" s="22">
        <v>0.0</v>
      </c>
      <c r="CL136" s="22">
        <v>0.0</v>
      </c>
      <c r="CM136" s="22">
        <v>0.0</v>
      </c>
      <c r="CN136" s="22">
        <v>0.0</v>
      </c>
      <c r="CO136" s="22">
        <v>0.0</v>
      </c>
      <c r="CP136" s="22">
        <v>0.0</v>
      </c>
      <c r="CQ136" s="22">
        <v>0.0</v>
      </c>
      <c r="CR136" s="22">
        <v>0.0</v>
      </c>
      <c r="CS136" s="22">
        <v>1.0</v>
      </c>
      <c r="CT136" s="22">
        <v>1.0</v>
      </c>
      <c r="CU136" s="22">
        <v>0.0</v>
      </c>
      <c r="CV136" s="22">
        <v>1.0</v>
      </c>
      <c r="CW136" s="22">
        <v>1.0</v>
      </c>
      <c r="CX136" s="22">
        <v>3.0</v>
      </c>
      <c r="CY136" s="22">
        <v>4.0</v>
      </c>
      <c r="CZ136" s="61">
        <v>2.5</v>
      </c>
      <c r="DA136" s="62" t="s">
        <v>568</v>
      </c>
    </row>
    <row r="137">
      <c r="A137" s="16" t="s">
        <v>301</v>
      </c>
      <c r="B137" s="16" t="s">
        <v>302</v>
      </c>
      <c r="C137" s="17" t="s">
        <v>43</v>
      </c>
      <c r="D137" s="16" t="s">
        <v>4</v>
      </c>
      <c r="E137" s="17" t="b">
        <f t="shared" ref="E137:K137" si="686">If(IFERROR(SEARCH(E$1, $D137),0) &gt;= 1, true,false)</f>
        <v>1</v>
      </c>
      <c r="F137" s="17" t="b">
        <f t="shared" si="686"/>
        <v>0</v>
      </c>
      <c r="G137" s="17" t="b">
        <f t="shared" si="686"/>
        <v>0</v>
      </c>
      <c r="H137" s="17" t="b">
        <f t="shared" si="686"/>
        <v>0</v>
      </c>
      <c r="I137" s="17" t="b">
        <f t="shared" si="686"/>
        <v>0</v>
      </c>
      <c r="J137" s="17" t="b">
        <f t="shared" si="686"/>
        <v>0</v>
      </c>
      <c r="K137" s="17" t="b">
        <f t="shared" si="686"/>
        <v>0</v>
      </c>
      <c r="L137" s="18" t="b">
        <v>1</v>
      </c>
      <c r="M137" s="18" t="b">
        <v>0</v>
      </c>
      <c r="N137" s="18" t="b">
        <v>1</v>
      </c>
      <c r="O137" s="18" t="b">
        <v>1</v>
      </c>
      <c r="P137" s="16" t="str">
        <f t="shared" si="7"/>
        <v>Museum van het Waalse Leven</v>
      </c>
      <c r="Q137" s="19">
        <v>0.0</v>
      </c>
      <c r="R137" s="18" t="b">
        <v>0</v>
      </c>
      <c r="S137" s="18" t="b">
        <v>0</v>
      </c>
      <c r="T137" s="32"/>
      <c r="U137" s="21">
        <f t="shared" si="8"/>
        <v>0</v>
      </c>
      <c r="V137" s="21">
        <f t="shared" ref="V137:AB137" si="687">if(OR(AW137 = $AO$4, AW137 = $AQ$4), 1, 0)</f>
        <v>1</v>
      </c>
      <c r="W137" s="21">
        <f t="shared" si="687"/>
        <v>0</v>
      </c>
      <c r="X137" s="21">
        <f t="shared" si="687"/>
        <v>0</v>
      </c>
      <c r="Y137" s="21">
        <f t="shared" si="687"/>
        <v>0</v>
      </c>
      <c r="Z137" s="21">
        <f t="shared" si="687"/>
        <v>0</v>
      </c>
      <c r="AA137" s="21">
        <f t="shared" si="687"/>
        <v>0</v>
      </c>
      <c r="AB137" s="21">
        <f t="shared" si="687"/>
        <v>0</v>
      </c>
      <c r="AC137" s="21">
        <f t="shared" si="10"/>
        <v>1</v>
      </c>
      <c r="AD137" s="21">
        <f t="shared" si="11"/>
        <v>1</v>
      </c>
      <c r="AE137" s="21">
        <f t="shared" ref="AE137:AH137" si="688">if(OR(BD137 = $AO$6, BD137 = $AS$6, BD137 = $AT$6, BD137 = $AU$6), 1, 0)</f>
        <v>1</v>
      </c>
      <c r="AF137" s="21">
        <f t="shared" si="688"/>
        <v>0</v>
      </c>
      <c r="AG137" s="21">
        <f t="shared" si="688"/>
        <v>1</v>
      </c>
      <c r="AH137" s="21">
        <f t="shared" si="688"/>
        <v>1</v>
      </c>
      <c r="AI137" s="21">
        <f t="shared" si="13"/>
        <v>3</v>
      </c>
      <c r="AJ137" s="21">
        <f t="shared" si="14"/>
        <v>5</v>
      </c>
      <c r="AK137" s="59">
        <f t="shared" si="15"/>
        <v>3.125</v>
      </c>
      <c r="AL137" s="60" t="str">
        <f t="shared" si="16"/>
        <v>good</v>
      </c>
      <c r="AW137" s="22" t="str">
        <f t="shared" ref="AW137:BC137" si="689">IF(IFERROR(SEARCH(E$1, $D137),0) &gt;= 1, E$1,0)</f>
        <v>Geschiedenis en archeologie</v>
      </c>
      <c r="AX137" s="22">
        <f t="shared" si="689"/>
        <v>0</v>
      </c>
      <c r="AY137" s="22">
        <f t="shared" si="689"/>
        <v>0</v>
      </c>
      <c r="AZ137" s="22">
        <f t="shared" si="689"/>
        <v>0</v>
      </c>
      <c r="BA137" s="22">
        <f t="shared" si="689"/>
        <v>0</v>
      </c>
      <c r="BB137" s="22">
        <f t="shared" si="689"/>
        <v>0</v>
      </c>
      <c r="BC137" s="22">
        <f t="shared" si="689"/>
        <v>0</v>
      </c>
      <c r="BD137" s="22" t="str">
        <f t="shared" ref="BD137:BG137" si="690">IF(L137 = true, BD$1, 0)</f>
        <v>Shop</v>
      </c>
      <c r="BE137" s="22">
        <f t="shared" si="690"/>
        <v>0</v>
      </c>
      <c r="BF137" s="22" t="str">
        <f t="shared" si="690"/>
        <v>Parking</v>
      </c>
      <c r="BG137" s="22" t="str">
        <f t="shared" si="690"/>
        <v>Restaurant</v>
      </c>
      <c r="BH137" s="22" t="str">
        <f>IFERROR(__xludf.DUMMYFUNCTION("""COMPUTED_VALUE"""),"GardeRobe MannekenPis")</f>
        <v>GardeRobe MannekenPis</v>
      </c>
      <c r="BI137" s="24">
        <f>IFERROR(__xludf.DUMMYFUNCTION("""COMPUTED_VALUE"""),5.0)</f>
        <v>5</v>
      </c>
      <c r="BJ137" s="22" t="b">
        <f>IFERROR(__xludf.DUMMYFUNCTION("""COMPUTED_VALUE"""),FALSE)</f>
        <v>0</v>
      </c>
      <c r="BK137" s="22" t="b">
        <f>IFERROR(__xludf.DUMMYFUNCTION("""COMPUTED_VALUE"""),TRUE)</f>
        <v>1</v>
      </c>
      <c r="BL137" s="24">
        <f>IFERROR(__xludf.DUMMYFUNCTION("""COMPUTED_VALUE"""),0.0)</f>
        <v>0</v>
      </c>
      <c r="BM137" s="22">
        <f>IFERROR(__xludf.DUMMYFUNCTION("""COMPUTED_VALUE"""),0.0)</f>
        <v>0</v>
      </c>
      <c r="BN137" s="22">
        <f>IFERROR(__xludf.DUMMYFUNCTION("""COMPUTED_VALUE"""),1.0)</f>
        <v>1</v>
      </c>
      <c r="BO137" s="22">
        <f>IFERROR(__xludf.DUMMYFUNCTION("""COMPUTED_VALUE"""),0.0)</f>
        <v>0</v>
      </c>
      <c r="BP137" s="22">
        <f>IFERROR(__xludf.DUMMYFUNCTION("""COMPUTED_VALUE"""),0.0)</f>
        <v>0</v>
      </c>
      <c r="BQ137" s="22">
        <f>IFERROR(__xludf.DUMMYFUNCTION("""COMPUTED_VALUE"""),0.0)</f>
        <v>0</v>
      </c>
      <c r="BR137" s="22">
        <f>IFERROR(__xludf.DUMMYFUNCTION("""COMPUTED_VALUE"""),0.0)</f>
        <v>0</v>
      </c>
      <c r="BS137" s="22">
        <f>IFERROR(__xludf.DUMMYFUNCTION("""COMPUTED_VALUE"""),1.0)</f>
        <v>1</v>
      </c>
      <c r="BT137" s="22">
        <f>IFERROR(__xludf.DUMMYFUNCTION("""COMPUTED_VALUE"""),0.0)</f>
        <v>0</v>
      </c>
      <c r="BU137" s="22">
        <f>IFERROR(__xludf.DUMMYFUNCTION("""COMPUTED_VALUE"""),2.0)</f>
        <v>2</v>
      </c>
      <c r="BV137" s="22">
        <f>IFERROR(__xludf.DUMMYFUNCTION("""COMPUTED_VALUE"""),1.0)</f>
        <v>1</v>
      </c>
      <c r="BW137" s="22">
        <f>IFERROR(__xludf.DUMMYFUNCTION("""COMPUTED_VALUE"""),1.0)</f>
        <v>1</v>
      </c>
      <c r="BX137" s="22">
        <f>IFERROR(__xludf.DUMMYFUNCTION("""COMPUTED_VALUE"""),0.0)</f>
        <v>0</v>
      </c>
      <c r="BY137" s="22">
        <f>IFERROR(__xludf.DUMMYFUNCTION("""COMPUTED_VALUE"""),0.0)</f>
        <v>0</v>
      </c>
      <c r="BZ137" s="22">
        <f>IFERROR(__xludf.DUMMYFUNCTION("""COMPUTED_VALUE"""),0.0)</f>
        <v>0</v>
      </c>
      <c r="CA137" s="22">
        <f>IFERROR(__xludf.DUMMYFUNCTION("""COMPUTED_VALUE"""),1.0)</f>
        <v>1</v>
      </c>
      <c r="CB137" s="22">
        <f>IFERROR(__xludf.DUMMYFUNCTION("""COMPUTED_VALUE"""),4.0)</f>
        <v>4</v>
      </c>
      <c r="CC137" s="61">
        <f>IFERROR(__xludf.DUMMYFUNCTION("""COMPUTED_VALUE"""),2.5)</f>
        <v>2.5</v>
      </c>
      <c r="CD137" s="62" t="str">
        <f>IFERROR(__xludf.DUMMYFUNCTION("""COMPUTED_VALUE"""),"subpar")</f>
        <v>subpar</v>
      </c>
      <c r="CE137" s="22" t="s">
        <v>427</v>
      </c>
      <c r="CF137" s="24">
        <v>5.0</v>
      </c>
      <c r="CG137" s="22" t="b">
        <v>0</v>
      </c>
      <c r="CH137" s="22" t="b">
        <v>1</v>
      </c>
      <c r="CI137" s="24">
        <v>0.0</v>
      </c>
      <c r="CJ137" s="22">
        <v>0.0</v>
      </c>
      <c r="CK137" s="22">
        <v>1.0</v>
      </c>
      <c r="CL137" s="22">
        <v>0.0</v>
      </c>
      <c r="CM137" s="22">
        <v>0.0</v>
      </c>
      <c r="CN137" s="22">
        <v>0.0</v>
      </c>
      <c r="CO137" s="22">
        <v>0.0</v>
      </c>
      <c r="CP137" s="22">
        <v>1.0</v>
      </c>
      <c r="CQ137" s="22">
        <v>0.0</v>
      </c>
      <c r="CR137" s="22">
        <v>2.0</v>
      </c>
      <c r="CS137" s="22">
        <v>1.0</v>
      </c>
      <c r="CT137" s="22">
        <v>1.0</v>
      </c>
      <c r="CU137" s="22">
        <v>0.0</v>
      </c>
      <c r="CV137" s="22">
        <v>0.0</v>
      </c>
      <c r="CW137" s="22">
        <v>0.0</v>
      </c>
      <c r="CX137" s="22">
        <v>1.0</v>
      </c>
      <c r="CY137" s="22">
        <v>4.0</v>
      </c>
      <c r="CZ137" s="61">
        <v>2.5</v>
      </c>
      <c r="DA137" s="62" t="s">
        <v>568</v>
      </c>
    </row>
    <row r="138">
      <c r="A138" s="16" t="s">
        <v>303</v>
      </c>
      <c r="B138" s="16" t="s">
        <v>304</v>
      </c>
      <c r="C138" s="17" t="s">
        <v>43</v>
      </c>
      <c r="D138" s="16" t="s">
        <v>4</v>
      </c>
      <c r="E138" s="17" t="b">
        <f t="shared" ref="E138:K138" si="691">If(IFERROR(SEARCH(E$1, $D138),0) &gt;= 1, true,false)</f>
        <v>1</v>
      </c>
      <c r="F138" s="17" t="b">
        <f t="shared" si="691"/>
        <v>0</v>
      </c>
      <c r="G138" s="17" t="b">
        <f t="shared" si="691"/>
        <v>0</v>
      </c>
      <c r="H138" s="17" t="b">
        <f t="shared" si="691"/>
        <v>0</v>
      </c>
      <c r="I138" s="17" t="b">
        <f t="shared" si="691"/>
        <v>0</v>
      </c>
      <c r="J138" s="17" t="b">
        <f t="shared" si="691"/>
        <v>0</v>
      </c>
      <c r="K138" s="17" t="b">
        <f t="shared" si="691"/>
        <v>0</v>
      </c>
      <c r="L138" s="18" t="b">
        <v>1</v>
      </c>
      <c r="M138" s="18" t="b">
        <v>0</v>
      </c>
      <c r="N138" s="18" t="b">
        <v>0</v>
      </c>
      <c r="O138" s="18" t="b">
        <v>0</v>
      </c>
      <c r="P138" s="16" t="str">
        <f t="shared" si="7"/>
        <v>Musea van de Kuurstad</v>
      </c>
      <c r="Q138" s="19">
        <v>5.0</v>
      </c>
      <c r="R138" s="18" t="b">
        <v>0</v>
      </c>
      <c r="S138" s="18" t="b">
        <v>0</v>
      </c>
      <c r="T138" s="32"/>
      <c r="U138" s="21">
        <f t="shared" si="8"/>
        <v>0</v>
      </c>
      <c r="V138" s="21">
        <f t="shared" ref="V138:AB138" si="692">if(OR(AW138 = $AO$4, AW138 = $AQ$4), 1, 0)</f>
        <v>1</v>
      </c>
      <c r="W138" s="21">
        <f t="shared" si="692"/>
        <v>0</v>
      </c>
      <c r="X138" s="21">
        <f t="shared" si="692"/>
        <v>0</v>
      </c>
      <c r="Y138" s="21">
        <f t="shared" si="692"/>
        <v>0</v>
      </c>
      <c r="Z138" s="21">
        <f t="shared" si="692"/>
        <v>0</v>
      </c>
      <c r="AA138" s="21">
        <f t="shared" si="692"/>
        <v>0</v>
      </c>
      <c r="AB138" s="21">
        <f t="shared" si="692"/>
        <v>0</v>
      </c>
      <c r="AC138" s="21">
        <f t="shared" si="10"/>
        <v>1</v>
      </c>
      <c r="AD138" s="21">
        <f t="shared" si="11"/>
        <v>1</v>
      </c>
      <c r="AE138" s="21">
        <f t="shared" ref="AE138:AH138" si="693">if(OR(BD138 = $AO$6, BD138 = $AS$6, BD138 = $AT$6, BD138 = $AU$6), 1, 0)</f>
        <v>1</v>
      </c>
      <c r="AF138" s="21">
        <f t="shared" si="693"/>
        <v>0</v>
      </c>
      <c r="AG138" s="21">
        <f t="shared" si="693"/>
        <v>0</v>
      </c>
      <c r="AH138" s="21">
        <f t="shared" si="693"/>
        <v>0</v>
      </c>
      <c r="AI138" s="21">
        <f t="shared" si="13"/>
        <v>1</v>
      </c>
      <c r="AJ138" s="21">
        <f t="shared" si="14"/>
        <v>3</v>
      </c>
      <c r="AK138" s="59">
        <f t="shared" si="15"/>
        <v>1.875</v>
      </c>
      <c r="AL138" s="60" t="str">
        <f t="shared" si="16"/>
        <v>subpar</v>
      </c>
      <c r="AW138" s="22" t="str">
        <f t="shared" ref="AW138:BC138" si="694">IF(IFERROR(SEARCH(E$1, $D138),0) &gt;= 1, E$1,0)</f>
        <v>Geschiedenis en archeologie</v>
      </c>
      <c r="AX138" s="22">
        <f t="shared" si="694"/>
        <v>0</v>
      </c>
      <c r="AY138" s="22">
        <f t="shared" si="694"/>
        <v>0</v>
      </c>
      <c r="AZ138" s="22">
        <f t="shared" si="694"/>
        <v>0</v>
      </c>
      <c r="BA138" s="22">
        <f t="shared" si="694"/>
        <v>0</v>
      </c>
      <c r="BB138" s="22">
        <f t="shared" si="694"/>
        <v>0</v>
      </c>
      <c r="BC138" s="22">
        <f t="shared" si="694"/>
        <v>0</v>
      </c>
      <c r="BD138" s="22" t="str">
        <f t="shared" ref="BD138:BG138" si="695">IF(L138 = true, BD$1, 0)</f>
        <v>Shop</v>
      </c>
      <c r="BE138" s="22">
        <f t="shared" si="695"/>
        <v>0</v>
      </c>
      <c r="BF138" s="22">
        <f t="shared" si="695"/>
        <v>0</v>
      </c>
      <c r="BG138" s="22">
        <f t="shared" si="695"/>
        <v>0</v>
      </c>
      <c r="BH138" s="22" t="str">
        <f>IFERROR(__xludf.DUMMYFUNCTION("""COMPUTED_VALUE"""),"Erasmushuis &amp; Begijnhof")</f>
        <v>Erasmushuis &amp; Begijnhof</v>
      </c>
      <c r="BI138" s="24">
        <f>IFERROR(__xludf.DUMMYFUNCTION("""COMPUTED_VALUE"""),5.0)</f>
        <v>5</v>
      </c>
      <c r="BJ138" s="22" t="b">
        <f>IFERROR(__xludf.DUMMYFUNCTION("""COMPUTED_VALUE"""),FALSE)</f>
        <v>0</v>
      </c>
      <c r="BK138" s="22" t="b">
        <f>IFERROR(__xludf.DUMMYFUNCTION("""COMPUTED_VALUE"""),FALSE)</f>
        <v>0</v>
      </c>
      <c r="BL138" s="22"/>
      <c r="BM138" s="22">
        <f>IFERROR(__xludf.DUMMYFUNCTION("""COMPUTED_VALUE"""),0.0)</f>
        <v>0</v>
      </c>
      <c r="BN138" s="22">
        <f>IFERROR(__xludf.DUMMYFUNCTION("""COMPUTED_VALUE"""),1.0)</f>
        <v>1</v>
      </c>
      <c r="BO138" s="22">
        <f>IFERROR(__xludf.DUMMYFUNCTION("""COMPUTED_VALUE"""),0.0)</f>
        <v>0</v>
      </c>
      <c r="BP138" s="22">
        <f>IFERROR(__xludf.DUMMYFUNCTION("""COMPUTED_VALUE"""),0.0)</f>
        <v>0</v>
      </c>
      <c r="BQ138" s="22">
        <f>IFERROR(__xludf.DUMMYFUNCTION("""COMPUTED_VALUE"""),0.0)</f>
        <v>0</v>
      </c>
      <c r="BR138" s="22">
        <f>IFERROR(__xludf.DUMMYFUNCTION("""COMPUTED_VALUE"""),0.0)</f>
        <v>0</v>
      </c>
      <c r="BS138" s="22">
        <f>IFERROR(__xludf.DUMMYFUNCTION("""COMPUTED_VALUE"""),1.0)</f>
        <v>1</v>
      </c>
      <c r="BT138" s="22">
        <f>IFERROR(__xludf.DUMMYFUNCTION("""COMPUTED_VALUE"""),0.0)</f>
        <v>0</v>
      </c>
      <c r="BU138" s="22">
        <f>IFERROR(__xludf.DUMMYFUNCTION("""COMPUTED_VALUE"""),2.0)</f>
        <v>2</v>
      </c>
      <c r="BV138" s="22">
        <f>IFERROR(__xludf.DUMMYFUNCTION("""COMPUTED_VALUE"""),1.0)</f>
        <v>1</v>
      </c>
      <c r="BW138" s="22">
        <f>IFERROR(__xludf.DUMMYFUNCTION("""COMPUTED_VALUE"""),1.0)</f>
        <v>1</v>
      </c>
      <c r="BX138" s="22">
        <f>IFERROR(__xludf.DUMMYFUNCTION("""COMPUTED_VALUE"""),0.0)</f>
        <v>0</v>
      </c>
      <c r="BY138" s="22">
        <f>IFERROR(__xludf.DUMMYFUNCTION("""COMPUTED_VALUE"""),0.0)</f>
        <v>0</v>
      </c>
      <c r="BZ138" s="22">
        <f>IFERROR(__xludf.DUMMYFUNCTION("""COMPUTED_VALUE"""),0.0)</f>
        <v>0</v>
      </c>
      <c r="CA138" s="22">
        <f>IFERROR(__xludf.DUMMYFUNCTION("""COMPUTED_VALUE"""),1.0)</f>
        <v>1</v>
      </c>
      <c r="CB138" s="22">
        <f>IFERROR(__xludf.DUMMYFUNCTION("""COMPUTED_VALUE"""),4.0)</f>
        <v>4</v>
      </c>
      <c r="CC138" s="61">
        <f>IFERROR(__xludf.DUMMYFUNCTION("""COMPUTED_VALUE"""),2.5)</f>
        <v>2.5</v>
      </c>
      <c r="CD138" s="62" t="str">
        <f>IFERROR(__xludf.DUMMYFUNCTION("""COMPUTED_VALUE"""),"subpar")</f>
        <v>subpar</v>
      </c>
      <c r="CE138" s="22" t="s">
        <v>445</v>
      </c>
      <c r="CF138" s="24">
        <v>5.0</v>
      </c>
      <c r="CG138" s="22" t="b">
        <v>0</v>
      </c>
      <c r="CH138" s="22" t="b">
        <v>0</v>
      </c>
      <c r="CI138" s="22"/>
      <c r="CJ138" s="22">
        <v>0.0</v>
      </c>
      <c r="CK138" s="22">
        <v>1.0</v>
      </c>
      <c r="CL138" s="22">
        <v>0.0</v>
      </c>
      <c r="CM138" s="22">
        <v>0.0</v>
      </c>
      <c r="CN138" s="22">
        <v>0.0</v>
      </c>
      <c r="CO138" s="22">
        <v>0.0</v>
      </c>
      <c r="CP138" s="22">
        <v>1.0</v>
      </c>
      <c r="CQ138" s="22">
        <v>0.0</v>
      </c>
      <c r="CR138" s="22">
        <v>2.0</v>
      </c>
      <c r="CS138" s="22">
        <v>1.0</v>
      </c>
      <c r="CT138" s="22">
        <v>1.0</v>
      </c>
      <c r="CU138" s="22">
        <v>0.0</v>
      </c>
      <c r="CV138" s="22">
        <v>0.0</v>
      </c>
      <c r="CW138" s="22">
        <v>0.0</v>
      </c>
      <c r="CX138" s="22">
        <v>1.0</v>
      </c>
      <c r="CY138" s="22">
        <v>4.0</v>
      </c>
      <c r="CZ138" s="61">
        <v>2.5</v>
      </c>
      <c r="DA138" s="62" t="s">
        <v>568</v>
      </c>
    </row>
    <row r="139">
      <c r="A139" s="16" t="s">
        <v>305</v>
      </c>
      <c r="B139" s="16" t="s">
        <v>306</v>
      </c>
      <c r="C139" s="17" t="s">
        <v>43</v>
      </c>
      <c r="D139" s="16" t="s">
        <v>163</v>
      </c>
      <c r="E139" s="17" t="b">
        <f t="shared" ref="E139:K139" si="696">If(IFERROR(SEARCH(E$1, $D139),0) &gt;= 1, true,false)</f>
        <v>1</v>
      </c>
      <c r="F139" s="17" t="b">
        <f t="shared" si="696"/>
        <v>1</v>
      </c>
      <c r="G139" s="17" t="b">
        <f t="shared" si="696"/>
        <v>0</v>
      </c>
      <c r="H139" s="17" t="b">
        <f t="shared" si="696"/>
        <v>0</v>
      </c>
      <c r="I139" s="17" t="b">
        <f t="shared" si="696"/>
        <v>1</v>
      </c>
      <c r="J139" s="17" t="b">
        <f t="shared" si="696"/>
        <v>1</v>
      </c>
      <c r="K139" s="17" t="b">
        <f t="shared" si="696"/>
        <v>0</v>
      </c>
      <c r="L139" s="18" t="b">
        <v>1</v>
      </c>
      <c r="M139" s="18" t="b">
        <v>0</v>
      </c>
      <c r="N139" s="18" t="b">
        <v>0</v>
      </c>
      <c r="O139" s="18" t="b">
        <v>0</v>
      </c>
      <c r="P139" s="16" t="str">
        <f t="shared" si="7"/>
        <v>Stadsmuseum Eupen</v>
      </c>
      <c r="Q139" s="19">
        <v>5.0</v>
      </c>
      <c r="R139" s="18" t="b">
        <v>0</v>
      </c>
      <c r="S139" s="18" t="b">
        <v>0</v>
      </c>
      <c r="T139" s="32"/>
      <c r="U139" s="21">
        <f t="shared" si="8"/>
        <v>0</v>
      </c>
      <c r="V139" s="21">
        <f t="shared" ref="V139:AB139" si="697">if(OR(AW139 = $AO$4, AW139 = $AQ$4), 1, 0)</f>
        <v>1</v>
      </c>
      <c r="W139" s="21">
        <f t="shared" si="697"/>
        <v>0</v>
      </c>
      <c r="X139" s="21">
        <f t="shared" si="697"/>
        <v>0</v>
      </c>
      <c r="Y139" s="21">
        <f t="shared" si="697"/>
        <v>0</v>
      </c>
      <c r="Z139" s="21">
        <f t="shared" si="697"/>
        <v>0</v>
      </c>
      <c r="AA139" s="21">
        <f t="shared" si="697"/>
        <v>1</v>
      </c>
      <c r="AB139" s="21">
        <f t="shared" si="697"/>
        <v>0</v>
      </c>
      <c r="AC139" s="21">
        <f t="shared" si="10"/>
        <v>2</v>
      </c>
      <c r="AD139" s="21">
        <f t="shared" si="11"/>
        <v>1</v>
      </c>
      <c r="AE139" s="21">
        <f t="shared" ref="AE139:AH139" si="698">if(OR(BD139 = $AO$6, BD139 = $AS$6, BD139 = $AT$6, BD139 = $AU$6), 1, 0)</f>
        <v>1</v>
      </c>
      <c r="AF139" s="21">
        <f t="shared" si="698"/>
        <v>0</v>
      </c>
      <c r="AG139" s="21">
        <f t="shared" si="698"/>
        <v>0</v>
      </c>
      <c r="AH139" s="21">
        <f t="shared" si="698"/>
        <v>0</v>
      </c>
      <c r="AI139" s="21">
        <f t="shared" si="13"/>
        <v>1</v>
      </c>
      <c r="AJ139" s="21">
        <f t="shared" si="14"/>
        <v>4</v>
      </c>
      <c r="AK139" s="59">
        <f t="shared" si="15"/>
        <v>2.5</v>
      </c>
      <c r="AL139" s="60" t="str">
        <f t="shared" si="16"/>
        <v>subpar</v>
      </c>
      <c r="AW139" s="22" t="str">
        <f t="shared" ref="AW139:BC139" si="699">IF(IFERROR(SEARCH(E$1, $D139),0) &gt;= 1, E$1,0)</f>
        <v>Geschiedenis en archeologie</v>
      </c>
      <c r="AX139" s="22" t="str">
        <f t="shared" si="699"/>
        <v>Wetenschap en technologie</v>
      </c>
      <c r="AY139" s="22">
        <f t="shared" si="699"/>
        <v>0</v>
      </c>
      <c r="AZ139" s="22">
        <f t="shared" si="699"/>
        <v>0</v>
      </c>
      <c r="BA139" s="22" t="str">
        <f t="shared" si="699"/>
        <v>Architectuur</v>
      </c>
      <c r="BB139" s="22" t="str">
        <f t="shared" si="699"/>
        <v>Beeldende kunst</v>
      </c>
      <c r="BC139" s="22">
        <f t="shared" si="699"/>
        <v>0</v>
      </c>
      <c r="BD139" s="22" t="str">
        <f t="shared" ref="BD139:BG139" si="700">IF(L139 = true, BD$1, 0)</f>
        <v>Shop</v>
      </c>
      <c r="BE139" s="22">
        <f t="shared" si="700"/>
        <v>0</v>
      </c>
      <c r="BF139" s="22">
        <f t="shared" si="700"/>
        <v>0</v>
      </c>
      <c r="BG139" s="22">
        <f t="shared" si="700"/>
        <v>0</v>
      </c>
      <c r="BH139" s="22" t="str">
        <f>IFERROR(__xludf.DUMMYFUNCTION("""COMPUTED_VALUE"""),"MigratieMuseum")</f>
        <v>MigratieMuseum</v>
      </c>
      <c r="BI139" s="24">
        <f>IFERROR(__xludf.DUMMYFUNCTION("""COMPUTED_VALUE"""),8.0)</f>
        <v>8</v>
      </c>
      <c r="BJ139" s="22" t="b">
        <f>IFERROR(__xludf.DUMMYFUNCTION("""COMPUTED_VALUE"""),FALSE)</f>
        <v>0</v>
      </c>
      <c r="BK139" s="22" t="b">
        <f>IFERROR(__xludf.DUMMYFUNCTION("""COMPUTED_VALUE"""),FALSE)</f>
        <v>0</v>
      </c>
      <c r="BL139" s="22"/>
      <c r="BM139" s="22">
        <f>IFERROR(__xludf.DUMMYFUNCTION("""COMPUTED_VALUE"""),0.0)</f>
        <v>0</v>
      </c>
      <c r="BN139" s="22">
        <f>IFERROR(__xludf.DUMMYFUNCTION("""COMPUTED_VALUE"""),1.0)</f>
        <v>1</v>
      </c>
      <c r="BO139" s="22">
        <f>IFERROR(__xludf.DUMMYFUNCTION("""COMPUTED_VALUE"""),0.0)</f>
        <v>0</v>
      </c>
      <c r="BP139" s="22">
        <f>IFERROR(__xludf.DUMMYFUNCTION("""COMPUTED_VALUE"""),0.0)</f>
        <v>0</v>
      </c>
      <c r="BQ139" s="22">
        <f>IFERROR(__xludf.DUMMYFUNCTION("""COMPUTED_VALUE"""),0.0)</f>
        <v>0</v>
      </c>
      <c r="BR139" s="22">
        <f>IFERROR(__xludf.DUMMYFUNCTION("""COMPUTED_VALUE"""),0.0)</f>
        <v>0</v>
      </c>
      <c r="BS139" s="22">
        <f>IFERROR(__xludf.DUMMYFUNCTION("""COMPUTED_VALUE"""),1.0)</f>
        <v>1</v>
      </c>
      <c r="BT139" s="22">
        <f>IFERROR(__xludf.DUMMYFUNCTION("""COMPUTED_VALUE"""),0.0)</f>
        <v>0</v>
      </c>
      <c r="BU139" s="22">
        <f>IFERROR(__xludf.DUMMYFUNCTION("""COMPUTED_VALUE"""),2.0)</f>
        <v>2</v>
      </c>
      <c r="BV139" s="22">
        <f>IFERROR(__xludf.DUMMYFUNCTION("""COMPUTED_VALUE"""),1.0)</f>
        <v>1</v>
      </c>
      <c r="BW139" s="22">
        <f>IFERROR(__xludf.DUMMYFUNCTION("""COMPUTED_VALUE"""),1.0)</f>
        <v>1</v>
      </c>
      <c r="BX139" s="22">
        <f>IFERROR(__xludf.DUMMYFUNCTION("""COMPUTED_VALUE"""),0.0)</f>
        <v>0</v>
      </c>
      <c r="BY139" s="22">
        <f>IFERROR(__xludf.DUMMYFUNCTION("""COMPUTED_VALUE"""),0.0)</f>
        <v>0</v>
      </c>
      <c r="BZ139" s="22">
        <f>IFERROR(__xludf.DUMMYFUNCTION("""COMPUTED_VALUE"""),0.0)</f>
        <v>0</v>
      </c>
      <c r="CA139" s="22">
        <f>IFERROR(__xludf.DUMMYFUNCTION("""COMPUTED_VALUE"""),1.0)</f>
        <v>1</v>
      </c>
      <c r="CB139" s="22">
        <f>IFERROR(__xludf.DUMMYFUNCTION("""COMPUTED_VALUE"""),4.0)</f>
        <v>4</v>
      </c>
      <c r="CC139" s="61">
        <f>IFERROR(__xludf.DUMMYFUNCTION("""COMPUTED_VALUE"""),2.5)</f>
        <v>2.5</v>
      </c>
      <c r="CD139" s="62" t="str">
        <f>IFERROR(__xludf.DUMMYFUNCTION("""COMPUTED_VALUE"""),"subpar")</f>
        <v>subpar</v>
      </c>
      <c r="CE139" s="22" t="s">
        <v>448</v>
      </c>
      <c r="CF139" s="24">
        <v>8.0</v>
      </c>
      <c r="CG139" s="22" t="b">
        <v>0</v>
      </c>
      <c r="CH139" s="22" t="b">
        <v>0</v>
      </c>
      <c r="CI139" s="22"/>
      <c r="CJ139" s="22">
        <v>0.0</v>
      </c>
      <c r="CK139" s="22">
        <v>1.0</v>
      </c>
      <c r="CL139" s="22">
        <v>0.0</v>
      </c>
      <c r="CM139" s="22">
        <v>0.0</v>
      </c>
      <c r="CN139" s="22">
        <v>0.0</v>
      </c>
      <c r="CO139" s="22">
        <v>0.0</v>
      </c>
      <c r="CP139" s="22">
        <v>1.0</v>
      </c>
      <c r="CQ139" s="22">
        <v>0.0</v>
      </c>
      <c r="CR139" s="22">
        <v>2.0</v>
      </c>
      <c r="CS139" s="22">
        <v>1.0</v>
      </c>
      <c r="CT139" s="22">
        <v>1.0</v>
      </c>
      <c r="CU139" s="22">
        <v>0.0</v>
      </c>
      <c r="CV139" s="22">
        <v>0.0</v>
      </c>
      <c r="CW139" s="22">
        <v>0.0</v>
      </c>
      <c r="CX139" s="22">
        <v>1.0</v>
      </c>
      <c r="CY139" s="22">
        <v>4.0</v>
      </c>
      <c r="CZ139" s="61">
        <v>2.5</v>
      </c>
      <c r="DA139" s="62" t="s">
        <v>568</v>
      </c>
    </row>
    <row r="140">
      <c r="A140" s="16" t="s">
        <v>307</v>
      </c>
      <c r="B140" s="16" t="s">
        <v>308</v>
      </c>
      <c r="C140" s="17" t="s">
        <v>43</v>
      </c>
      <c r="D140" s="16" t="s">
        <v>95</v>
      </c>
      <c r="E140" s="17" t="b">
        <f t="shared" ref="E140:K140" si="701">If(IFERROR(SEARCH(E$1, $D140),0) &gt;= 1, true,false)</f>
        <v>1</v>
      </c>
      <c r="F140" s="17" t="b">
        <f t="shared" si="701"/>
        <v>0</v>
      </c>
      <c r="G140" s="17" t="b">
        <f t="shared" si="701"/>
        <v>0</v>
      </c>
      <c r="H140" s="17" t="b">
        <f t="shared" si="701"/>
        <v>0</v>
      </c>
      <c r="I140" s="17" t="b">
        <f t="shared" si="701"/>
        <v>0</v>
      </c>
      <c r="J140" s="17" t="b">
        <f t="shared" si="701"/>
        <v>1</v>
      </c>
      <c r="K140" s="17" t="b">
        <f t="shared" si="701"/>
        <v>0</v>
      </c>
      <c r="L140" s="18" t="b">
        <v>1</v>
      </c>
      <c r="M140" s="18" t="b">
        <v>0</v>
      </c>
      <c r="N140" s="18" t="b">
        <v>0</v>
      </c>
      <c r="O140" s="18" t="b">
        <v>0</v>
      </c>
      <c r="P140" s="16" t="str">
        <f t="shared" si="7"/>
        <v>Musea van Verviers</v>
      </c>
      <c r="Q140" s="19">
        <v>4.0</v>
      </c>
      <c r="R140" s="18" t="b">
        <v>0</v>
      </c>
      <c r="S140" s="18" t="b">
        <v>0</v>
      </c>
      <c r="T140" s="32"/>
      <c r="U140" s="21">
        <f t="shared" si="8"/>
        <v>0</v>
      </c>
      <c r="V140" s="21">
        <f t="shared" ref="V140:AB140" si="702">if(OR(AW140 = $AO$4, AW140 = $AQ$4), 1, 0)</f>
        <v>1</v>
      </c>
      <c r="W140" s="21">
        <f t="shared" si="702"/>
        <v>0</v>
      </c>
      <c r="X140" s="21">
        <f t="shared" si="702"/>
        <v>0</v>
      </c>
      <c r="Y140" s="21">
        <f t="shared" si="702"/>
        <v>0</v>
      </c>
      <c r="Z140" s="21">
        <f t="shared" si="702"/>
        <v>0</v>
      </c>
      <c r="AA140" s="21">
        <f t="shared" si="702"/>
        <v>1</v>
      </c>
      <c r="AB140" s="21">
        <f t="shared" si="702"/>
        <v>0</v>
      </c>
      <c r="AC140" s="21">
        <f t="shared" si="10"/>
        <v>2</v>
      </c>
      <c r="AD140" s="21">
        <f t="shared" si="11"/>
        <v>1</v>
      </c>
      <c r="AE140" s="21">
        <f t="shared" ref="AE140:AH140" si="703">if(OR(BD140 = $AO$6, BD140 = $AS$6, BD140 = $AT$6, BD140 = $AU$6), 1, 0)</f>
        <v>1</v>
      </c>
      <c r="AF140" s="21">
        <f t="shared" si="703"/>
        <v>0</v>
      </c>
      <c r="AG140" s="21">
        <f t="shared" si="703"/>
        <v>0</v>
      </c>
      <c r="AH140" s="21">
        <f t="shared" si="703"/>
        <v>0</v>
      </c>
      <c r="AI140" s="21">
        <f t="shared" si="13"/>
        <v>1</v>
      </c>
      <c r="AJ140" s="21">
        <f t="shared" si="14"/>
        <v>4</v>
      </c>
      <c r="AK140" s="59">
        <f t="shared" si="15"/>
        <v>2.5</v>
      </c>
      <c r="AL140" s="60" t="str">
        <f t="shared" si="16"/>
        <v>subpar</v>
      </c>
      <c r="AW140" s="22" t="str">
        <f t="shared" ref="AW140:BC140" si="704">IF(IFERROR(SEARCH(E$1, $D140),0) &gt;= 1, E$1,0)</f>
        <v>Geschiedenis en archeologie</v>
      </c>
      <c r="AX140" s="22">
        <f t="shared" si="704"/>
        <v>0</v>
      </c>
      <c r="AY140" s="22">
        <f t="shared" si="704"/>
        <v>0</v>
      </c>
      <c r="AZ140" s="22">
        <f t="shared" si="704"/>
        <v>0</v>
      </c>
      <c r="BA140" s="22">
        <f t="shared" si="704"/>
        <v>0</v>
      </c>
      <c r="BB140" s="22" t="str">
        <f t="shared" si="704"/>
        <v>Beeldende kunst</v>
      </c>
      <c r="BC140" s="22">
        <f t="shared" si="704"/>
        <v>0</v>
      </c>
      <c r="BD140" s="22" t="str">
        <f t="shared" ref="BD140:BG140" si="705">IF(L140 = true, BD$1, 0)</f>
        <v>Shop</v>
      </c>
      <c r="BE140" s="22">
        <f t="shared" si="705"/>
        <v>0</v>
      </c>
      <c r="BF140" s="22">
        <f t="shared" si="705"/>
        <v>0</v>
      </c>
      <c r="BG140" s="22">
        <f t="shared" si="705"/>
        <v>0</v>
      </c>
      <c r="BH140" s="22" t="str">
        <f>IFERROR(__xludf.DUMMYFUNCTION("""COMPUTED_VALUE"""),"muziekinstrumentenmuseum")</f>
        <v>muziekinstrumentenmuseum</v>
      </c>
      <c r="BI140" s="24">
        <f>IFERROR(__xludf.DUMMYFUNCTION("""COMPUTED_VALUE"""),15.0)</f>
        <v>15</v>
      </c>
      <c r="BJ140" s="22" t="b">
        <f>IFERROR(__xludf.DUMMYFUNCTION("""COMPUTED_VALUE"""),FALSE)</f>
        <v>0</v>
      </c>
      <c r="BK140" s="22" t="b">
        <f>IFERROR(__xludf.DUMMYFUNCTION("""COMPUTED_VALUE"""),FALSE)</f>
        <v>0</v>
      </c>
      <c r="BL140" s="22"/>
      <c r="BM140" s="22">
        <f>IFERROR(__xludf.DUMMYFUNCTION("""COMPUTED_VALUE"""),0.0)</f>
        <v>0</v>
      </c>
      <c r="BN140" s="22">
        <f>IFERROR(__xludf.DUMMYFUNCTION("""COMPUTED_VALUE"""),1.0)</f>
        <v>1</v>
      </c>
      <c r="BO140" s="22">
        <f>IFERROR(__xludf.DUMMYFUNCTION("""COMPUTED_VALUE"""),0.0)</f>
        <v>0</v>
      </c>
      <c r="BP140" s="22">
        <f>IFERROR(__xludf.DUMMYFUNCTION("""COMPUTED_VALUE"""),0.0)</f>
        <v>0</v>
      </c>
      <c r="BQ140" s="22">
        <f>IFERROR(__xludf.DUMMYFUNCTION("""COMPUTED_VALUE"""),0.0)</f>
        <v>0</v>
      </c>
      <c r="BR140" s="22">
        <f>IFERROR(__xludf.DUMMYFUNCTION("""COMPUTED_VALUE"""),0.0)</f>
        <v>0</v>
      </c>
      <c r="BS140" s="22">
        <f>IFERROR(__xludf.DUMMYFUNCTION("""COMPUTED_VALUE"""),0.0)</f>
        <v>0</v>
      </c>
      <c r="BT140" s="22">
        <f>IFERROR(__xludf.DUMMYFUNCTION("""COMPUTED_VALUE"""),0.0)</f>
        <v>0</v>
      </c>
      <c r="BU140" s="22">
        <f>IFERROR(__xludf.DUMMYFUNCTION("""COMPUTED_VALUE"""),1.0)</f>
        <v>1</v>
      </c>
      <c r="BV140" s="22">
        <f>IFERROR(__xludf.DUMMYFUNCTION("""COMPUTED_VALUE"""),0.0)</f>
        <v>0</v>
      </c>
      <c r="BW140" s="22">
        <f>IFERROR(__xludf.DUMMYFUNCTION("""COMPUTED_VALUE"""),1.0)</f>
        <v>1</v>
      </c>
      <c r="BX140" s="22">
        <f>IFERROR(__xludf.DUMMYFUNCTION("""COMPUTED_VALUE"""),1.0)</f>
        <v>1</v>
      </c>
      <c r="BY140" s="22">
        <f>IFERROR(__xludf.DUMMYFUNCTION("""COMPUTED_VALUE"""),0.0)</f>
        <v>0</v>
      </c>
      <c r="BZ140" s="22">
        <f>IFERROR(__xludf.DUMMYFUNCTION("""COMPUTED_VALUE"""),1.0)</f>
        <v>1</v>
      </c>
      <c r="CA140" s="22">
        <f>IFERROR(__xludf.DUMMYFUNCTION("""COMPUTED_VALUE"""),3.0)</f>
        <v>3</v>
      </c>
      <c r="CB140" s="22">
        <f>IFERROR(__xludf.DUMMYFUNCTION("""COMPUTED_VALUE"""),4.0)</f>
        <v>4</v>
      </c>
      <c r="CC140" s="61">
        <f>IFERROR(__xludf.DUMMYFUNCTION("""COMPUTED_VALUE"""),2.5)</f>
        <v>2.5</v>
      </c>
      <c r="CD140" s="62" t="str">
        <f>IFERROR(__xludf.DUMMYFUNCTION("""COMPUTED_VALUE"""),"subpar")</f>
        <v>subpar</v>
      </c>
      <c r="CE140" s="22" t="s">
        <v>450</v>
      </c>
      <c r="CF140" s="24">
        <v>15.0</v>
      </c>
      <c r="CG140" s="22" t="b">
        <v>0</v>
      </c>
      <c r="CH140" s="22" t="b">
        <v>0</v>
      </c>
      <c r="CI140" s="22"/>
      <c r="CJ140" s="22">
        <v>0.0</v>
      </c>
      <c r="CK140" s="22">
        <v>1.0</v>
      </c>
      <c r="CL140" s="22">
        <v>0.0</v>
      </c>
      <c r="CM140" s="22">
        <v>0.0</v>
      </c>
      <c r="CN140" s="22">
        <v>0.0</v>
      </c>
      <c r="CO140" s="22">
        <v>0.0</v>
      </c>
      <c r="CP140" s="22">
        <v>0.0</v>
      </c>
      <c r="CQ140" s="22">
        <v>0.0</v>
      </c>
      <c r="CR140" s="22">
        <v>1.0</v>
      </c>
      <c r="CS140" s="22">
        <v>0.0</v>
      </c>
      <c r="CT140" s="22">
        <v>1.0</v>
      </c>
      <c r="CU140" s="22">
        <v>1.0</v>
      </c>
      <c r="CV140" s="22">
        <v>0.0</v>
      </c>
      <c r="CW140" s="22">
        <v>1.0</v>
      </c>
      <c r="CX140" s="22">
        <v>3.0</v>
      </c>
      <c r="CY140" s="22">
        <v>4.0</v>
      </c>
      <c r="CZ140" s="61">
        <v>2.5</v>
      </c>
      <c r="DA140" s="62" t="s">
        <v>568</v>
      </c>
    </row>
    <row r="141">
      <c r="A141" s="16" t="s">
        <v>309</v>
      </c>
      <c r="B141" s="16" t="s">
        <v>310</v>
      </c>
      <c r="C141" s="17" t="s">
        <v>43</v>
      </c>
      <c r="D141" s="16" t="s">
        <v>107</v>
      </c>
      <c r="E141" s="17" t="b">
        <f t="shared" ref="E141:K141" si="706">If(IFERROR(SEARCH(E$1, $D141),0) &gt;= 1, true,false)</f>
        <v>1</v>
      </c>
      <c r="F141" s="17" t="b">
        <f t="shared" si="706"/>
        <v>1</v>
      </c>
      <c r="G141" s="17" t="b">
        <f t="shared" si="706"/>
        <v>0</v>
      </c>
      <c r="H141" s="17" t="b">
        <f t="shared" si="706"/>
        <v>0</v>
      </c>
      <c r="I141" s="17" t="b">
        <f t="shared" si="706"/>
        <v>0</v>
      </c>
      <c r="J141" s="17" t="b">
        <f t="shared" si="706"/>
        <v>0</v>
      </c>
      <c r="K141" s="17" t="b">
        <f t="shared" si="706"/>
        <v>0</v>
      </c>
      <c r="L141" s="18" t="b">
        <v>1</v>
      </c>
      <c r="M141" s="18" t="b">
        <v>1</v>
      </c>
      <c r="N141" s="18" t="b">
        <v>0</v>
      </c>
      <c r="O141" s="18" t="b">
        <v>0</v>
      </c>
      <c r="P141" s="16" t="str">
        <f t="shared" si="7"/>
        <v>Museum Vieille Montagne</v>
      </c>
      <c r="Q141" s="19">
        <v>7.5</v>
      </c>
      <c r="R141" s="18" t="b">
        <v>0</v>
      </c>
      <c r="S141" s="18" t="b">
        <v>0</v>
      </c>
      <c r="T141" s="33"/>
      <c r="U141" s="21">
        <f t="shared" si="8"/>
        <v>0</v>
      </c>
      <c r="V141" s="21">
        <f t="shared" ref="V141:AB141" si="707">if(OR(AW141 = $AO$4, AW141 = $AQ$4), 1, 0)</f>
        <v>1</v>
      </c>
      <c r="W141" s="21">
        <f t="shared" si="707"/>
        <v>0</v>
      </c>
      <c r="X141" s="21">
        <f t="shared" si="707"/>
        <v>0</v>
      </c>
      <c r="Y141" s="21">
        <f t="shared" si="707"/>
        <v>0</v>
      </c>
      <c r="Z141" s="21">
        <f t="shared" si="707"/>
        <v>0</v>
      </c>
      <c r="AA141" s="21">
        <f t="shared" si="707"/>
        <v>0</v>
      </c>
      <c r="AB141" s="21">
        <f t="shared" si="707"/>
        <v>0</v>
      </c>
      <c r="AC141" s="21">
        <f t="shared" si="10"/>
        <v>1</v>
      </c>
      <c r="AD141" s="21">
        <f t="shared" si="11"/>
        <v>1</v>
      </c>
      <c r="AE141" s="21">
        <f t="shared" ref="AE141:AH141" si="708">if(OR(BD141 = $AO$6, BD141 = $AS$6, BD141 = $AT$6, BD141 = $AU$6), 1, 0)</f>
        <v>1</v>
      </c>
      <c r="AF141" s="21">
        <f t="shared" si="708"/>
        <v>1</v>
      </c>
      <c r="AG141" s="21">
        <f t="shared" si="708"/>
        <v>0</v>
      </c>
      <c r="AH141" s="21">
        <f t="shared" si="708"/>
        <v>0</v>
      </c>
      <c r="AI141" s="21">
        <f t="shared" si="13"/>
        <v>2</v>
      </c>
      <c r="AJ141" s="21">
        <f t="shared" si="14"/>
        <v>4</v>
      </c>
      <c r="AK141" s="59">
        <f t="shared" si="15"/>
        <v>2.5</v>
      </c>
      <c r="AL141" s="60" t="str">
        <f t="shared" si="16"/>
        <v>subpar</v>
      </c>
      <c r="AW141" s="22" t="str">
        <f t="shared" ref="AW141:BC141" si="709">IF(IFERROR(SEARCH(E$1, $D141),0) &gt;= 1, E$1,0)</f>
        <v>Geschiedenis en archeologie</v>
      </c>
      <c r="AX141" s="22" t="str">
        <f t="shared" si="709"/>
        <v>Wetenschap en technologie</v>
      </c>
      <c r="AY141" s="22">
        <f t="shared" si="709"/>
        <v>0</v>
      </c>
      <c r="AZ141" s="22">
        <f t="shared" si="709"/>
        <v>0</v>
      </c>
      <c r="BA141" s="22">
        <f t="shared" si="709"/>
        <v>0</v>
      </c>
      <c r="BB141" s="22">
        <f t="shared" si="709"/>
        <v>0</v>
      </c>
      <c r="BC141" s="22">
        <f t="shared" si="709"/>
        <v>0</v>
      </c>
      <c r="BD141" s="22" t="str">
        <f t="shared" ref="BD141:BG141" si="710">IF(L141 = true, BD$1, 0)</f>
        <v>Shop</v>
      </c>
      <c r="BE141" s="22" t="str">
        <f t="shared" si="710"/>
        <v>Café</v>
      </c>
      <c r="BF141" s="22">
        <f t="shared" si="710"/>
        <v>0</v>
      </c>
      <c r="BG141" s="22">
        <f t="shared" si="710"/>
        <v>0</v>
      </c>
      <c r="BH141" s="22" t="str">
        <f>IFERROR(__xludf.DUMMYFUNCTION("""COMPUTED_VALUE"""),"Belgisch Museum van de Vrijmetselarij")</f>
        <v>Belgisch Museum van de Vrijmetselarij</v>
      </c>
      <c r="BI141" s="24">
        <f>IFERROR(__xludf.DUMMYFUNCTION("""COMPUTED_VALUE"""),10.0)</f>
        <v>10</v>
      </c>
      <c r="BJ141" s="22" t="b">
        <f>IFERROR(__xludf.DUMMYFUNCTION("""COMPUTED_VALUE"""),FALSE)</f>
        <v>0</v>
      </c>
      <c r="BK141" s="22" t="b">
        <f>IFERROR(__xludf.DUMMYFUNCTION("""COMPUTED_VALUE"""),TRUE)</f>
        <v>1</v>
      </c>
      <c r="BL141" s="24">
        <f>IFERROR(__xludf.DUMMYFUNCTION("""COMPUTED_VALUE"""),10.0)</f>
        <v>10</v>
      </c>
      <c r="BM141" s="22">
        <f>IFERROR(__xludf.DUMMYFUNCTION("""COMPUTED_VALUE"""),0.0)</f>
        <v>0</v>
      </c>
      <c r="BN141" s="22">
        <f>IFERROR(__xludf.DUMMYFUNCTION("""COMPUTED_VALUE"""),1.0)</f>
        <v>1</v>
      </c>
      <c r="BO141" s="22">
        <f>IFERROR(__xludf.DUMMYFUNCTION("""COMPUTED_VALUE"""),0.0)</f>
        <v>0</v>
      </c>
      <c r="BP141" s="22">
        <f>IFERROR(__xludf.DUMMYFUNCTION("""COMPUTED_VALUE"""),0.0)</f>
        <v>0</v>
      </c>
      <c r="BQ141" s="22">
        <f>IFERROR(__xludf.DUMMYFUNCTION("""COMPUTED_VALUE"""),0.0)</f>
        <v>0</v>
      </c>
      <c r="BR141" s="22">
        <f>IFERROR(__xludf.DUMMYFUNCTION("""COMPUTED_VALUE"""),0.0)</f>
        <v>0</v>
      </c>
      <c r="BS141" s="22">
        <f>IFERROR(__xludf.DUMMYFUNCTION("""COMPUTED_VALUE"""),1.0)</f>
        <v>1</v>
      </c>
      <c r="BT141" s="22">
        <f>IFERROR(__xludf.DUMMYFUNCTION("""COMPUTED_VALUE"""),0.0)</f>
        <v>0</v>
      </c>
      <c r="BU141" s="22">
        <f>IFERROR(__xludf.DUMMYFUNCTION("""COMPUTED_VALUE"""),2.0)</f>
        <v>2</v>
      </c>
      <c r="BV141" s="22">
        <f>IFERROR(__xludf.DUMMYFUNCTION("""COMPUTED_VALUE"""),1.0)</f>
        <v>1</v>
      </c>
      <c r="BW141" s="22">
        <f>IFERROR(__xludf.DUMMYFUNCTION("""COMPUTED_VALUE"""),1.0)</f>
        <v>1</v>
      </c>
      <c r="BX141" s="22">
        <f>IFERROR(__xludf.DUMMYFUNCTION("""COMPUTED_VALUE"""),0.0)</f>
        <v>0</v>
      </c>
      <c r="BY141" s="22">
        <f>IFERROR(__xludf.DUMMYFUNCTION("""COMPUTED_VALUE"""),0.0)</f>
        <v>0</v>
      </c>
      <c r="BZ141" s="22">
        <f>IFERROR(__xludf.DUMMYFUNCTION("""COMPUTED_VALUE"""),0.0)</f>
        <v>0</v>
      </c>
      <c r="CA141" s="22">
        <f>IFERROR(__xludf.DUMMYFUNCTION("""COMPUTED_VALUE"""),1.0)</f>
        <v>1</v>
      </c>
      <c r="CB141" s="22">
        <f>IFERROR(__xludf.DUMMYFUNCTION("""COMPUTED_VALUE"""),4.0)</f>
        <v>4</v>
      </c>
      <c r="CC141" s="61">
        <f>IFERROR(__xludf.DUMMYFUNCTION("""COMPUTED_VALUE"""),2.5)</f>
        <v>2.5</v>
      </c>
      <c r="CD141" s="62" t="str">
        <f>IFERROR(__xludf.DUMMYFUNCTION("""COMPUTED_VALUE"""),"subpar")</f>
        <v>subpar</v>
      </c>
      <c r="CE141" s="22" t="s">
        <v>456</v>
      </c>
      <c r="CF141" s="24">
        <v>10.0</v>
      </c>
      <c r="CG141" s="22" t="b">
        <v>0</v>
      </c>
      <c r="CH141" s="22" t="b">
        <v>1</v>
      </c>
      <c r="CI141" s="24">
        <v>10.0</v>
      </c>
      <c r="CJ141" s="22">
        <v>0.0</v>
      </c>
      <c r="CK141" s="22">
        <v>1.0</v>
      </c>
      <c r="CL141" s="22">
        <v>0.0</v>
      </c>
      <c r="CM141" s="22">
        <v>0.0</v>
      </c>
      <c r="CN141" s="22">
        <v>0.0</v>
      </c>
      <c r="CO141" s="22">
        <v>0.0</v>
      </c>
      <c r="CP141" s="22">
        <v>1.0</v>
      </c>
      <c r="CQ141" s="22">
        <v>0.0</v>
      </c>
      <c r="CR141" s="22">
        <v>2.0</v>
      </c>
      <c r="CS141" s="22">
        <v>1.0</v>
      </c>
      <c r="CT141" s="22">
        <v>1.0</v>
      </c>
      <c r="CU141" s="22">
        <v>0.0</v>
      </c>
      <c r="CV141" s="22">
        <v>0.0</v>
      </c>
      <c r="CW141" s="22">
        <v>0.0</v>
      </c>
      <c r="CX141" s="22">
        <v>1.0</v>
      </c>
      <c r="CY141" s="22">
        <v>4.0</v>
      </c>
      <c r="CZ141" s="61">
        <v>2.5</v>
      </c>
      <c r="DA141" s="62" t="s">
        <v>568</v>
      </c>
    </row>
    <row r="142">
      <c r="A142" s="16"/>
      <c r="B142" s="16" t="s">
        <v>311</v>
      </c>
      <c r="C142" s="17" t="s">
        <v>43</v>
      </c>
      <c r="D142" s="16" t="s">
        <v>4</v>
      </c>
      <c r="E142" s="17" t="b">
        <f t="shared" ref="E142:K142" si="711">If(IFERROR(SEARCH(E$1, $D142),0) &gt;= 1, true,false)</f>
        <v>1</v>
      </c>
      <c r="F142" s="17" t="b">
        <f t="shared" si="711"/>
        <v>0</v>
      </c>
      <c r="G142" s="17" t="b">
        <f t="shared" si="711"/>
        <v>0</v>
      </c>
      <c r="H142" s="17" t="b">
        <f t="shared" si="711"/>
        <v>0</v>
      </c>
      <c r="I142" s="17" t="b">
        <f t="shared" si="711"/>
        <v>0</v>
      </c>
      <c r="J142" s="17" t="b">
        <f t="shared" si="711"/>
        <v>0</v>
      </c>
      <c r="K142" s="17" t="b">
        <f t="shared" si="711"/>
        <v>0</v>
      </c>
      <c r="L142" s="18" t="b">
        <v>1</v>
      </c>
      <c r="M142" s="18" t="b">
        <v>1</v>
      </c>
      <c r="N142" s="18" t="b">
        <v>1</v>
      </c>
      <c r="O142" s="18" t="b">
        <v>0</v>
      </c>
      <c r="P142" s="16" t="str">
        <f t="shared" si="7"/>
        <v>Préhistomuseum</v>
      </c>
      <c r="Q142" s="19">
        <v>16.0</v>
      </c>
      <c r="R142" s="20" t="b">
        <v>0</v>
      </c>
      <c r="S142" s="18" t="b">
        <v>0</v>
      </c>
      <c r="T142" s="16"/>
      <c r="U142" s="21">
        <f t="shared" si="8"/>
        <v>0</v>
      </c>
      <c r="V142" s="21">
        <f t="shared" ref="V142:AB142" si="712">if(OR(AW142 = $AO$4, AW142 = $AQ$4), 1, 0)</f>
        <v>1</v>
      </c>
      <c r="W142" s="21">
        <f t="shared" si="712"/>
        <v>0</v>
      </c>
      <c r="X142" s="21">
        <f t="shared" si="712"/>
        <v>0</v>
      </c>
      <c r="Y142" s="21">
        <f t="shared" si="712"/>
        <v>0</v>
      </c>
      <c r="Z142" s="21">
        <f t="shared" si="712"/>
        <v>0</v>
      </c>
      <c r="AA142" s="21">
        <f t="shared" si="712"/>
        <v>0</v>
      </c>
      <c r="AB142" s="21">
        <f t="shared" si="712"/>
        <v>0</v>
      </c>
      <c r="AC142" s="21">
        <f t="shared" si="10"/>
        <v>1</v>
      </c>
      <c r="AD142" s="21">
        <f t="shared" si="11"/>
        <v>0</v>
      </c>
      <c r="AE142" s="21">
        <f t="shared" ref="AE142:AH142" si="713">if(OR(BD142 = $AO$6, BD142 = $AS$6, BD142 = $AT$6, BD142 = $AU$6), 1, 0)</f>
        <v>1</v>
      </c>
      <c r="AF142" s="21">
        <f t="shared" si="713"/>
        <v>1</v>
      </c>
      <c r="AG142" s="21">
        <f t="shared" si="713"/>
        <v>1</v>
      </c>
      <c r="AH142" s="21">
        <f t="shared" si="713"/>
        <v>0</v>
      </c>
      <c r="AI142" s="21">
        <f t="shared" si="13"/>
        <v>3</v>
      </c>
      <c r="AJ142" s="21">
        <f t="shared" si="14"/>
        <v>4</v>
      </c>
      <c r="AK142" s="59">
        <f t="shared" si="15"/>
        <v>2.5</v>
      </c>
      <c r="AL142" s="60" t="str">
        <f t="shared" si="16"/>
        <v>subpar</v>
      </c>
      <c r="AW142" s="22" t="str">
        <f t="shared" ref="AW142:BC142" si="714">IF(IFERROR(SEARCH(E$1, $D142),0) &gt;= 1, E$1,0)</f>
        <v>Geschiedenis en archeologie</v>
      </c>
      <c r="AX142" s="22">
        <f t="shared" si="714"/>
        <v>0</v>
      </c>
      <c r="AY142" s="22">
        <f t="shared" si="714"/>
        <v>0</v>
      </c>
      <c r="AZ142" s="22">
        <f t="shared" si="714"/>
        <v>0</v>
      </c>
      <c r="BA142" s="22">
        <f t="shared" si="714"/>
        <v>0</v>
      </c>
      <c r="BB142" s="22">
        <f t="shared" si="714"/>
        <v>0</v>
      </c>
      <c r="BC142" s="22">
        <f t="shared" si="714"/>
        <v>0</v>
      </c>
      <c r="BD142" s="22" t="str">
        <f t="shared" ref="BD142:BG142" si="715">IF(L142 = true, BD$1, 0)</f>
        <v>Shop</v>
      </c>
      <c r="BE142" s="22" t="str">
        <f t="shared" si="715"/>
        <v>Café</v>
      </c>
      <c r="BF142" s="22" t="str">
        <f t="shared" si="715"/>
        <v>Parking</v>
      </c>
      <c r="BG142" s="22">
        <f t="shared" si="715"/>
        <v>0</v>
      </c>
      <c r="BH142" s="22" t="str">
        <f>IFERROR(__xludf.DUMMYFUNCTION("""COMPUTED_VALUE"""),"Museum van de Stad Brussel - Broodhuis")</f>
        <v>Museum van de Stad Brussel - Broodhuis</v>
      </c>
      <c r="BI142" s="24">
        <f>IFERROR(__xludf.DUMMYFUNCTION("""COMPUTED_VALUE"""),10.0)</f>
        <v>10</v>
      </c>
      <c r="BJ142" s="22" t="b">
        <f>IFERROR(__xludf.DUMMYFUNCTION("""COMPUTED_VALUE"""),FALSE)</f>
        <v>0</v>
      </c>
      <c r="BK142" s="22" t="b">
        <f>IFERROR(__xludf.DUMMYFUNCTION("""COMPUTED_VALUE"""),TRUE)</f>
        <v>1</v>
      </c>
      <c r="BL142" s="24">
        <f>IFERROR(__xludf.DUMMYFUNCTION("""COMPUTED_VALUE"""),10.0)</f>
        <v>10</v>
      </c>
      <c r="BM142" s="22">
        <f>IFERROR(__xludf.DUMMYFUNCTION("""COMPUTED_VALUE"""),0.0)</f>
        <v>0</v>
      </c>
      <c r="BN142" s="22">
        <f>IFERROR(__xludf.DUMMYFUNCTION("""COMPUTED_VALUE"""),1.0)</f>
        <v>1</v>
      </c>
      <c r="BO142" s="22">
        <f>IFERROR(__xludf.DUMMYFUNCTION("""COMPUTED_VALUE"""),0.0)</f>
        <v>0</v>
      </c>
      <c r="BP142" s="22">
        <f>IFERROR(__xludf.DUMMYFUNCTION("""COMPUTED_VALUE"""),0.0)</f>
        <v>0</v>
      </c>
      <c r="BQ142" s="22">
        <f>IFERROR(__xludf.DUMMYFUNCTION("""COMPUTED_VALUE"""),0.0)</f>
        <v>0</v>
      </c>
      <c r="BR142" s="22">
        <f>IFERROR(__xludf.DUMMYFUNCTION("""COMPUTED_VALUE"""),0.0)</f>
        <v>0</v>
      </c>
      <c r="BS142" s="22">
        <f>IFERROR(__xludf.DUMMYFUNCTION("""COMPUTED_VALUE"""),1.0)</f>
        <v>1</v>
      </c>
      <c r="BT142" s="22">
        <f>IFERROR(__xludf.DUMMYFUNCTION("""COMPUTED_VALUE"""),0.0)</f>
        <v>0</v>
      </c>
      <c r="BU142" s="22">
        <f>IFERROR(__xludf.DUMMYFUNCTION("""COMPUTED_VALUE"""),2.0)</f>
        <v>2</v>
      </c>
      <c r="BV142" s="22">
        <f>IFERROR(__xludf.DUMMYFUNCTION("""COMPUTED_VALUE"""),1.0)</f>
        <v>1</v>
      </c>
      <c r="BW142" s="22">
        <f>IFERROR(__xludf.DUMMYFUNCTION("""COMPUTED_VALUE"""),1.0)</f>
        <v>1</v>
      </c>
      <c r="BX142" s="22">
        <f>IFERROR(__xludf.DUMMYFUNCTION("""COMPUTED_VALUE"""),0.0)</f>
        <v>0</v>
      </c>
      <c r="BY142" s="22">
        <f>IFERROR(__xludf.DUMMYFUNCTION("""COMPUTED_VALUE"""),0.0)</f>
        <v>0</v>
      </c>
      <c r="BZ142" s="22">
        <f>IFERROR(__xludf.DUMMYFUNCTION("""COMPUTED_VALUE"""),0.0)</f>
        <v>0</v>
      </c>
      <c r="CA142" s="22">
        <f>IFERROR(__xludf.DUMMYFUNCTION("""COMPUTED_VALUE"""),1.0)</f>
        <v>1</v>
      </c>
      <c r="CB142" s="22">
        <f>IFERROR(__xludf.DUMMYFUNCTION("""COMPUTED_VALUE"""),4.0)</f>
        <v>4</v>
      </c>
      <c r="CC142" s="61">
        <f>IFERROR(__xludf.DUMMYFUNCTION("""COMPUTED_VALUE"""),2.5)</f>
        <v>2.5</v>
      </c>
      <c r="CD142" s="62" t="str">
        <f>IFERROR(__xludf.DUMMYFUNCTION("""COMPUTED_VALUE"""),"subpar")</f>
        <v>subpar</v>
      </c>
      <c r="CE142" s="22" t="s">
        <v>475</v>
      </c>
      <c r="CF142" s="24">
        <v>10.0</v>
      </c>
      <c r="CG142" s="22" t="b">
        <v>0</v>
      </c>
      <c r="CH142" s="22" t="b">
        <v>1</v>
      </c>
      <c r="CI142" s="24">
        <v>10.0</v>
      </c>
      <c r="CJ142" s="22">
        <v>0.0</v>
      </c>
      <c r="CK142" s="22">
        <v>1.0</v>
      </c>
      <c r="CL142" s="22">
        <v>0.0</v>
      </c>
      <c r="CM142" s="22">
        <v>0.0</v>
      </c>
      <c r="CN142" s="22">
        <v>0.0</v>
      </c>
      <c r="CO142" s="22">
        <v>0.0</v>
      </c>
      <c r="CP142" s="22">
        <v>1.0</v>
      </c>
      <c r="CQ142" s="22">
        <v>0.0</v>
      </c>
      <c r="CR142" s="22">
        <v>2.0</v>
      </c>
      <c r="CS142" s="22">
        <v>1.0</v>
      </c>
      <c r="CT142" s="22">
        <v>1.0</v>
      </c>
      <c r="CU142" s="22">
        <v>0.0</v>
      </c>
      <c r="CV142" s="22">
        <v>0.0</v>
      </c>
      <c r="CW142" s="22">
        <v>0.0</v>
      </c>
      <c r="CX142" s="22">
        <v>1.0</v>
      </c>
      <c r="CY142" s="22">
        <v>4.0</v>
      </c>
      <c r="CZ142" s="61">
        <v>2.5</v>
      </c>
      <c r="DA142" s="62" t="s">
        <v>568</v>
      </c>
    </row>
    <row r="143">
      <c r="A143" s="16"/>
      <c r="B143" s="16" t="s">
        <v>312</v>
      </c>
      <c r="C143" s="17" t="s">
        <v>43</v>
      </c>
      <c r="D143" s="16" t="s">
        <v>9</v>
      </c>
      <c r="E143" s="17" t="b">
        <f t="shared" ref="E143:K143" si="716">If(IFERROR(SEARCH(E$1, $D143),0) &gt;= 1, true,false)</f>
        <v>0</v>
      </c>
      <c r="F143" s="17" t="b">
        <f t="shared" si="716"/>
        <v>0</v>
      </c>
      <c r="G143" s="17" t="b">
        <f t="shared" si="716"/>
        <v>0</v>
      </c>
      <c r="H143" s="17" t="b">
        <f t="shared" si="716"/>
        <v>0</v>
      </c>
      <c r="I143" s="17" t="b">
        <f t="shared" si="716"/>
        <v>0</v>
      </c>
      <c r="J143" s="17" t="b">
        <f t="shared" si="716"/>
        <v>1</v>
      </c>
      <c r="K143" s="17" t="b">
        <f t="shared" si="716"/>
        <v>0</v>
      </c>
      <c r="L143" s="18" t="b">
        <v>1</v>
      </c>
      <c r="M143" s="18" t="b">
        <v>1</v>
      </c>
      <c r="N143" s="18" t="b">
        <v>1</v>
      </c>
      <c r="O143" s="18" t="b">
        <v>1</v>
      </c>
      <c r="P143" s="16" t="str">
        <f t="shared" si="7"/>
        <v>Trinkhall museum</v>
      </c>
      <c r="Q143" s="19">
        <v>9.0</v>
      </c>
      <c r="R143" s="18" t="b">
        <v>0</v>
      </c>
      <c r="S143" s="38" t="b">
        <v>1</v>
      </c>
      <c r="T143" s="27">
        <v>9.0</v>
      </c>
      <c r="U143" s="21">
        <f t="shared" si="8"/>
        <v>0</v>
      </c>
      <c r="V143" s="21">
        <f t="shared" ref="V143:AB143" si="717">if(OR(AW143 = $AO$4, AW143 = $AQ$4), 1, 0)</f>
        <v>0</v>
      </c>
      <c r="W143" s="21">
        <f t="shared" si="717"/>
        <v>0</v>
      </c>
      <c r="X143" s="21">
        <f t="shared" si="717"/>
        <v>0</v>
      </c>
      <c r="Y143" s="21">
        <f t="shared" si="717"/>
        <v>0</v>
      </c>
      <c r="Z143" s="21">
        <f t="shared" si="717"/>
        <v>0</v>
      </c>
      <c r="AA143" s="21">
        <f t="shared" si="717"/>
        <v>1</v>
      </c>
      <c r="AB143" s="21">
        <f t="shared" si="717"/>
        <v>0</v>
      </c>
      <c r="AC143" s="21">
        <f t="shared" si="10"/>
        <v>1</v>
      </c>
      <c r="AD143" s="21">
        <f t="shared" si="11"/>
        <v>1</v>
      </c>
      <c r="AE143" s="21">
        <f t="shared" ref="AE143:AH143" si="718">if(OR(BD143 = $AO$6, BD143 = $AS$6, BD143 = $AT$6, BD143 = $AU$6), 1, 0)</f>
        <v>1</v>
      </c>
      <c r="AF143" s="21">
        <f t="shared" si="718"/>
        <v>1</v>
      </c>
      <c r="AG143" s="21">
        <f t="shared" si="718"/>
        <v>1</v>
      </c>
      <c r="AH143" s="21">
        <f t="shared" si="718"/>
        <v>1</v>
      </c>
      <c r="AI143" s="21">
        <f t="shared" si="13"/>
        <v>4</v>
      </c>
      <c r="AJ143" s="21">
        <f t="shared" si="14"/>
        <v>6</v>
      </c>
      <c r="AK143" s="59">
        <f t="shared" si="15"/>
        <v>3.75</v>
      </c>
      <c r="AL143" s="60" t="str">
        <f t="shared" si="16"/>
        <v>good</v>
      </c>
      <c r="AW143" s="22">
        <f t="shared" ref="AW143:BC143" si="719">IF(IFERROR(SEARCH(E$1, $D143),0) &gt;= 1, E$1,0)</f>
        <v>0</v>
      </c>
      <c r="AX143" s="22">
        <f t="shared" si="719"/>
        <v>0</v>
      </c>
      <c r="AY143" s="22">
        <f t="shared" si="719"/>
        <v>0</v>
      </c>
      <c r="AZ143" s="22">
        <f t="shared" si="719"/>
        <v>0</v>
      </c>
      <c r="BA143" s="22">
        <f t="shared" si="719"/>
        <v>0</v>
      </c>
      <c r="BB143" s="22" t="str">
        <f t="shared" si="719"/>
        <v>Beeldende kunst</v>
      </c>
      <c r="BC143" s="22">
        <f t="shared" si="719"/>
        <v>0</v>
      </c>
      <c r="BD143" s="22" t="str">
        <f t="shared" ref="BD143:BG143" si="720">IF(L143 = true, BD$1, 0)</f>
        <v>Shop</v>
      </c>
      <c r="BE143" s="22" t="str">
        <f t="shared" si="720"/>
        <v>Café</v>
      </c>
      <c r="BF143" s="22" t="str">
        <f t="shared" si="720"/>
        <v>Parking</v>
      </c>
      <c r="BG143" s="22" t="str">
        <f t="shared" si="720"/>
        <v>Restaurant</v>
      </c>
      <c r="BH143" s="22" t="str">
        <f>IFERROR(__xludf.DUMMYFUNCTION("""COMPUTED_VALUE"""),"Coudenbergpaleis")</f>
        <v>Coudenbergpaleis</v>
      </c>
      <c r="BI143" s="24">
        <f>IFERROR(__xludf.DUMMYFUNCTION("""COMPUTED_VALUE"""),10.0)</f>
        <v>10</v>
      </c>
      <c r="BJ143" s="22" t="b">
        <f>IFERROR(__xludf.DUMMYFUNCTION("""COMPUTED_VALUE"""),FALSE)</f>
        <v>0</v>
      </c>
      <c r="BK143" s="22" t="b">
        <f>IFERROR(__xludf.DUMMYFUNCTION("""COMPUTED_VALUE"""),FALSE)</f>
        <v>0</v>
      </c>
      <c r="BL143" s="22"/>
      <c r="BM143" s="22">
        <f>IFERROR(__xludf.DUMMYFUNCTION("""COMPUTED_VALUE"""),0.0)</f>
        <v>0</v>
      </c>
      <c r="BN143" s="22">
        <f>IFERROR(__xludf.DUMMYFUNCTION("""COMPUTED_VALUE"""),1.0)</f>
        <v>1</v>
      </c>
      <c r="BO143" s="22">
        <f>IFERROR(__xludf.DUMMYFUNCTION("""COMPUTED_VALUE"""),0.0)</f>
        <v>0</v>
      </c>
      <c r="BP143" s="22">
        <f>IFERROR(__xludf.DUMMYFUNCTION("""COMPUTED_VALUE"""),0.0)</f>
        <v>0</v>
      </c>
      <c r="BQ143" s="22">
        <f>IFERROR(__xludf.DUMMYFUNCTION("""COMPUTED_VALUE"""),0.0)</f>
        <v>0</v>
      </c>
      <c r="BR143" s="22">
        <f>IFERROR(__xludf.DUMMYFUNCTION("""COMPUTED_VALUE"""),0.0)</f>
        <v>0</v>
      </c>
      <c r="BS143" s="22">
        <f>IFERROR(__xludf.DUMMYFUNCTION("""COMPUTED_VALUE"""),0.0)</f>
        <v>0</v>
      </c>
      <c r="BT143" s="22">
        <f>IFERROR(__xludf.DUMMYFUNCTION("""COMPUTED_VALUE"""),0.0)</f>
        <v>0</v>
      </c>
      <c r="BU143" s="22">
        <f>IFERROR(__xludf.DUMMYFUNCTION("""COMPUTED_VALUE"""),1.0)</f>
        <v>1</v>
      </c>
      <c r="BV143" s="22">
        <f>IFERROR(__xludf.DUMMYFUNCTION("""COMPUTED_VALUE"""),1.0)</f>
        <v>1</v>
      </c>
      <c r="BW143" s="22">
        <f>IFERROR(__xludf.DUMMYFUNCTION("""COMPUTED_VALUE"""),1.0)</f>
        <v>1</v>
      </c>
      <c r="BX143" s="22">
        <f>IFERROR(__xludf.DUMMYFUNCTION("""COMPUTED_VALUE"""),0.0)</f>
        <v>0</v>
      </c>
      <c r="BY143" s="22">
        <f>IFERROR(__xludf.DUMMYFUNCTION("""COMPUTED_VALUE"""),0.0)</f>
        <v>0</v>
      </c>
      <c r="BZ143" s="22">
        <f>IFERROR(__xludf.DUMMYFUNCTION("""COMPUTED_VALUE"""),1.0)</f>
        <v>1</v>
      </c>
      <c r="CA143" s="22">
        <f>IFERROR(__xludf.DUMMYFUNCTION("""COMPUTED_VALUE"""),2.0)</f>
        <v>2</v>
      </c>
      <c r="CB143" s="22">
        <f>IFERROR(__xludf.DUMMYFUNCTION("""COMPUTED_VALUE"""),4.0)</f>
        <v>4</v>
      </c>
      <c r="CC143" s="61">
        <f>IFERROR(__xludf.DUMMYFUNCTION("""COMPUTED_VALUE"""),2.5)</f>
        <v>2.5</v>
      </c>
      <c r="CD143" s="62" t="str">
        <f>IFERROR(__xludf.DUMMYFUNCTION("""COMPUTED_VALUE"""),"subpar")</f>
        <v>subpar</v>
      </c>
      <c r="CE143" s="22" t="s">
        <v>490</v>
      </c>
      <c r="CF143" s="24">
        <v>10.0</v>
      </c>
      <c r="CG143" s="22" t="b">
        <v>0</v>
      </c>
      <c r="CH143" s="22" t="b">
        <v>0</v>
      </c>
      <c r="CI143" s="22"/>
      <c r="CJ143" s="22">
        <v>0.0</v>
      </c>
      <c r="CK143" s="22">
        <v>1.0</v>
      </c>
      <c r="CL143" s="22">
        <v>0.0</v>
      </c>
      <c r="CM143" s="22">
        <v>0.0</v>
      </c>
      <c r="CN143" s="22">
        <v>0.0</v>
      </c>
      <c r="CO143" s="22">
        <v>0.0</v>
      </c>
      <c r="CP143" s="22">
        <v>0.0</v>
      </c>
      <c r="CQ143" s="22">
        <v>0.0</v>
      </c>
      <c r="CR143" s="22">
        <v>1.0</v>
      </c>
      <c r="CS143" s="22">
        <v>1.0</v>
      </c>
      <c r="CT143" s="22">
        <v>1.0</v>
      </c>
      <c r="CU143" s="22">
        <v>0.0</v>
      </c>
      <c r="CV143" s="22">
        <v>0.0</v>
      </c>
      <c r="CW143" s="22">
        <v>1.0</v>
      </c>
      <c r="CX143" s="22">
        <v>2.0</v>
      </c>
      <c r="CY143" s="22">
        <v>4.0</v>
      </c>
      <c r="CZ143" s="61">
        <v>2.5</v>
      </c>
      <c r="DA143" s="62" t="s">
        <v>568</v>
      </c>
    </row>
    <row r="144">
      <c r="A144" s="16"/>
      <c r="B144" s="16" t="s">
        <v>313</v>
      </c>
      <c r="C144" s="17" t="s">
        <v>43</v>
      </c>
      <c r="D144" s="16" t="s">
        <v>5</v>
      </c>
      <c r="E144" s="17" t="b">
        <f t="shared" ref="E144:K144" si="721">If(IFERROR(SEARCH(E$1, $D144),0) &gt;= 1, true,false)</f>
        <v>0</v>
      </c>
      <c r="F144" s="17" t="b">
        <f t="shared" si="721"/>
        <v>1</v>
      </c>
      <c r="G144" s="17" t="b">
        <f t="shared" si="721"/>
        <v>0</v>
      </c>
      <c r="H144" s="17" t="b">
        <f t="shared" si="721"/>
        <v>0</v>
      </c>
      <c r="I144" s="17" t="b">
        <f t="shared" si="721"/>
        <v>0</v>
      </c>
      <c r="J144" s="17" t="b">
        <f t="shared" si="721"/>
        <v>0</v>
      </c>
      <c r="K144" s="17" t="b">
        <f t="shared" si="721"/>
        <v>0</v>
      </c>
      <c r="L144" s="18" t="b">
        <v>0</v>
      </c>
      <c r="M144" s="18" t="b">
        <v>1</v>
      </c>
      <c r="N144" s="18" t="b">
        <v>0</v>
      </c>
      <c r="O144" s="18" t="b">
        <v>1</v>
      </c>
      <c r="P144" s="16" t="str">
        <f t="shared" si="7"/>
        <v>WaterHouse</v>
      </c>
      <c r="Q144" s="19">
        <v>10.0</v>
      </c>
      <c r="R144" s="20" t="b">
        <v>1</v>
      </c>
      <c r="S144" s="18" t="b">
        <v>0</v>
      </c>
      <c r="T144" s="16"/>
      <c r="U144" s="21">
        <f t="shared" si="8"/>
        <v>0</v>
      </c>
      <c r="V144" s="21">
        <f t="shared" ref="V144:AB144" si="722">if(OR(AW144 = $AO$4, AW144 = $AQ$4), 1, 0)</f>
        <v>0</v>
      </c>
      <c r="W144" s="21">
        <f t="shared" si="722"/>
        <v>0</v>
      </c>
      <c r="X144" s="21">
        <f t="shared" si="722"/>
        <v>0</v>
      </c>
      <c r="Y144" s="21">
        <f t="shared" si="722"/>
        <v>0</v>
      </c>
      <c r="Z144" s="21">
        <f t="shared" si="722"/>
        <v>0</v>
      </c>
      <c r="AA144" s="21">
        <f t="shared" si="722"/>
        <v>0</v>
      </c>
      <c r="AB144" s="21">
        <f t="shared" si="722"/>
        <v>0</v>
      </c>
      <c r="AC144" s="21">
        <f t="shared" si="10"/>
        <v>0</v>
      </c>
      <c r="AD144" s="21">
        <f t="shared" si="11"/>
        <v>1</v>
      </c>
      <c r="AE144" s="21">
        <f t="shared" ref="AE144:AH144" si="723">if(OR(BD144 = $AO$6, BD144 = $AS$6, BD144 = $AT$6, BD144 = $AU$6), 1, 0)</f>
        <v>0</v>
      </c>
      <c r="AF144" s="21">
        <f t="shared" si="723"/>
        <v>1</v>
      </c>
      <c r="AG144" s="21">
        <f t="shared" si="723"/>
        <v>0</v>
      </c>
      <c r="AH144" s="21">
        <f t="shared" si="723"/>
        <v>1</v>
      </c>
      <c r="AI144" s="21">
        <f t="shared" si="13"/>
        <v>2</v>
      </c>
      <c r="AJ144" s="21">
        <f t="shared" si="14"/>
        <v>3</v>
      </c>
      <c r="AK144" s="59">
        <f t="shared" si="15"/>
        <v>1.875</v>
      </c>
      <c r="AL144" s="60" t="str">
        <f t="shared" si="16"/>
        <v>subpar</v>
      </c>
      <c r="AW144" s="22">
        <f t="shared" ref="AW144:BC144" si="724">IF(IFERROR(SEARCH(E$1, $D144),0) &gt;= 1, E$1,0)</f>
        <v>0</v>
      </c>
      <c r="AX144" s="22" t="str">
        <f t="shared" si="724"/>
        <v>Wetenschap en technologie</v>
      </c>
      <c r="AY144" s="22">
        <f t="shared" si="724"/>
        <v>0</v>
      </c>
      <c r="AZ144" s="22">
        <f t="shared" si="724"/>
        <v>0</v>
      </c>
      <c r="BA144" s="22">
        <f t="shared" si="724"/>
        <v>0</v>
      </c>
      <c r="BB144" s="22">
        <f t="shared" si="724"/>
        <v>0</v>
      </c>
      <c r="BC144" s="22">
        <f t="shared" si="724"/>
        <v>0</v>
      </c>
      <c r="BD144" s="22">
        <f t="shared" ref="BD144:BG144" si="725">IF(L144 = true, BD$1, 0)</f>
        <v>0</v>
      </c>
      <c r="BE144" s="22" t="str">
        <f t="shared" si="725"/>
        <v>Café</v>
      </c>
      <c r="BF144" s="22">
        <f t="shared" si="725"/>
        <v>0</v>
      </c>
      <c r="BG144" s="22" t="str">
        <f t="shared" si="725"/>
        <v>Restaurant</v>
      </c>
      <c r="BH144" s="22" t="str">
        <f>IFERROR(__xludf.DUMMYFUNCTION("""COMPUTED_VALUE"""),"Amsab-Instituut voor Sociale Geschiedenis")</f>
        <v>Amsab-Instituut voor Sociale Geschiedenis</v>
      </c>
      <c r="BI144" s="24">
        <f>IFERROR(__xludf.DUMMYFUNCTION("""COMPUTED_VALUE"""),0.0)</f>
        <v>0</v>
      </c>
      <c r="BJ144" s="22" t="b">
        <f>IFERROR(__xludf.DUMMYFUNCTION("""COMPUTED_VALUE"""),FALSE)</f>
        <v>0</v>
      </c>
      <c r="BK144" s="22" t="b">
        <f>IFERROR(__xludf.DUMMYFUNCTION("""COMPUTED_VALUE"""),TRUE)</f>
        <v>1</v>
      </c>
      <c r="BL144" s="24">
        <f>IFERROR(__xludf.DUMMYFUNCTION("""COMPUTED_VALUE"""),0.0)</f>
        <v>0</v>
      </c>
      <c r="BM144" s="22">
        <f>IFERROR(__xludf.DUMMYFUNCTION("""COMPUTED_VALUE"""),1.0)</f>
        <v>1</v>
      </c>
      <c r="BN144" s="22">
        <f>IFERROR(__xludf.DUMMYFUNCTION("""COMPUTED_VALUE"""),1.0)</f>
        <v>1</v>
      </c>
      <c r="BO144" s="22">
        <f>IFERROR(__xludf.DUMMYFUNCTION("""COMPUTED_VALUE"""),0.0)</f>
        <v>0</v>
      </c>
      <c r="BP144" s="22">
        <f>IFERROR(__xludf.DUMMYFUNCTION("""COMPUTED_VALUE"""),0.0)</f>
        <v>0</v>
      </c>
      <c r="BQ144" s="22">
        <f>IFERROR(__xludf.DUMMYFUNCTION("""COMPUTED_VALUE"""),0.0)</f>
        <v>0</v>
      </c>
      <c r="BR144" s="22">
        <f>IFERROR(__xludf.DUMMYFUNCTION("""COMPUTED_VALUE"""),0.0)</f>
        <v>0</v>
      </c>
      <c r="BS144" s="22">
        <f>IFERROR(__xludf.DUMMYFUNCTION("""COMPUTED_VALUE"""),0.0)</f>
        <v>0</v>
      </c>
      <c r="BT144" s="22">
        <f>IFERROR(__xludf.DUMMYFUNCTION("""COMPUTED_VALUE"""),0.0)</f>
        <v>0</v>
      </c>
      <c r="BU144" s="22">
        <f>IFERROR(__xludf.DUMMYFUNCTION("""COMPUTED_VALUE"""),1.0)</f>
        <v>1</v>
      </c>
      <c r="BV144" s="22">
        <f>IFERROR(__xludf.DUMMYFUNCTION("""COMPUTED_VALUE"""),1.0)</f>
        <v>1</v>
      </c>
      <c r="BW144" s="22">
        <f>IFERROR(__xludf.DUMMYFUNCTION("""COMPUTED_VALUE"""),1.0)</f>
        <v>1</v>
      </c>
      <c r="BX144" s="22">
        <f>IFERROR(__xludf.DUMMYFUNCTION("""COMPUTED_VALUE"""),0.0)</f>
        <v>0</v>
      </c>
      <c r="BY144" s="22">
        <f>IFERROR(__xludf.DUMMYFUNCTION("""COMPUTED_VALUE"""),0.0)</f>
        <v>0</v>
      </c>
      <c r="BZ144" s="22">
        <f>IFERROR(__xludf.DUMMYFUNCTION("""COMPUTED_VALUE"""),0.0)</f>
        <v>0</v>
      </c>
      <c r="CA144" s="22">
        <f>IFERROR(__xludf.DUMMYFUNCTION("""COMPUTED_VALUE"""),1.0)</f>
        <v>1</v>
      </c>
      <c r="CB144" s="22">
        <f>IFERROR(__xludf.DUMMYFUNCTION("""COMPUTED_VALUE"""),4.0)</f>
        <v>4</v>
      </c>
      <c r="CC144" s="61">
        <f>IFERROR(__xludf.DUMMYFUNCTION("""COMPUTED_VALUE"""),2.5)</f>
        <v>2.5</v>
      </c>
      <c r="CD144" s="62" t="str">
        <f>IFERROR(__xludf.DUMMYFUNCTION("""COMPUTED_VALUE"""),"subpar")</f>
        <v>subpar</v>
      </c>
      <c r="CE144" s="22" t="s">
        <v>500</v>
      </c>
      <c r="CF144" s="24">
        <v>0.0</v>
      </c>
      <c r="CG144" s="22" t="b">
        <v>0</v>
      </c>
      <c r="CH144" s="22" t="b">
        <v>1</v>
      </c>
      <c r="CI144" s="24">
        <v>0.0</v>
      </c>
      <c r="CJ144" s="22">
        <v>1.0</v>
      </c>
      <c r="CK144" s="22">
        <v>1.0</v>
      </c>
      <c r="CL144" s="22">
        <v>0.0</v>
      </c>
      <c r="CM144" s="22">
        <v>0.0</v>
      </c>
      <c r="CN144" s="22">
        <v>0.0</v>
      </c>
      <c r="CO144" s="22">
        <v>0.0</v>
      </c>
      <c r="CP144" s="22">
        <v>0.0</v>
      </c>
      <c r="CQ144" s="22">
        <v>0.0</v>
      </c>
      <c r="CR144" s="22">
        <v>1.0</v>
      </c>
      <c r="CS144" s="22">
        <v>1.0</v>
      </c>
      <c r="CT144" s="22">
        <v>1.0</v>
      </c>
      <c r="CU144" s="22">
        <v>0.0</v>
      </c>
      <c r="CV144" s="22">
        <v>0.0</v>
      </c>
      <c r="CW144" s="22">
        <v>0.0</v>
      </c>
      <c r="CX144" s="22">
        <v>1.0</v>
      </c>
      <c r="CY144" s="22">
        <v>4.0</v>
      </c>
      <c r="CZ144" s="61">
        <v>2.5</v>
      </c>
      <c r="DA144" s="62" t="s">
        <v>568</v>
      </c>
    </row>
    <row r="145">
      <c r="A145" s="36" t="s">
        <v>314</v>
      </c>
      <c r="B145" s="16" t="s">
        <v>315</v>
      </c>
      <c r="C145" s="39" t="s">
        <v>45</v>
      </c>
      <c r="D145" s="16" t="s">
        <v>316</v>
      </c>
      <c r="E145" s="17" t="b">
        <f t="shared" ref="E145:K145" si="726">If(IFERROR(SEARCH(E$1, $D145),0) &gt;= 1, true,false)</f>
        <v>1</v>
      </c>
      <c r="F145" s="17" t="b">
        <f t="shared" si="726"/>
        <v>1</v>
      </c>
      <c r="G145" s="17" t="b">
        <f t="shared" si="726"/>
        <v>0</v>
      </c>
      <c r="H145" s="17" t="b">
        <f t="shared" si="726"/>
        <v>0</v>
      </c>
      <c r="I145" s="17" t="b">
        <f t="shared" si="726"/>
        <v>1</v>
      </c>
      <c r="J145" s="17" t="b">
        <f t="shared" si="726"/>
        <v>1</v>
      </c>
      <c r="K145" s="17" t="b">
        <f t="shared" si="726"/>
        <v>0</v>
      </c>
      <c r="L145" s="18" t="b">
        <v>1</v>
      </c>
      <c r="M145" s="18" t="b">
        <v>0</v>
      </c>
      <c r="N145" s="18" t="b">
        <v>0</v>
      </c>
      <c r="O145" s="18" t="b">
        <v>0</v>
      </c>
      <c r="P145" s="16" t="str">
        <f t="shared" si="7"/>
        <v>Artotheek </v>
      </c>
      <c r="Q145" s="19">
        <v>6.0</v>
      </c>
      <c r="R145" s="20" t="b">
        <v>0</v>
      </c>
      <c r="S145" s="18" t="b">
        <v>0</v>
      </c>
      <c r="T145" s="16"/>
      <c r="U145" s="21">
        <f t="shared" si="8"/>
        <v>0</v>
      </c>
      <c r="V145" s="21">
        <f t="shared" ref="V145:AB145" si="727">if(OR(AW145 = $AO$4, AW145 = $AQ$4), 1, 0)</f>
        <v>1</v>
      </c>
      <c r="W145" s="21">
        <f t="shared" si="727"/>
        <v>0</v>
      </c>
      <c r="X145" s="21">
        <f t="shared" si="727"/>
        <v>0</v>
      </c>
      <c r="Y145" s="21">
        <f t="shared" si="727"/>
        <v>0</v>
      </c>
      <c r="Z145" s="21">
        <f t="shared" si="727"/>
        <v>0</v>
      </c>
      <c r="AA145" s="21">
        <f t="shared" si="727"/>
        <v>1</v>
      </c>
      <c r="AB145" s="21">
        <f t="shared" si="727"/>
        <v>0</v>
      </c>
      <c r="AC145" s="21">
        <f t="shared" si="10"/>
        <v>2</v>
      </c>
      <c r="AD145" s="21">
        <f t="shared" si="11"/>
        <v>1</v>
      </c>
      <c r="AE145" s="21">
        <f t="shared" ref="AE145:AH145" si="728">if(OR(BD145 = $AO$6, BD145 = $AS$6, BD145 = $AT$6, BD145 = $AU$6), 1, 0)</f>
        <v>1</v>
      </c>
      <c r="AF145" s="21">
        <f t="shared" si="728"/>
        <v>0</v>
      </c>
      <c r="AG145" s="21">
        <f t="shared" si="728"/>
        <v>0</v>
      </c>
      <c r="AH145" s="21">
        <f t="shared" si="728"/>
        <v>0</v>
      </c>
      <c r="AI145" s="21">
        <f t="shared" si="13"/>
        <v>1</v>
      </c>
      <c r="AJ145" s="21">
        <f t="shared" si="14"/>
        <v>4</v>
      </c>
      <c r="AK145" s="59">
        <f t="shared" si="15"/>
        <v>2.5</v>
      </c>
      <c r="AL145" s="60" t="str">
        <f t="shared" si="16"/>
        <v>subpar</v>
      </c>
      <c r="AW145" s="22" t="str">
        <f t="shared" ref="AW145:BC145" si="729">IF(IFERROR(SEARCH(E$1, $D145),0) &gt;= 1, E$1,0)</f>
        <v>Geschiedenis en archeologie</v>
      </c>
      <c r="AX145" s="22" t="str">
        <f t="shared" si="729"/>
        <v>Wetenschap en technologie</v>
      </c>
      <c r="AY145" s="22">
        <f t="shared" si="729"/>
        <v>0</v>
      </c>
      <c r="AZ145" s="22">
        <f t="shared" si="729"/>
        <v>0</v>
      </c>
      <c r="BA145" s="22" t="str">
        <f t="shared" si="729"/>
        <v>Architectuur</v>
      </c>
      <c r="BB145" s="22" t="str">
        <f t="shared" si="729"/>
        <v>Beeldende kunst</v>
      </c>
      <c r="BC145" s="22">
        <f t="shared" si="729"/>
        <v>0</v>
      </c>
      <c r="BD145" s="22" t="str">
        <f t="shared" ref="BD145:BG145" si="730">IF(L145 = true, BD$1, 0)</f>
        <v>Shop</v>
      </c>
      <c r="BE145" s="22">
        <f t="shared" si="730"/>
        <v>0</v>
      </c>
      <c r="BF145" s="22">
        <f t="shared" si="730"/>
        <v>0</v>
      </c>
      <c r="BG145" s="22">
        <f t="shared" si="730"/>
        <v>0</v>
      </c>
      <c r="BH145" s="22" t="str">
        <f>IFERROR(__xludf.DUMMYFUNCTION("""COMPUTED_VALUE"""),"MOU | Museum Oudenaarde")</f>
        <v>MOU | Museum Oudenaarde</v>
      </c>
      <c r="BI145" s="24">
        <f>IFERROR(__xludf.DUMMYFUNCTION("""COMPUTED_VALUE"""),10.0)</f>
        <v>10</v>
      </c>
      <c r="BJ145" s="22" t="b">
        <f>IFERROR(__xludf.DUMMYFUNCTION("""COMPUTED_VALUE"""),FALSE)</f>
        <v>0</v>
      </c>
      <c r="BK145" s="22" t="b">
        <f>IFERROR(__xludf.DUMMYFUNCTION("""COMPUTED_VALUE"""),FALSE)</f>
        <v>0</v>
      </c>
      <c r="BL145" s="22"/>
      <c r="BM145" s="22">
        <f>IFERROR(__xludf.DUMMYFUNCTION("""COMPUTED_VALUE"""),1.0)</f>
        <v>1</v>
      </c>
      <c r="BN145" s="22">
        <f>IFERROR(__xludf.DUMMYFUNCTION("""COMPUTED_VALUE"""),1.0)</f>
        <v>1</v>
      </c>
      <c r="BO145" s="22">
        <f>IFERROR(__xludf.DUMMYFUNCTION("""COMPUTED_VALUE"""),0.0)</f>
        <v>0</v>
      </c>
      <c r="BP145" s="22">
        <f>IFERROR(__xludf.DUMMYFUNCTION("""COMPUTED_VALUE"""),0.0)</f>
        <v>0</v>
      </c>
      <c r="BQ145" s="22">
        <f>IFERROR(__xludf.DUMMYFUNCTION("""COMPUTED_VALUE"""),0.0)</f>
        <v>0</v>
      </c>
      <c r="BR145" s="22">
        <f>IFERROR(__xludf.DUMMYFUNCTION("""COMPUTED_VALUE"""),0.0)</f>
        <v>0</v>
      </c>
      <c r="BS145" s="22">
        <f>IFERROR(__xludf.DUMMYFUNCTION("""COMPUTED_VALUE"""),0.0)</f>
        <v>0</v>
      </c>
      <c r="BT145" s="22">
        <f>IFERROR(__xludf.DUMMYFUNCTION("""COMPUTED_VALUE"""),0.0)</f>
        <v>0</v>
      </c>
      <c r="BU145" s="22">
        <f>IFERROR(__xludf.DUMMYFUNCTION("""COMPUTED_VALUE"""),1.0)</f>
        <v>1</v>
      </c>
      <c r="BV145" s="22">
        <f>IFERROR(__xludf.DUMMYFUNCTION("""COMPUTED_VALUE"""),1.0)</f>
        <v>1</v>
      </c>
      <c r="BW145" s="22">
        <f>IFERROR(__xludf.DUMMYFUNCTION("""COMPUTED_VALUE"""),1.0)</f>
        <v>1</v>
      </c>
      <c r="BX145" s="22">
        <f>IFERROR(__xludf.DUMMYFUNCTION("""COMPUTED_VALUE"""),0.0)</f>
        <v>0</v>
      </c>
      <c r="BY145" s="22">
        <f>IFERROR(__xludf.DUMMYFUNCTION("""COMPUTED_VALUE"""),0.0)</f>
        <v>0</v>
      </c>
      <c r="BZ145" s="22">
        <f>IFERROR(__xludf.DUMMYFUNCTION("""COMPUTED_VALUE"""),0.0)</f>
        <v>0</v>
      </c>
      <c r="CA145" s="22">
        <f>IFERROR(__xludf.DUMMYFUNCTION("""COMPUTED_VALUE"""),1.0)</f>
        <v>1</v>
      </c>
      <c r="CB145" s="22">
        <f>IFERROR(__xludf.DUMMYFUNCTION("""COMPUTED_VALUE"""),4.0)</f>
        <v>4</v>
      </c>
      <c r="CC145" s="61">
        <f>IFERROR(__xludf.DUMMYFUNCTION("""COMPUTED_VALUE"""),2.5)</f>
        <v>2.5</v>
      </c>
      <c r="CD145" s="62" t="str">
        <f>IFERROR(__xludf.DUMMYFUNCTION("""COMPUTED_VALUE"""),"subpar")</f>
        <v>subpar</v>
      </c>
      <c r="CE145" s="22" t="s">
        <v>515</v>
      </c>
      <c r="CF145" s="24">
        <v>10.0</v>
      </c>
      <c r="CG145" s="22" t="b">
        <v>0</v>
      </c>
      <c r="CH145" s="22" t="b">
        <v>0</v>
      </c>
      <c r="CI145" s="22"/>
      <c r="CJ145" s="22">
        <v>1.0</v>
      </c>
      <c r="CK145" s="22">
        <v>1.0</v>
      </c>
      <c r="CL145" s="22">
        <v>0.0</v>
      </c>
      <c r="CM145" s="22">
        <v>0.0</v>
      </c>
      <c r="CN145" s="22">
        <v>0.0</v>
      </c>
      <c r="CO145" s="22">
        <v>0.0</v>
      </c>
      <c r="CP145" s="22">
        <v>0.0</v>
      </c>
      <c r="CQ145" s="22">
        <v>0.0</v>
      </c>
      <c r="CR145" s="22">
        <v>1.0</v>
      </c>
      <c r="CS145" s="22">
        <v>1.0</v>
      </c>
      <c r="CT145" s="22">
        <v>1.0</v>
      </c>
      <c r="CU145" s="22">
        <v>0.0</v>
      </c>
      <c r="CV145" s="22">
        <v>0.0</v>
      </c>
      <c r="CW145" s="22">
        <v>0.0</v>
      </c>
      <c r="CX145" s="22">
        <v>1.0</v>
      </c>
      <c r="CY145" s="22">
        <v>4.0</v>
      </c>
      <c r="CZ145" s="61">
        <v>2.5</v>
      </c>
      <c r="DA145" s="62" t="s">
        <v>568</v>
      </c>
    </row>
    <row r="146">
      <c r="A146" s="16" t="s">
        <v>317</v>
      </c>
      <c r="B146" s="16" t="s">
        <v>318</v>
      </c>
      <c r="C146" s="39" t="s">
        <v>45</v>
      </c>
      <c r="D146" s="16" t="s">
        <v>319</v>
      </c>
      <c r="E146" s="17" t="b">
        <f t="shared" ref="E146:K146" si="731">If(IFERROR(SEARCH(E$1, $D146),0) &gt;= 1, true,false)</f>
        <v>1</v>
      </c>
      <c r="F146" s="17" t="b">
        <f t="shared" si="731"/>
        <v>0</v>
      </c>
      <c r="G146" s="17" t="b">
        <f t="shared" si="731"/>
        <v>0</v>
      </c>
      <c r="H146" s="17" t="b">
        <f t="shared" si="731"/>
        <v>0</v>
      </c>
      <c r="I146" s="17" t="b">
        <f t="shared" si="731"/>
        <v>1</v>
      </c>
      <c r="J146" s="17" t="b">
        <f t="shared" si="731"/>
        <v>0</v>
      </c>
      <c r="K146" s="17" t="b">
        <f t="shared" si="731"/>
        <v>0</v>
      </c>
      <c r="L146" s="18" t="b">
        <v>1</v>
      </c>
      <c r="M146" s="18" t="b">
        <v>0</v>
      </c>
      <c r="N146" s="18" t="b">
        <v>0</v>
      </c>
      <c r="O146" s="18" t="b">
        <v>0</v>
      </c>
      <c r="P146" s="16" t="str">
        <f t="shared" si="7"/>
        <v>Belfort van Bergen</v>
      </c>
      <c r="Q146" s="19">
        <v>9.0</v>
      </c>
      <c r="R146" s="18" t="b">
        <v>0</v>
      </c>
      <c r="S146" s="18" t="b">
        <v>1</v>
      </c>
      <c r="T146" s="29">
        <v>9.0</v>
      </c>
      <c r="U146" s="21">
        <f t="shared" si="8"/>
        <v>0</v>
      </c>
      <c r="V146" s="21">
        <f t="shared" ref="V146:AB146" si="732">if(OR(AW146 = $AO$4, AW146 = $AQ$4), 1, 0)</f>
        <v>1</v>
      </c>
      <c r="W146" s="21">
        <f t="shared" si="732"/>
        <v>0</v>
      </c>
      <c r="X146" s="21">
        <f t="shared" si="732"/>
        <v>0</v>
      </c>
      <c r="Y146" s="21">
        <f t="shared" si="732"/>
        <v>0</v>
      </c>
      <c r="Z146" s="21">
        <f t="shared" si="732"/>
        <v>0</v>
      </c>
      <c r="AA146" s="21">
        <f t="shared" si="732"/>
        <v>0</v>
      </c>
      <c r="AB146" s="21">
        <f t="shared" si="732"/>
        <v>0</v>
      </c>
      <c r="AC146" s="21">
        <f t="shared" si="10"/>
        <v>1</v>
      </c>
      <c r="AD146" s="21">
        <f t="shared" si="11"/>
        <v>1</v>
      </c>
      <c r="AE146" s="21">
        <f t="shared" ref="AE146:AH146" si="733">if(OR(BD146 = $AO$6, BD146 = $AS$6, BD146 = $AT$6, BD146 = $AU$6), 1, 0)</f>
        <v>1</v>
      </c>
      <c r="AF146" s="21">
        <f t="shared" si="733"/>
        <v>0</v>
      </c>
      <c r="AG146" s="21">
        <f t="shared" si="733"/>
        <v>0</v>
      </c>
      <c r="AH146" s="21">
        <f t="shared" si="733"/>
        <v>0</v>
      </c>
      <c r="AI146" s="21">
        <f t="shared" si="13"/>
        <v>1</v>
      </c>
      <c r="AJ146" s="21">
        <f t="shared" si="14"/>
        <v>3</v>
      </c>
      <c r="AK146" s="59">
        <f t="shared" si="15"/>
        <v>1.875</v>
      </c>
      <c r="AL146" s="60" t="str">
        <f t="shared" si="16"/>
        <v>subpar</v>
      </c>
      <c r="AW146" s="22" t="str">
        <f t="shared" ref="AW146:BC146" si="734">IF(IFERROR(SEARCH(E$1, $D146),0) &gt;= 1, E$1,0)</f>
        <v>Geschiedenis en archeologie</v>
      </c>
      <c r="AX146" s="22">
        <f t="shared" si="734"/>
        <v>0</v>
      </c>
      <c r="AY146" s="22">
        <f t="shared" si="734"/>
        <v>0</v>
      </c>
      <c r="AZ146" s="22">
        <f t="shared" si="734"/>
        <v>0</v>
      </c>
      <c r="BA146" s="22" t="str">
        <f t="shared" si="734"/>
        <v>Architectuur</v>
      </c>
      <c r="BB146" s="22">
        <f t="shared" si="734"/>
        <v>0</v>
      </c>
      <c r="BC146" s="22">
        <f t="shared" si="734"/>
        <v>0</v>
      </c>
      <c r="BD146" s="22" t="str">
        <f t="shared" ref="BD146:BG146" si="735">IF(L146 = true, BD$1, 0)</f>
        <v>Shop</v>
      </c>
      <c r="BE146" s="22">
        <f t="shared" si="735"/>
        <v>0</v>
      </c>
      <c r="BF146" s="22">
        <f t="shared" si="735"/>
        <v>0</v>
      </c>
      <c r="BG146" s="22">
        <f t="shared" si="735"/>
        <v>0</v>
      </c>
      <c r="BH146" s="22" t="str">
        <f>IFERROR(__xludf.DUMMYFUNCTION("""COMPUTED_VALUE"""),"Museum Dhondt-Dhaenens")</f>
        <v>Museum Dhondt-Dhaenens</v>
      </c>
      <c r="BI146" s="24">
        <f>IFERROR(__xludf.DUMMYFUNCTION("""COMPUTED_VALUE"""),12.0)</f>
        <v>12</v>
      </c>
      <c r="BJ146" s="22" t="b">
        <f>IFERROR(__xludf.DUMMYFUNCTION("""COMPUTED_VALUE"""),FALSE)</f>
        <v>0</v>
      </c>
      <c r="BK146" s="22" t="b">
        <f>IFERROR(__xludf.DUMMYFUNCTION("""COMPUTED_VALUE"""),FALSE)</f>
        <v>0</v>
      </c>
      <c r="BL146" s="22"/>
      <c r="BM146" s="22">
        <f>IFERROR(__xludf.DUMMYFUNCTION("""COMPUTED_VALUE"""),1.0)</f>
        <v>1</v>
      </c>
      <c r="BN146" s="22">
        <f>IFERROR(__xludf.DUMMYFUNCTION("""COMPUTED_VALUE"""),0.0)</f>
        <v>0</v>
      </c>
      <c r="BO146" s="22">
        <f>IFERROR(__xludf.DUMMYFUNCTION("""COMPUTED_VALUE"""),0.0)</f>
        <v>0</v>
      </c>
      <c r="BP146" s="22">
        <f>IFERROR(__xludf.DUMMYFUNCTION("""COMPUTED_VALUE"""),0.0)</f>
        <v>0</v>
      </c>
      <c r="BQ146" s="22">
        <f>IFERROR(__xludf.DUMMYFUNCTION("""COMPUTED_VALUE"""),0.0)</f>
        <v>0</v>
      </c>
      <c r="BR146" s="22">
        <f>IFERROR(__xludf.DUMMYFUNCTION("""COMPUTED_VALUE"""),0.0)</f>
        <v>0</v>
      </c>
      <c r="BS146" s="22">
        <f>IFERROR(__xludf.DUMMYFUNCTION("""COMPUTED_VALUE"""),1.0)</f>
        <v>1</v>
      </c>
      <c r="BT146" s="22">
        <f>IFERROR(__xludf.DUMMYFUNCTION("""COMPUTED_VALUE"""),0.0)</f>
        <v>0</v>
      </c>
      <c r="BU146" s="22">
        <f>IFERROR(__xludf.DUMMYFUNCTION("""COMPUTED_VALUE"""),1.0)</f>
        <v>1</v>
      </c>
      <c r="BV146" s="22">
        <f>IFERROR(__xludf.DUMMYFUNCTION("""COMPUTED_VALUE"""),0.0)</f>
        <v>0</v>
      </c>
      <c r="BW146" s="22">
        <f>IFERROR(__xludf.DUMMYFUNCTION("""COMPUTED_VALUE"""),1.0)</f>
        <v>1</v>
      </c>
      <c r="BX146" s="22">
        <f>IFERROR(__xludf.DUMMYFUNCTION("""COMPUTED_VALUE"""),0.0)</f>
        <v>0</v>
      </c>
      <c r="BY146" s="22">
        <f>IFERROR(__xludf.DUMMYFUNCTION("""COMPUTED_VALUE"""),1.0)</f>
        <v>1</v>
      </c>
      <c r="BZ146" s="22">
        <f>IFERROR(__xludf.DUMMYFUNCTION("""COMPUTED_VALUE"""),0.0)</f>
        <v>0</v>
      </c>
      <c r="CA146" s="22">
        <f>IFERROR(__xludf.DUMMYFUNCTION("""COMPUTED_VALUE"""),2.0)</f>
        <v>2</v>
      </c>
      <c r="CB146" s="22">
        <f>IFERROR(__xludf.DUMMYFUNCTION("""COMPUTED_VALUE"""),4.0)</f>
        <v>4</v>
      </c>
      <c r="CC146" s="61">
        <f>IFERROR(__xludf.DUMMYFUNCTION("""COMPUTED_VALUE"""),2.5)</f>
        <v>2.5</v>
      </c>
      <c r="CD146" s="62" t="str">
        <f>IFERROR(__xludf.DUMMYFUNCTION("""COMPUTED_VALUE"""),"subpar")</f>
        <v>subpar</v>
      </c>
      <c r="CE146" s="22" t="s">
        <v>521</v>
      </c>
      <c r="CF146" s="24">
        <v>12.0</v>
      </c>
      <c r="CG146" s="22" t="b">
        <v>0</v>
      </c>
      <c r="CH146" s="22" t="b">
        <v>0</v>
      </c>
      <c r="CI146" s="22"/>
      <c r="CJ146" s="22">
        <v>1.0</v>
      </c>
      <c r="CK146" s="22">
        <v>0.0</v>
      </c>
      <c r="CL146" s="22">
        <v>0.0</v>
      </c>
      <c r="CM146" s="22">
        <v>0.0</v>
      </c>
      <c r="CN146" s="22">
        <v>0.0</v>
      </c>
      <c r="CO146" s="22">
        <v>0.0</v>
      </c>
      <c r="CP146" s="22">
        <v>1.0</v>
      </c>
      <c r="CQ146" s="22">
        <v>0.0</v>
      </c>
      <c r="CR146" s="22">
        <v>1.0</v>
      </c>
      <c r="CS146" s="22">
        <v>0.0</v>
      </c>
      <c r="CT146" s="22">
        <v>1.0</v>
      </c>
      <c r="CU146" s="22">
        <v>0.0</v>
      </c>
      <c r="CV146" s="22">
        <v>1.0</v>
      </c>
      <c r="CW146" s="22">
        <v>0.0</v>
      </c>
      <c r="CX146" s="22">
        <v>2.0</v>
      </c>
      <c r="CY146" s="22">
        <v>4.0</v>
      </c>
      <c r="CZ146" s="61">
        <v>2.5</v>
      </c>
      <c r="DA146" s="62" t="s">
        <v>568</v>
      </c>
    </row>
    <row r="147">
      <c r="A147" s="16" t="s">
        <v>320</v>
      </c>
      <c r="B147" s="16" t="s">
        <v>321</v>
      </c>
      <c r="C147" s="39" t="s">
        <v>45</v>
      </c>
      <c r="D147" s="16" t="s">
        <v>322</v>
      </c>
      <c r="E147" s="17" t="b">
        <f t="shared" ref="E147:K147" si="736">If(IFERROR(SEARCH(E$1, $D147),0) &gt;= 1, true,false)</f>
        <v>1</v>
      </c>
      <c r="F147" s="17" t="b">
        <f t="shared" si="736"/>
        <v>1</v>
      </c>
      <c r="G147" s="17" t="b">
        <f t="shared" si="736"/>
        <v>0</v>
      </c>
      <c r="H147" s="17" t="b">
        <f t="shared" si="736"/>
        <v>0</v>
      </c>
      <c r="I147" s="17" t="b">
        <f t="shared" si="736"/>
        <v>1</v>
      </c>
      <c r="J147" s="17" t="b">
        <f t="shared" si="736"/>
        <v>0</v>
      </c>
      <c r="K147" s="17" t="b">
        <f t="shared" si="736"/>
        <v>0</v>
      </c>
      <c r="L147" s="18" t="b">
        <v>1</v>
      </c>
      <c r="M147" s="18" t="b">
        <v>1</v>
      </c>
      <c r="N147" s="18" t="b">
        <v>0</v>
      </c>
      <c r="O147" s="18" t="b">
        <v>1</v>
      </c>
      <c r="P147" s="16" t="str">
        <f t="shared" si="7"/>
        <v>Museum van Mijnbouw en Duurzame Ontwikkeling</v>
      </c>
      <c r="Q147" s="19">
        <v>9.0</v>
      </c>
      <c r="R147" s="18" t="b">
        <v>0</v>
      </c>
      <c r="S147" s="18" t="b">
        <v>1</v>
      </c>
      <c r="T147" s="30">
        <v>9.0</v>
      </c>
      <c r="U147" s="21">
        <f t="shared" si="8"/>
        <v>0</v>
      </c>
      <c r="V147" s="21">
        <f t="shared" ref="V147:AB147" si="737">if(OR(AW147 = $AO$4, AW147 = $AQ$4), 1, 0)</f>
        <v>1</v>
      </c>
      <c r="W147" s="21">
        <f t="shared" si="737"/>
        <v>0</v>
      </c>
      <c r="X147" s="21">
        <f t="shared" si="737"/>
        <v>0</v>
      </c>
      <c r="Y147" s="21">
        <f t="shared" si="737"/>
        <v>0</v>
      </c>
      <c r="Z147" s="21">
        <f t="shared" si="737"/>
        <v>0</v>
      </c>
      <c r="AA147" s="21">
        <f t="shared" si="737"/>
        <v>0</v>
      </c>
      <c r="AB147" s="21">
        <f t="shared" si="737"/>
        <v>0</v>
      </c>
      <c r="AC147" s="21">
        <f t="shared" si="10"/>
        <v>1</v>
      </c>
      <c r="AD147" s="21">
        <f t="shared" si="11"/>
        <v>1</v>
      </c>
      <c r="AE147" s="21">
        <f t="shared" ref="AE147:AH147" si="738">if(OR(BD147 = $AO$6, BD147 = $AS$6, BD147 = $AT$6, BD147 = $AU$6), 1, 0)</f>
        <v>1</v>
      </c>
      <c r="AF147" s="21">
        <f t="shared" si="738"/>
        <v>1</v>
      </c>
      <c r="AG147" s="21">
        <f t="shared" si="738"/>
        <v>0</v>
      </c>
      <c r="AH147" s="21">
        <f t="shared" si="738"/>
        <v>1</v>
      </c>
      <c r="AI147" s="21">
        <f t="shared" si="13"/>
        <v>3</v>
      </c>
      <c r="AJ147" s="21">
        <f t="shared" si="14"/>
        <v>5</v>
      </c>
      <c r="AK147" s="59">
        <f t="shared" si="15"/>
        <v>3.125</v>
      </c>
      <c r="AL147" s="60" t="str">
        <f t="shared" si="16"/>
        <v>good</v>
      </c>
      <c r="AW147" s="22" t="str">
        <f t="shared" ref="AW147:BC147" si="739">IF(IFERROR(SEARCH(E$1, $D147),0) &gt;= 1, E$1,0)</f>
        <v>Geschiedenis en archeologie</v>
      </c>
      <c r="AX147" s="22" t="str">
        <f t="shared" si="739"/>
        <v>Wetenschap en technologie</v>
      </c>
      <c r="AY147" s="22">
        <f t="shared" si="739"/>
        <v>0</v>
      </c>
      <c r="AZ147" s="22">
        <f t="shared" si="739"/>
        <v>0</v>
      </c>
      <c r="BA147" s="22" t="str">
        <f t="shared" si="739"/>
        <v>Architectuur</v>
      </c>
      <c r="BB147" s="22">
        <f t="shared" si="739"/>
        <v>0</v>
      </c>
      <c r="BC147" s="22">
        <f t="shared" si="739"/>
        <v>0</v>
      </c>
      <c r="BD147" s="22" t="str">
        <f t="shared" ref="BD147:BG147" si="740">IF(L147 = true, BD$1, 0)</f>
        <v>Shop</v>
      </c>
      <c r="BE147" s="22" t="str">
        <f t="shared" si="740"/>
        <v>Café</v>
      </c>
      <c r="BF147" s="22">
        <f t="shared" si="740"/>
        <v>0</v>
      </c>
      <c r="BG147" s="22" t="str">
        <f t="shared" si="740"/>
        <v>Restaurant</v>
      </c>
      <c r="BH147" s="22" t="str">
        <f>IFERROR(__xludf.DUMMYFUNCTION("""COMPUTED_VALUE"""),"Gemeentelijk museum Gevaert-Minne")</f>
        <v>Gemeentelijk museum Gevaert-Minne</v>
      </c>
      <c r="BI147" s="24">
        <f>IFERROR(__xludf.DUMMYFUNCTION("""COMPUTED_VALUE"""),5.0)</f>
        <v>5</v>
      </c>
      <c r="BJ147" s="22" t="b">
        <f>IFERROR(__xludf.DUMMYFUNCTION("""COMPUTED_VALUE"""),FALSE)</f>
        <v>0</v>
      </c>
      <c r="BK147" s="22" t="b">
        <f>IFERROR(__xludf.DUMMYFUNCTION("""COMPUTED_VALUE"""),TRUE)</f>
        <v>1</v>
      </c>
      <c r="BL147" s="24">
        <f>IFERROR(__xludf.DUMMYFUNCTION("""COMPUTED_VALUE"""),5.0)</f>
        <v>5</v>
      </c>
      <c r="BM147" s="22">
        <f>IFERROR(__xludf.DUMMYFUNCTION("""COMPUTED_VALUE"""),1.0)</f>
        <v>1</v>
      </c>
      <c r="BN147" s="22">
        <f>IFERROR(__xludf.DUMMYFUNCTION("""COMPUTED_VALUE"""),0.0)</f>
        <v>0</v>
      </c>
      <c r="BO147" s="22">
        <f>IFERROR(__xludf.DUMMYFUNCTION("""COMPUTED_VALUE"""),0.0)</f>
        <v>0</v>
      </c>
      <c r="BP147" s="22">
        <f>IFERROR(__xludf.DUMMYFUNCTION("""COMPUTED_VALUE"""),0.0)</f>
        <v>0</v>
      </c>
      <c r="BQ147" s="22">
        <f>IFERROR(__xludf.DUMMYFUNCTION("""COMPUTED_VALUE"""),0.0)</f>
        <v>0</v>
      </c>
      <c r="BR147" s="22">
        <f>IFERROR(__xludf.DUMMYFUNCTION("""COMPUTED_VALUE"""),0.0)</f>
        <v>0</v>
      </c>
      <c r="BS147" s="22">
        <f>IFERROR(__xludf.DUMMYFUNCTION("""COMPUTED_VALUE"""),1.0)</f>
        <v>1</v>
      </c>
      <c r="BT147" s="22">
        <f>IFERROR(__xludf.DUMMYFUNCTION("""COMPUTED_VALUE"""),0.0)</f>
        <v>0</v>
      </c>
      <c r="BU147" s="22">
        <f>IFERROR(__xludf.DUMMYFUNCTION("""COMPUTED_VALUE"""),1.0)</f>
        <v>1</v>
      </c>
      <c r="BV147" s="22">
        <f>IFERROR(__xludf.DUMMYFUNCTION("""COMPUTED_VALUE"""),1.0)</f>
        <v>1</v>
      </c>
      <c r="BW147" s="22">
        <f>IFERROR(__xludf.DUMMYFUNCTION("""COMPUTED_VALUE"""),1.0)</f>
        <v>1</v>
      </c>
      <c r="BX147" s="22">
        <f>IFERROR(__xludf.DUMMYFUNCTION("""COMPUTED_VALUE"""),0.0)</f>
        <v>0</v>
      </c>
      <c r="BY147" s="22">
        <f>IFERROR(__xludf.DUMMYFUNCTION("""COMPUTED_VALUE"""),0.0)</f>
        <v>0</v>
      </c>
      <c r="BZ147" s="22">
        <f>IFERROR(__xludf.DUMMYFUNCTION("""COMPUTED_VALUE"""),0.0)</f>
        <v>0</v>
      </c>
      <c r="CA147" s="22">
        <f>IFERROR(__xludf.DUMMYFUNCTION("""COMPUTED_VALUE"""),1.0)</f>
        <v>1</v>
      </c>
      <c r="CB147" s="22">
        <f>IFERROR(__xludf.DUMMYFUNCTION("""COMPUTED_VALUE"""),4.0)</f>
        <v>4</v>
      </c>
      <c r="CC147" s="61">
        <f>IFERROR(__xludf.DUMMYFUNCTION("""COMPUTED_VALUE"""),2.5)</f>
        <v>2.5</v>
      </c>
      <c r="CD147" s="62" t="str">
        <f>IFERROR(__xludf.DUMMYFUNCTION("""COMPUTED_VALUE"""),"subpar")</f>
        <v>subpar</v>
      </c>
      <c r="CE147" s="22" t="s">
        <v>525</v>
      </c>
      <c r="CF147" s="24">
        <v>5.0</v>
      </c>
      <c r="CG147" s="22" t="b">
        <v>0</v>
      </c>
      <c r="CH147" s="22" t="b">
        <v>1</v>
      </c>
      <c r="CI147" s="24">
        <v>5.0</v>
      </c>
      <c r="CJ147" s="22">
        <v>1.0</v>
      </c>
      <c r="CK147" s="22">
        <v>0.0</v>
      </c>
      <c r="CL147" s="22">
        <v>0.0</v>
      </c>
      <c r="CM147" s="22">
        <v>0.0</v>
      </c>
      <c r="CN147" s="22">
        <v>0.0</v>
      </c>
      <c r="CO147" s="22">
        <v>0.0</v>
      </c>
      <c r="CP147" s="22">
        <v>1.0</v>
      </c>
      <c r="CQ147" s="22">
        <v>0.0</v>
      </c>
      <c r="CR147" s="22">
        <v>1.0</v>
      </c>
      <c r="CS147" s="22">
        <v>1.0</v>
      </c>
      <c r="CT147" s="22">
        <v>1.0</v>
      </c>
      <c r="CU147" s="22">
        <v>0.0</v>
      </c>
      <c r="CV147" s="22">
        <v>0.0</v>
      </c>
      <c r="CW147" s="22">
        <v>0.0</v>
      </c>
      <c r="CX147" s="22">
        <v>1.0</v>
      </c>
      <c r="CY147" s="22">
        <v>4.0</v>
      </c>
      <c r="CZ147" s="61">
        <v>2.5</v>
      </c>
      <c r="DA147" s="62" t="s">
        <v>568</v>
      </c>
    </row>
    <row r="148">
      <c r="A148" s="16" t="s">
        <v>323</v>
      </c>
      <c r="B148" s="16" t="s">
        <v>324</v>
      </c>
      <c r="C148" s="39" t="s">
        <v>45</v>
      </c>
      <c r="D148" s="16" t="s">
        <v>9</v>
      </c>
      <c r="E148" s="17" t="b">
        <f t="shared" ref="E148:K148" si="741">If(IFERROR(SEARCH(E$1, $D148),0) &gt;= 1, true,false)</f>
        <v>0</v>
      </c>
      <c r="F148" s="17" t="b">
        <f t="shared" si="741"/>
        <v>0</v>
      </c>
      <c r="G148" s="17" t="b">
        <f t="shared" si="741"/>
        <v>0</v>
      </c>
      <c r="H148" s="17" t="b">
        <f t="shared" si="741"/>
        <v>0</v>
      </c>
      <c r="I148" s="17" t="b">
        <f t="shared" si="741"/>
        <v>0</v>
      </c>
      <c r="J148" s="17" t="b">
        <f t="shared" si="741"/>
        <v>1</v>
      </c>
      <c r="K148" s="17" t="b">
        <f t="shared" si="741"/>
        <v>0</v>
      </c>
      <c r="L148" s="18" t="b">
        <v>1</v>
      </c>
      <c r="M148" s="18" t="b">
        <v>0</v>
      </c>
      <c r="N148" s="18" t="b">
        <v>0</v>
      </c>
      <c r="O148" s="18" t="b">
        <v>0</v>
      </c>
      <c r="P148" s="16" t="str">
        <f t="shared" si="7"/>
        <v>Museum voor kunst van de Provincie Henegouwen</v>
      </c>
      <c r="Q148" s="19">
        <v>6.0</v>
      </c>
      <c r="R148" s="18" t="b">
        <v>0</v>
      </c>
      <c r="S148" s="18" t="b">
        <v>1</v>
      </c>
      <c r="T148" s="30">
        <v>6.0</v>
      </c>
      <c r="U148" s="21">
        <f t="shared" si="8"/>
        <v>0</v>
      </c>
      <c r="V148" s="21">
        <f t="shared" ref="V148:AB148" si="742">if(OR(AW148 = $AO$4, AW148 = $AQ$4), 1, 0)</f>
        <v>0</v>
      </c>
      <c r="W148" s="21">
        <f t="shared" si="742"/>
        <v>0</v>
      </c>
      <c r="X148" s="21">
        <f t="shared" si="742"/>
        <v>0</v>
      </c>
      <c r="Y148" s="21">
        <f t="shared" si="742"/>
        <v>0</v>
      </c>
      <c r="Z148" s="21">
        <f t="shared" si="742"/>
        <v>0</v>
      </c>
      <c r="AA148" s="21">
        <f t="shared" si="742"/>
        <v>1</v>
      </c>
      <c r="AB148" s="21">
        <f t="shared" si="742"/>
        <v>0</v>
      </c>
      <c r="AC148" s="21">
        <f t="shared" si="10"/>
        <v>1</v>
      </c>
      <c r="AD148" s="21">
        <f t="shared" si="11"/>
        <v>1</v>
      </c>
      <c r="AE148" s="21">
        <f t="shared" ref="AE148:AH148" si="743">if(OR(BD148 = $AO$6, BD148 = $AS$6, BD148 = $AT$6, BD148 = $AU$6), 1, 0)</f>
        <v>1</v>
      </c>
      <c r="AF148" s="21">
        <f t="shared" si="743"/>
        <v>0</v>
      </c>
      <c r="AG148" s="21">
        <f t="shared" si="743"/>
        <v>0</v>
      </c>
      <c r="AH148" s="21">
        <f t="shared" si="743"/>
        <v>0</v>
      </c>
      <c r="AI148" s="21">
        <f t="shared" si="13"/>
        <v>1</v>
      </c>
      <c r="AJ148" s="21">
        <f t="shared" si="14"/>
        <v>3</v>
      </c>
      <c r="AK148" s="59">
        <f t="shared" si="15"/>
        <v>1.875</v>
      </c>
      <c r="AL148" s="60" t="str">
        <f t="shared" si="16"/>
        <v>subpar</v>
      </c>
      <c r="AW148" s="22">
        <f t="shared" ref="AW148:BC148" si="744">IF(IFERROR(SEARCH(E$1, $D148),0) &gt;= 1, E$1,0)</f>
        <v>0</v>
      </c>
      <c r="AX148" s="22">
        <f t="shared" si="744"/>
        <v>0</v>
      </c>
      <c r="AY148" s="22">
        <f t="shared" si="744"/>
        <v>0</v>
      </c>
      <c r="AZ148" s="22">
        <f t="shared" si="744"/>
        <v>0</v>
      </c>
      <c r="BA148" s="22">
        <f t="shared" si="744"/>
        <v>0</v>
      </c>
      <c r="BB148" s="22" t="str">
        <f t="shared" si="744"/>
        <v>Beeldende kunst</v>
      </c>
      <c r="BC148" s="22">
        <f t="shared" si="744"/>
        <v>0</v>
      </c>
      <c r="BD148" s="22" t="str">
        <f t="shared" ref="BD148:BG148" si="745">IF(L148 = true, BD$1, 0)</f>
        <v>Shop</v>
      </c>
      <c r="BE148" s="22">
        <f t="shared" si="745"/>
        <v>0</v>
      </c>
      <c r="BF148" s="22">
        <f t="shared" si="745"/>
        <v>0</v>
      </c>
      <c r="BG148" s="22">
        <f t="shared" si="745"/>
        <v>0</v>
      </c>
      <c r="BH148" s="22" t="str">
        <f>IFERROR(__xludf.DUMMYFUNCTION("""COMPUTED_VALUE"""),"Gemeentelijk museum Gust De Smet")</f>
        <v>Gemeentelijk museum Gust De Smet</v>
      </c>
      <c r="BI148" s="24">
        <f>IFERROR(__xludf.DUMMYFUNCTION("""COMPUTED_VALUE"""),5.0)</f>
        <v>5</v>
      </c>
      <c r="BJ148" s="22" t="b">
        <f>IFERROR(__xludf.DUMMYFUNCTION("""COMPUTED_VALUE"""),FALSE)</f>
        <v>0</v>
      </c>
      <c r="BK148" s="22" t="b">
        <f>IFERROR(__xludf.DUMMYFUNCTION("""COMPUTED_VALUE"""),FALSE)</f>
        <v>0</v>
      </c>
      <c r="BL148" s="22"/>
      <c r="BM148" s="22">
        <f>IFERROR(__xludf.DUMMYFUNCTION("""COMPUTED_VALUE"""),1.0)</f>
        <v>1</v>
      </c>
      <c r="BN148" s="22">
        <f>IFERROR(__xludf.DUMMYFUNCTION("""COMPUTED_VALUE"""),0.0)</f>
        <v>0</v>
      </c>
      <c r="BO148" s="22">
        <f>IFERROR(__xludf.DUMMYFUNCTION("""COMPUTED_VALUE"""),0.0)</f>
        <v>0</v>
      </c>
      <c r="BP148" s="22">
        <f>IFERROR(__xludf.DUMMYFUNCTION("""COMPUTED_VALUE"""),0.0)</f>
        <v>0</v>
      </c>
      <c r="BQ148" s="22">
        <f>IFERROR(__xludf.DUMMYFUNCTION("""COMPUTED_VALUE"""),0.0)</f>
        <v>0</v>
      </c>
      <c r="BR148" s="22">
        <f>IFERROR(__xludf.DUMMYFUNCTION("""COMPUTED_VALUE"""),0.0)</f>
        <v>0</v>
      </c>
      <c r="BS148" s="22">
        <f>IFERROR(__xludf.DUMMYFUNCTION("""COMPUTED_VALUE"""),1.0)</f>
        <v>1</v>
      </c>
      <c r="BT148" s="22">
        <f>IFERROR(__xludf.DUMMYFUNCTION("""COMPUTED_VALUE"""),0.0)</f>
        <v>0</v>
      </c>
      <c r="BU148" s="22">
        <f>IFERROR(__xludf.DUMMYFUNCTION("""COMPUTED_VALUE"""),1.0)</f>
        <v>1</v>
      </c>
      <c r="BV148" s="22">
        <f>IFERROR(__xludf.DUMMYFUNCTION("""COMPUTED_VALUE"""),1.0)</f>
        <v>1</v>
      </c>
      <c r="BW148" s="22">
        <f>IFERROR(__xludf.DUMMYFUNCTION("""COMPUTED_VALUE"""),1.0)</f>
        <v>1</v>
      </c>
      <c r="BX148" s="22">
        <f>IFERROR(__xludf.DUMMYFUNCTION("""COMPUTED_VALUE"""),0.0)</f>
        <v>0</v>
      </c>
      <c r="BY148" s="22">
        <f>IFERROR(__xludf.DUMMYFUNCTION("""COMPUTED_VALUE"""),0.0)</f>
        <v>0</v>
      </c>
      <c r="BZ148" s="22">
        <f>IFERROR(__xludf.DUMMYFUNCTION("""COMPUTED_VALUE"""),0.0)</f>
        <v>0</v>
      </c>
      <c r="CA148" s="22">
        <f>IFERROR(__xludf.DUMMYFUNCTION("""COMPUTED_VALUE"""),1.0)</f>
        <v>1</v>
      </c>
      <c r="CB148" s="22">
        <f>IFERROR(__xludf.DUMMYFUNCTION("""COMPUTED_VALUE"""),4.0)</f>
        <v>4</v>
      </c>
      <c r="CC148" s="61">
        <f>IFERROR(__xludf.DUMMYFUNCTION("""COMPUTED_VALUE"""),2.5)</f>
        <v>2.5</v>
      </c>
      <c r="CD148" s="62" t="str">
        <f>IFERROR(__xludf.DUMMYFUNCTION("""COMPUTED_VALUE"""),"subpar")</f>
        <v>subpar</v>
      </c>
      <c r="CE148" s="22" t="s">
        <v>527</v>
      </c>
      <c r="CF148" s="24">
        <v>5.0</v>
      </c>
      <c r="CG148" s="22" t="b">
        <v>0</v>
      </c>
      <c r="CH148" s="22" t="b">
        <v>0</v>
      </c>
      <c r="CI148" s="22"/>
      <c r="CJ148" s="22">
        <v>1.0</v>
      </c>
      <c r="CK148" s="22">
        <v>0.0</v>
      </c>
      <c r="CL148" s="22">
        <v>0.0</v>
      </c>
      <c r="CM148" s="22">
        <v>0.0</v>
      </c>
      <c r="CN148" s="22">
        <v>0.0</v>
      </c>
      <c r="CO148" s="22">
        <v>0.0</v>
      </c>
      <c r="CP148" s="22">
        <v>1.0</v>
      </c>
      <c r="CQ148" s="22">
        <v>0.0</v>
      </c>
      <c r="CR148" s="22">
        <v>1.0</v>
      </c>
      <c r="CS148" s="22">
        <v>1.0</v>
      </c>
      <c r="CT148" s="22">
        <v>1.0</v>
      </c>
      <c r="CU148" s="22">
        <v>0.0</v>
      </c>
      <c r="CV148" s="22">
        <v>0.0</v>
      </c>
      <c r="CW148" s="22">
        <v>0.0</v>
      </c>
      <c r="CX148" s="22">
        <v>1.0</v>
      </c>
      <c r="CY148" s="22">
        <v>4.0</v>
      </c>
      <c r="CZ148" s="61">
        <v>2.5</v>
      </c>
      <c r="DA148" s="62" t="s">
        <v>568</v>
      </c>
    </row>
    <row r="149">
      <c r="A149" s="16" t="s">
        <v>325</v>
      </c>
      <c r="B149" s="16" t="s">
        <v>326</v>
      </c>
      <c r="C149" s="39" t="s">
        <v>45</v>
      </c>
      <c r="D149" s="16" t="s">
        <v>327</v>
      </c>
      <c r="E149" s="17" t="b">
        <f t="shared" ref="E149:K149" si="746">If(IFERROR(SEARCH(E$1, $D149),0) &gt;= 1, true,false)</f>
        <v>0</v>
      </c>
      <c r="F149" s="17" t="b">
        <f t="shared" si="746"/>
        <v>0</v>
      </c>
      <c r="G149" s="17" t="b">
        <f t="shared" si="746"/>
        <v>0</v>
      </c>
      <c r="H149" s="17" t="b">
        <f t="shared" si="746"/>
        <v>0</v>
      </c>
      <c r="I149" s="17" t="b">
        <f t="shared" si="746"/>
        <v>0</v>
      </c>
      <c r="J149" s="17" t="b">
        <f t="shared" si="746"/>
        <v>1</v>
      </c>
      <c r="K149" s="17" t="b">
        <f t="shared" si="746"/>
        <v>1</v>
      </c>
      <c r="L149" s="18" t="b">
        <v>1</v>
      </c>
      <c r="M149" s="18" t="b">
        <v>0</v>
      </c>
      <c r="N149" s="18" t="b">
        <v>0</v>
      </c>
      <c r="O149" s="18" t="b">
        <v>0</v>
      </c>
      <c r="P149" s="16" t="str">
        <f t="shared" si="7"/>
        <v>CAP/museum voor Schone Kunsten van Bergen</v>
      </c>
      <c r="Q149" s="19">
        <v>16.0</v>
      </c>
      <c r="R149" s="18" t="b">
        <v>0</v>
      </c>
      <c r="S149" s="18" t="b">
        <v>1</v>
      </c>
      <c r="T149" s="30">
        <v>16.0</v>
      </c>
      <c r="U149" s="21">
        <f t="shared" si="8"/>
        <v>0</v>
      </c>
      <c r="V149" s="21">
        <f t="shared" ref="V149:AB149" si="747">if(OR(AW149 = $AO$4, AW149 = $AQ$4), 1, 0)</f>
        <v>0</v>
      </c>
      <c r="W149" s="21">
        <f t="shared" si="747"/>
        <v>0</v>
      </c>
      <c r="X149" s="21">
        <f t="shared" si="747"/>
        <v>0</v>
      </c>
      <c r="Y149" s="21">
        <f t="shared" si="747"/>
        <v>0</v>
      </c>
      <c r="Z149" s="21">
        <f t="shared" si="747"/>
        <v>0</v>
      </c>
      <c r="AA149" s="21">
        <f t="shared" si="747"/>
        <v>1</v>
      </c>
      <c r="AB149" s="21">
        <f t="shared" si="747"/>
        <v>0</v>
      </c>
      <c r="AC149" s="21">
        <f t="shared" si="10"/>
        <v>1</v>
      </c>
      <c r="AD149" s="21">
        <f t="shared" si="11"/>
        <v>0</v>
      </c>
      <c r="AE149" s="21">
        <f t="shared" ref="AE149:AH149" si="748">if(OR(BD149 = $AO$6, BD149 = $AS$6, BD149 = $AT$6, BD149 = $AU$6), 1, 0)</f>
        <v>1</v>
      </c>
      <c r="AF149" s="21">
        <f t="shared" si="748"/>
        <v>0</v>
      </c>
      <c r="AG149" s="21">
        <f t="shared" si="748"/>
        <v>0</v>
      </c>
      <c r="AH149" s="21">
        <f t="shared" si="748"/>
        <v>0</v>
      </c>
      <c r="AI149" s="21">
        <f t="shared" si="13"/>
        <v>1</v>
      </c>
      <c r="AJ149" s="21">
        <f t="shared" si="14"/>
        <v>2</v>
      </c>
      <c r="AK149" s="59">
        <f t="shared" si="15"/>
        <v>1.25</v>
      </c>
      <c r="AL149" s="60" t="str">
        <f t="shared" si="16"/>
        <v>subpar</v>
      </c>
      <c r="AW149" s="22">
        <f t="shared" ref="AW149:BC149" si="749">IF(IFERROR(SEARCH(E$1, $D149),0) &gt;= 1, E$1,0)</f>
        <v>0</v>
      </c>
      <c r="AX149" s="22">
        <f t="shared" si="749"/>
        <v>0</v>
      </c>
      <c r="AY149" s="22">
        <f t="shared" si="749"/>
        <v>0</v>
      </c>
      <c r="AZ149" s="22">
        <f t="shared" si="749"/>
        <v>0</v>
      </c>
      <c r="BA149" s="22">
        <f t="shared" si="749"/>
        <v>0</v>
      </c>
      <c r="BB149" s="22" t="str">
        <f t="shared" si="749"/>
        <v>Beeldende kunst</v>
      </c>
      <c r="BC149" s="22" t="str">
        <f t="shared" si="749"/>
        <v>Toegepaste kunst en design</v>
      </c>
      <c r="BD149" s="22" t="str">
        <f t="shared" ref="BD149:BG149" si="750">IF(L149 = true, BD$1, 0)</f>
        <v>Shop</v>
      </c>
      <c r="BE149" s="22">
        <f t="shared" si="750"/>
        <v>0</v>
      </c>
      <c r="BF149" s="22">
        <f t="shared" si="750"/>
        <v>0</v>
      </c>
      <c r="BG149" s="22">
        <f t="shared" si="750"/>
        <v>0</v>
      </c>
      <c r="BH149" s="22" t="str">
        <f>IFERROR(__xludf.DUMMYFUNCTION("""COMPUTED_VALUE"""),"Provinciale Erfgoedsite Archeocentrum Velzeke")</f>
        <v>Provinciale Erfgoedsite Archeocentrum Velzeke</v>
      </c>
      <c r="BI149" s="24">
        <f>IFERROR(__xludf.DUMMYFUNCTION("""COMPUTED_VALUE"""),8.0)</f>
        <v>8</v>
      </c>
      <c r="BJ149" s="22" t="b">
        <f>IFERROR(__xludf.DUMMYFUNCTION("""COMPUTED_VALUE"""),FALSE)</f>
        <v>0</v>
      </c>
      <c r="BK149" s="22" t="b">
        <f>IFERROR(__xludf.DUMMYFUNCTION("""COMPUTED_VALUE"""),TRUE)</f>
        <v>1</v>
      </c>
      <c r="BL149" s="24">
        <f>IFERROR(__xludf.DUMMYFUNCTION("""COMPUTED_VALUE"""),8.0)</f>
        <v>8</v>
      </c>
      <c r="BM149" s="22">
        <f>IFERROR(__xludf.DUMMYFUNCTION("""COMPUTED_VALUE"""),1.0)</f>
        <v>1</v>
      </c>
      <c r="BN149" s="22">
        <f>IFERROR(__xludf.DUMMYFUNCTION("""COMPUTED_VALUE"""),1.0)</f>
        <v>1</v>
      </c>
      <c r="BO149" s="22">
        <f>IFERROR(__xludf.DUMMYFUNCTION("""COMPUTED_VALUE"""),0.0)</f>
        <v>0</v>
      </c>
      <c r="BP149" s="22">
        <f>IFERROR(__xludf.DUMMYFUNCTION("""COMPUTED_VALUE"""),0.0)</f>
        <v>0</v>
      </c>
      <c r="BQ149" s="22">
        <f>IFERROR(__xludf.DUMMYFUNCTION("""COMPUTED_VALUE"""),0.0)</f>
        <v>0</v>
      </c>
      <c r="BR149" s="22">
        <f>IFERROR(__xludf.DUMMYFUNCTION("""COMPUTED_VALUE"""),0.0)</f>
        <v>0</v>
      </c>
      <c r="BS149" s="22">
        <f>IFERROR(__xludf.DUMMYFUNCTION("""COMPUTED_VALUE"""),0.0)</f>
        <v>0</v>
      </c>
      <c r="BT149" s="22">
        <f>IFERROR(__xludf.DUMMYFUNCTION("""COMPUTED_VALUE"""),0.0)</f>
        <v>0</v>
      </c>
      <c r="BU149" s="22">
        <f>IFERROR(__xludf.DUMMYFUNCTION("""COMPUTED_VALUE"""),1.0)</f>
        <v>1</v>
      </c>
      <c r="BV149" s="22">
        <f>IFERROR(__xludf.DUMMYFUNCTION("""COMPUTED_VALUE"""),1.0)</f>
        <v>1</v>
      </c>
      <c r="BW149" s="22">
        <f>IFERROR(__xludf.DUMMYFUNCTION("""COMPUTED_VALUE"""),0.0)</f>
        <v>0</v>
      </c>
      <c r="BX149" s="22">
        <f>IFERROR(__xludf.DUMMYFUNCTION("""COMPUTED_VALUE"""),0.0)</f>
        <v>0</v>
      </c>
      <c r="BY149" s="22">
        <f>IFERROR(__xludf.DUMMYFUNCTION("""COMPUTED_VALUE"""),1.0)</f>
        <v>1</v>
      </c>
      <c r="BZ149" s="22">
        <f>IFERROR(__xludf.DUMMYFUNCTION("""COMPUTED_VALUE"""),0.0)</f>
        <v>0</v>
      </c>
      <c r="CA149" s="22">
        <f>IFERROR(__xludf.DUMMYFUNCTION("""COMPUTED_VALUE"""),1.0)</f>
        <v>1</v>
      </c>
      <c r="CB149" s="22">
        <f>IFERROR(__xludf.DUMMYFUNCTION("""COMPUTED_VALUE"""),4.0)</f>
        <v>4</v>
      </c>
      <c r="CC149" s="61">
        <f>IFERROR(__xludf.DUMMYFUNCTION("""COMPUTED_VALUE"""),2.5)</f>
        <v>2.5</v>
      </c>
      <c r="CD149" s="62" t="str">
        <f>IFERROR(__xludf.DUMMYFUNCTION("""COMPUTED_VALUE"""),"subpar")</f>
        <v>subpar</v>
      </c>
      <c r="CE149" s="22" t="s">
        <v>533</v>
      </c>
      <c r="CF149" s="24">
        <v>8.0</v>
      </c>
      <c r="CG149" s="22" t="b">
        <v>0</v>
      </c>
      <c r="CH149" s="22" t="b">
        <v>1</v>
      </c>
      <c r="CI149" s="24">
        <v>8.0</v>
      </c>
      <c r="CJ149" s="22">
        <v>1.0</v>
      </c>
      <c r="CK149" s="22">
        <v>1.0</v>
      </c>
      <c r="CL149" s="22">
        <v>0.0</v>
      </c>
      <c r="CM149" s="22">
        <v>0.0</v>
      </c>
      <c r="CN149" s="22">
        <v>0.0</v>
      </c>
      <c r="CO149" s="22">
        <v>0.0</v>
      </c>
      <c r="CP149" s="22">
        <v>0.0</v>
      </c>
      <c r="CQ149" s="22">
        <v>0.0</v>
      </c>
      <c r="CR149" s="22">
        <v>1.0</v>
      </c>
      <c r="CS149" s="22">
        <v>1.0</v>
      </c>
      <c r="CT149" s="22">
        <v>0.0</v>
      </c>
      <c r="CU149" s="22">
        <v>0.0</v>
      </c>
      <c r="CV149" s="22">
        <v>1.0</v>
      </c>
      <c r="CW149" s="22">
        <v>0.0</v>
      </c>
      <c r="CX149" s="22">
        <v>1.0</v>
      </c>
      <c r="CY149" s="22">
        <v>4.0</v>
      </c>
      <c r="CZ149" s="61">
        <v>2.5</v>
      </c>
      <c r="DA149" s="62" t="s">
        <v>568</v>
      </c>
    </row>
    <row r="150">
      <c r="A150" s="16" t="s">
        <v>328</v>
      </c>
      <c r="B150" s="16" t="s">
        <v>329</v>
      </c>
      <c r="C150" s="39" t="s">
        <v>45</v>
      </c>
      <c r="D150" s="16" t="s">
        <v>319</v>
      </c>
      <c r="E150" s="17" t="b">
        <f t="shared" ref="E150:K150" si="751">If(IFERROR(SEARCH(E$1, $D150),0) &gt;= 1, true,false)</f>
        <v>1</v>
      </c>
      <c r="F150" s="17" t="b">
        <f t="shared" si="751"/>
        <v>0</v>
      </c>
      <c r="G150" s="17" t="b">
        <f t="shared" si="751"/>
        <v>0</v>
      </c>
      <c r="H150" s="17" t="b">
        <f t="shared" si="751"/>
        <v>0</v>
      </c>
      <c r="I150" s="17" t="b">
        <f t="shared" si="751"/>
        <v>1</v>
      </c>
      <c r="J150" s="17" t="b">
        <f t="shared" si="751"/>
        <v>0</v>
      </c>
      <c r="K150" s="17" t="b">
        <f t="shared" si="751"/>
        <v>0</v>
      </c>
      <c r="L150" s="18" t="b">
        <v>1</v>
      </c>
      <c r="M150" s="18" t="b">
        <v>0</v>
      </c>
      <c r="N150" s="18" t="b">
        <v>0</v>
      </c>
      <c r="O150" s="18" t="b">
        <v>0</v>
      </c>
      <c r="P150" s="16" t="str">
        <f t="shared" si="7"/>
        <v>CAP/het Collectiehuis</v>
      </c>
      <c r="Q150" s="19">
        <v>4.0</v>
      </c>
      <c r="R150" s="18" t="b">
        <v>0</v>
      </c>
      <c r="S150" s="18" t="b">
        <v>0</v>
      </c>
      <c r="T150" s="21"/>
      <c r="U150" s="21">
        <f t="shared" si="8"/>
        <v>0</v>
      </c>
      <c r="V150" s="21">
        <f t="shared" ref="V150:AB150" si="752">if(OR(AW150 = $AO$4, AW150 = $AQ$4), 1, 0)</f>
        <v>1</v>
      </c>
      <c r="W150" s="21">
        <f t="shared" si="752"/>
        <v>0</v>
      </c>
      <c r="X150" s="21">
        <f t="shared" si="752"/>
        <v>0</v>
      </c>
      <c r="Y150" s="21">
        <f t="shared" si="752"/>
        <v>0</v>
      </c>
      <c r="Z150" s="21">
        <f t="shared" si="752"/>
        <v>0</v>
      </c>
      <c r="AA150" s="21">
        <f t="shared" si="752"/>
        <v>0</v>
      </c>
      <c r="AB150" s="21">
        <f t="shared" si="752"/>
        <v>0</v>
      </c>
      <c r="AC150" s="21">
        <f t="shared" si="10"/>
        <v>1</v>
      </c>
      <c r="AD150" s="21">
        <f t="shared" si="11"/>
        <v>1</v>
      </c>
      <c r="AE150" s="21">
        <f t="shared" ref="AE150:AH150" si="753">if(OR(BD150 = $AO$6, BD150 = $AS$6, BD150 = $AT$6, BD150 = $AU$6), 1, 0)</f>
        <v>1</v>
      </c>
      <c r="AF150" s="21">
        <f t="shared" si="753"/>
        <v>0</v>
      </c>
      <c r="AG150" s="21">
        <f t="shared" si="753"/>
        <v>0</v>
      </c>
      <c r="AH150" s="21">
        <f t="shared" si="753"/>
        <v>0</v>
      </c>
      <c r="AI150" s="21">
        <f t="shared" si="13"/>
        <v>1</v>
      </c>
      <c r="AJ150" s="21">
        <f t="shared" si="14"/>
        <v>3</v>
      </c>
      <c r="AK150" s="59">
        <f t="shared" si="15"/>
        <v>1.875</v>
      </c>
      <c r="AL150" s="60" t="str">
        <f t="shared" si="16"/>
        <v>subpar</v>
      </c>
      <c r="AW150" s="22" t="str">
        <f t="shared" ref="AW150:BC150" si="754">IF(IFERROR(SEARCH(E$1, $D150),0) &gt;= 1, E$1,0)</f>
        <v>Geschiedenis en archeologie</v>
      </c>
      <c r="AX150" s="22">
        <f t="shared" si="754"/>
        <v>0</v>
      </c>
      <c r="AY150" s="22">
        <f t="shared" si="754"/>
        <v>0</v>
      </c>
      <c r="AZ150" s="22">
        <f t="shared" si="754"/>
        <v>0</v>
      </c>
      <c r="BA150" s="22" t="str">
        <f t="shared" si="754"/>
        <v>Architectuur</v>
      </c>
      <c r="BB150" s="22">
        <f t="shared" si="754"/>
        <v>0</v>
      </c>
      <c r="BC150" s="22">
        <f t="shared" si="754"/>
        <v>0</v>
      </c>
      <c r="BD150" s="22" t="str">
        <f t="shared" ref="BD150:BG150" si="755">IF(L150 = true, BD$1, 0)</f>
        <v>Shop</v>
      </c>
      <c r="BE150" s="22">
        <f t="shared" si="755"/>
        <v>0</v>
      </c>
      <c r="BF150" s="22">
        <f t="shared" si="755"/>
        <v>0</v>
      </c>
      <c r="BG150" s="22">
        <f t="shared" si="755"/>
        <v>0</v>
      </c>
      <c r="BH150" s="22" t="str">
        <f>IFERROR(__xludf.DUMMYFUNCTION("""COMPUTED_VALUE"""),"‘t Gasthuys | Stedelijk Museum Aalst")</f>
        <v>‘t Gasthuys | Stedelijk Museum Aalst</v>
      </c>
      <c r="BI150" s="24">
        <f>IFERROR(__xludf.DUMMYFUNCTION("""COMPUTED_VALUE"""),0.0)</f>
        <v>0</v>
      </c>
      <c r="BJ150" s="22" t="b">
        <f>IFERROR(__xludf.DUMMYFUNCTION("""COMPUTED_VALUE"""),FALSE)</f>
        <v>0</v>
      </c>
      <c r="BK150" s="22" t="b">
        <f>IFERROR(__xludf.DUMMYFUNCTION("""COMPUTED_VALUE"""),FALSE)</f>
        <v>0</v>
      </c>
      <c r="BL150" s="22"/>
      <c r="BM150" s="22">
        <f>IFERROR(__xludf.DUMMYFUNCTION("""COMPUTED_VALUE"""),1.0)</f>
        <v>1</v>
      </c>
      <c r="BN150" s="22">
        <f>IFERROR(__xludf.DUMMYFUNCTION("""COMPUTED_VALUE"""),1.0)</f>
        <v>1</v>
      </c>
      <c r="BO150" s="22">
        <f>IFERROR(__xludf.DUMMYFUNCTION("""COMPUTED_VALUE"""),0.0)</f>
        <v>0</v>
      </c>
      <c r="BP150" s="22">
        <f>IFERROR(__xludf.DUMMYFUNCTION("""COMPUTED_VALUE"""),0.0)</f>
        <v>0</v>
      </c>
      <c r="BQ150" s="22">
        <f>IFERROR(__xludf.DUMMYFUNCTION("""COMPUTED_VALUE"""),0.0)</f>
        <v>0</v>
      </c>
      <c r="BR150" s="22">
        <f>IFERROR(__xludf.DUMMYFUNCTION("""COMPUTED_VALUE"""),0.0)</f>
        <v>0</v>
      </c>
      <c r="BS150" s="22">
        <f>IFERROR(__xludf.DUMMYFUNCTION("""COMPUTED_VALUE"""),1.0)</f>
        <v>1</v>
      </c>
      <c r="BT150" s="22">
        <f>IFERROR(__xludf.DUMMYFUNCTION("""COMPUTED_VALUE"""),0.0)</f>
        <v>0</v>
      </c>
      <c r="BU150" s="22">
        <f>IFERROR(__xludf.DUMMYFUNCTION("""COMPUTED_VALUE"""),2.0)</f>
        <v>2</v>
      </c>
      <c r="BV150" s="22">
        <f>IFERROR(__xludf.DUMMYFUNCTION("""COMPUTED_VALUE"""),1.0)</f>
        <v>1</v>
      </c>
      <c r="BW150" s="22">
        <f>IFERROR(__xludf.DUMMYFUNCTION("""COMPUTED_VALUE"""),0.0)</f>
        <v>0</v>
      </c>
      <c r="BX150" s="22">
        <f>IFERROR(__xludf.DUMMYFUNCTION("""COMPUTED_VALUE"""),0.0)</f>
        <v>0</v>
      </c>
      <c r="BY150" s="22">
        <f>IFERROR(__xludf.DUMMYFUNCTION("""COMPUTED_VALUE"""),0.0)</f>
        <v>0</v>
      </c>
      <c r="BZ150" s="22">
        <f>IFERROR(__xludf.DUMMYFUNCTION("""COMPUTED_VALUE"""),0.0)</f>
        <v>0</v>
      </c>
      <c r="CA150" s="22">
        <f>IFERROR(__xludf.DUMMYFUNCTION("""COMPUTED_VALUE"""),0.0)</f>
        <v>0</v>
      </c>
      <c r="CB150" s="22">
        <f>IFERROR(__xludf.DUMMYFUNCTION("""COMPUTED_VALUE"""),4.0)</f>
        <v>4</v>
      </c>
      <c r="CC150" s="61">
        <f>IFERROR(__xludf.DUMMYFUNCTION("""COMPUTED_VALUE"""),2.5)</f>
        <v>2.5</v>
      </c>
      <c r="CD150" s="62" t="str">
        <f>IFERROR(__xludf.DUMMYFUNCTION("""COMPUTED_VALUE"""),"subpar")</f>
        <v>subpar</v>
      </c>
      <c r="CE150" s="22" t="s">
        <v>542</v>
      </c>
      <c r="CF150" s="24">
        <v>0.0</v>
      </c>
      <c r="CG150" s="22" t="b">
        <v>0</v>
      </c>
      <c r="CH150" s="22" t="b">
        <v>0</v>
      </c>
      <c r="CI150" s="22"/>
      <c r="CJ150" s="22">
        <v>1.0</v>
      </c>
      <c r="CK150" s="22">
        <v>1.0</v>
      </c>
      <c r="CL150" s="22">
        <v>0.0</v>
      </c>
      <c r="CM150" s="22">
        <v>0.0</v>
      </c>
      <c r="CN150" s="22">
        <v>0.0</v>
      </c>
      <c r="CO150" s="22">
        <v>0.0</v>
      </c>
      <c r="CP150" s="22">
        <v>1.0</v>
      </c>
      <c r="CQ150" s="22">
        <v>0.0</v>
      </c>
      <c r="CR150" s="22">
        <v>2.0</v>
      </c>
      <c r="CS150" s="22">
        <v>1.0</v>
      </c>
      <c r="CT150" s="22">
        <v>0.0</v>
      </c>
      <c r="CU150" s="22">
        <v>0.0</v>
      </c>
      <c r="CV150" s="22">
        <v>0.0</v>
      </c>
      <c r="CW150" s="22">
        <v>0.0</v>
      </c>
      <c r="CX150" s="22">
        <v>0.0</v>
      </c>
      <c r="CY150" s="22">
        <v>4.0</v>
      </c>
      <c r="CZ150" s="61">
        <v>2.5</v>
      </c>
      <c r="DA150" s="62" t="s">
        <v>568</v>
      </c>
    </row>
    <row r="151">
      <c r="A151" s="16"/>
      <c r="B151" s="16" t="s">
        <v>330</v>
      </c>
      <c r="C151" s="39" t="s">
        <v>45</v>
      </c>
      <c r="D151" s="16" t="s">
        <v>331</v>
      </c>
      <c r="E151" s="17" t="b">
        <f t="shared" ref="E151:K151" si="756">If(IFERROR(SEARCH(E$1, $D151),0) &gt;= 1, true,false)</f>
        <v>0</v>
      </c>
      <c r="F151" s="17" t="b">
        <f t="shared" si="756"/>
        <v>0</v>
      </c>
      <c r="G151" s="17" t="b">
        <f t="shared" si="756"/>
        <v>0</v>
      </c>
      <c r="H151" s="17" t="b">
        <f t="shared" si="756"/>
        <v>1</v>
      </c>
      <c r="I151" s="17" t="b">
        <f t="shared" si="756"/>
        <v>0</v>
      </c>
      <c r="J151" s="17" t="b">
        <f t="shared" si="756"/>
        <v>1</v>
      </c>
      <c r="K151" s="17" t="b">
        <f t="shared" si="756"/>
        <v>0</v>
      </c>
      <c r="L151" s="18" t="b">
        <v>1</v>
      </c>
      <c r="M151" s="18" t="b">
        <v>0</v>
      </c>
      <c r="N151" s="18" t="b">
        <v>0</v>
      </c>
      <c r="O151" s="18" t="b">
        <v>1</v>
      </c>
      <c r="P151" s="16" t="str">
        <f t="shared" si="7"/>
        <v>Centre Daily-Bul &amp; C° </v>
      </c>
      <c r="Q151" s="19">
        <v>0.0</v>
      </c>
      <c r="R151" s="18" t="b">
        <v>0</v>
      </c>
      <c r="S151" s="18" t="b">
        <v>1</v>
      </c>
      <c r="T151" s="30">
        <v>0.0</v>
      </c>
      <c r="U151" s="21">
        <f t="shared" si="8"/>
        <v>0</v>
      </c>
      <c r="V151" s="21">
        <f t="shared" ref="V151:AB151" si="757">if(OR(AW151 = $AO$4, AW151 = $AQ$4), 1, 0)</f>
        <v>0</v>
      </c>
      <c r="W151" s="21">
        <f t="shared" si="757"/>
        <v>0</v>
      </c>
      <c r="X151" s="21">
        <f t="shared" si="757"/>
        <v>0</v>
      </c>
      <c r="Y151" s="21">
        <f t="shared" si="757"/>
        <v>0</v>
      </c>
      <c r="Z151" s="21">
        <f t="shared" si="757"/>
        <v>0</v>
      </c>
      <c r="AA151" s="21">
        <f t="shared" si="757"/>
        <v>1</v>
      </c>
      <c r="AB151" s="21">
        <f t="shared" si="757"/>
        <v>0</v>
      </c>
      <c r="AC151" s="21">
        <f t="shared" si="10"/>
        <v>1</v>
      </c>
      <c r="AD151" s="21">
        <f t="shared" si="11"/>
        <v>1</v>
      </c>
      <c r="AE151" s="21">
        <f t="shared" ref="AE151:AH151" si="758">if(OR(BD151 = $AO$6, BD151 = $AS$6, BD151 = $AT$6, BD151 = $AU$6), 1, 0)</f>
        <v>1</v>
      </c>
      <c r="AF151" s="21">
        <f t="shared" si="758"/>
        <v>0</v>
      </c>
      <c r="AG151" s="21">
        <f t="shared" si="758"/>
        <v>0</v>
      </c>
      <c r="AH151" s="21">
        <f t="shared" si="758"/>
        <v>1</v>
      </c>
      <c r="AI151" s="21">
        <f t="shared" si="13"/>
        <v>2</v>
      </c>
      <c r="AJ151" s="21">
        <f t="shared" si="14"/>
        <v>4</v>
      </c>
      <c r="AK151" s="59">
        <f t="shared" si="15"/>
        <v>2.5</v>
      </c>
      <c r="AL151" s="60" t="str">
        <f t="shared" si="16"/>
        <v>subpar</v>
      </c>
      <c r="AW151" s="22">
        <f t="shared" ref="AW151:BC151" si="759">IF(IFERROR(SEARCH(E$1, $D151),0) &gt;= 1, E$1,0)</f>
        <v>0</v>
      </c>
      <c r="AX151" s="22">
        <f t="shared" si="759"/>
        <v>0</v>
      </c>
      <c r="AY151" s="22">
        <f t="shared" si="759"/>
        <v>0</v>
      </c>
      <c r="AZ151" s="22" t="str">
        <f t="shared" si="759"/>
        <v>Literatuur</v>
      </c>
      <c r="BA151" s="22">
        <f t="shared" si="759"/>
        <v>0</v>
      </c>
      <c r="BB151" s="22" t="str">
        <f t="shared" si="759"/>
        <v>Beeldende kunst</v>
      </c>
      <c r="BC151" s="22">
        <f t="shared" si="759"/>
        <v>0</v>
      </c>
      <c r="BD151" s="22" t="str">
        <f t="shared" ref="BD151:BG151" si="760">IF(L151 = true, BD$1, 0)</f>
        <v>Shop</v>
      </c>
      <c r="BE151" s="22">
        <f t="shared" si="760"/>
        <v>0</v>
      </c>
      <c r="BF151" s="22">
        <f t="shared" si="760"/>
        <v>0</v>
      </c>
      <c r="BG151" s="22" t="str">
        <f t="shared" si="760"/>
        <v>Restaurant</v>
      </c>
      <c r="BH151" s="22" t="str">
        <f>IFERROR(__xludf.DUMMYFUNCTION("""COMPUTED_VALUE"""),"Ecomuseum van de Viroin")</f>
        <v>Ecomuseum van de Viroin</v>
      </c>
      <c r="BI151" s="24">
        <f>IFERROR(__xludf.DUMMYFUNCTION("""COMPUTED_VALUE"""),4.0)</f>
        <v>4</v>
      </c>
      <c r="BJ151" s="22" t="b">
        <f>IFERROR(__xludf.DUMMYFUNCTION("""COMPUTED_VALUE"""),FALSE)</f>
        <v>0</v>
      </c>
      <c r="BK151" s="22" t="b">
        <f>IFERROR(__xludf.DUMMYFUNCTION("""COMPUTED_VALUE"""),TRUE)</f>
        <v>1</v>
      </c>
      <c r="BL151" s="24">
        <f>IFERROR(__xludf.DUMMYFUNCTION("""COMPUTED_VALUE"""),4.0)</f>
        <v>4</v>
      </c>
      <c r="BM151" s="22">
        <f>IFERROR(__xludf.DUMMYFUNCTION("""COMPUTED_VALUE"""),0.0)</f>
        <v>0</v>
      </c>
      <c r="BN151" s="22">
        <f>IFERROR(__xludf.DUMMYFUNCTION("""COMPUTED_VALUE"""),1.0)</f>
        <v>1</v>
      </c>
      <c r="BO151" s="22">
        <f>IFERROR(__xludf.DUMMYFUNCTION("""COMPUTED_VALUE"""),0.0)</f>
        <v>0</v>
      </c>
      <c r="BP151" s="22">
        <f>IFERROR(__xludf.DUMMYFUNCTION("""COMPUTED_VALUE"""),0.0)</f>
        <v>0</v>
      </c>
      <c r="BQ151" s="22">
        <f>IFERROR(__xludf.DUMMYFUNCTION("""COMPUTED_VALUE"""),0.0)</f>
        <v>0</v>
      </c>
      <c r="BR151" s="22">
        <f>IFERROR(__xludf.DUMMYFUNCTION("""COMPUTED_VALUE"""),0.0)</f>
        <v>0</v>
      </c>
      <c r="BS151" s="22">
        <f>IFERROR(__xludf.DUMMYFUNCTION("""COMPUTED_VALUE"""),0.0)</f>
        <v>0</v>
      </c>
      <c r="BT151" s="22">
        <f>IFERROR(__xludf.DUMMYFUNCTION("""COMPUTED_VALUE"""),0.0)</f>
        <v>0</v>
      </c>
      <c r="BU151" s="22">
        <f>IFERROR(__xludf.DUMMYFUNCTION("""COMPUTED_VALUE"""),1.0)</f>
        <v>1</v>
      </c>
      <c r="BV151" s="22">
        <f>IFERROR(__xludf.DUMMYFUNCTION("""COMPUTED_VALUE"""),1.0)</f>
        <v>1</v>
      </c>
      <c r="BW151" s="22">
        <f>IFERROR(__xludf.DUMMYFUNCTION("""COMPUTED_VALUE"""),1.0)</f>
        <v>1</v>
      </c>
      <c r="BX151" s="22">
        <f>IFERROR(__xludf.DUMMYFUNCTION("""COMPUTED_VALUE"""),0.0)</f>
        <v>0</v>
      </c>
      <c r="BY151" s="22">
        <f>IFERROR(__xludf.DUMMYFUNCTION("""COMPUTED_VALUE"""),0.0)</f>
        <v>0</v>
      </c>
      <c r="BZ151" s="22">
        <f>IFERROR(__xludf.DUMMYFUNCTION("""COMPUTED_VALUE"""),0.0)</f>
        <v>0</v>
      </c>
      <c r="CA151" s="22">
        <f>IFERROR(__xludf.DUMMYFUNCTION("""COMPUTED_VALUE"""),1.0)</f>
        <v>1</v>
      </c>
      <c r="CB151" s="22">
        <f>IFERROR(__xludf.DUMMYFUNCTION("""COMPUTED_VALUE"""),3.0)</f>
        <v>3</v>
      </c>
      <c r="CC151" s="61">
        <f>IFERROR(__xludf.DUMMYFUNCTION("""COMPUTED_VALUE"""),1.875)</f>
        <v>1.875</v>
      </c>
      <c r="CD151" s="62" t="str">
        <f>IFERROR(__xludf.DUMMYFUNCTION("""COMPUTED_VALUE"""),"subpar")</f>
        <v>subpar</v>
      </c>
      <c r="CE151" s="22" t="s">
        <v>32</v>
      </c>
      <c r="CF151" s="24">
        <v>4.0</v>
      </c>
      <c r="CG151" s="22" t="b">
        <v>0</v>
      </c>
      <c r="CH151" s="22" t="b">
        <v>1</v>
      </c>
      <c r="CI151" s="24">
        <v>4.0</v>
      </c>
      <c r="CJ151" s="22">
        <v>0.0</v>
      </c>
      <c r="CK151" s="22">
        <v>1.0</v>
      </c>
      <c r="CL151" s="22">
        <v>0.0</v>
      </c>
      <c r="CM151" s="22">
        <v>0.0</v>
      </c>
      <c r="CN151" s="22">
        <v>0.0</v>
      </c>
      <c r="CO151" s="22">
        <v>0.0</v>
      </c>
      <c r="CP151" s="22">
        <v>0.0</v>
      </c>
      <c r="CQ151" s="22">
        <v>0.0</v>
      </c>
      <c r="CR151" s="22">
        <v>1.0</v>
      </c>
      <c r="CS151" s="22">
        <v>1.0</v>
      </c>
      <c r="CT151" s="22">
        <v>1.0</v>
      </c>
      <c r="CU151" s="22">
        <v>0.0</v>
      </c>
      <c r="CV151" s="22">
        <v>0.0</v>
      </c>
      <c r="CW151" s="22">
        <v>0.0</v>
      </c>
      <c r="CX151" s="22">
        <v>1.0</v>
      </c>
      <c r="CY151" s="22">
        <v>3.0</v>
      </c>
      <c r="CZ151" s="61">
        <v>1.875</v>
      </c>
      <c r="DA151" s="62" t="s">
        <v>568</v>
      </c>
    </row>
    <row r="152">
      <c r="A152" s="16" t="s">
        <v>332</v>
      </c>
      <c r="B152" s="16" t="s">
        <v>333</v>
      </c>
      <c r="C152" s="39" t="s">
        <v>45</v>
      </c>
      <c r="D152" s="16" t="s">
        <v>5</v>
      </c>
      <c r="E152" s="17" t="b">
        <f t="shared" ref="E152:K152" si="761">If(IFERROR(SEARCH(E$1, $D152),0) &gt;= 1, true,false)</f>
        <v>0</v>
      </c>
      <c r="F152" s="17" t="b">
        <f t="shared" si="761"/>
        <v>1</v>
      </c>
      <c r="G152" s="17" t="b">
        <f t="shared" si="761"/>
        <v>0</v>
      </c>
      <c r="H152" s="17" t="b">
        <f t="shared" si="761"/>
        <v>0</v>
      </c>
      <c r="I152" s="17" t="b">
        <f t="shared" si="761"/>
        <v>0</v>
      </c>
      <c r="J152" s="17" t="b">
        <f t="shared" si="761"/>
        <v>0</v>
      </c>
      <c r="K152" s="17" t="b">
        <f t="shared" si="761"/>
        <v>0</v>
      </c>
      <c r="L152" s="18" t="b">
        <v>1</v>
      </c>
      <c r="M152" s="18" t="b">
        <v>1</v>
      </c>
      <c r="N152" s="18" t="b">
        <v>0</v>
      </c>
      <c r="O152" s="18" t="b">
        <v>1</v>
      </c>
      <c r="P152" s="16" t="str">
        <f t="shared" si="7"/>
        <v>Wetenschappelijk Cultuurcentrum - ULB</v>
      </c>
      <c r="Q152" s="19">
        <v>6.0</v>
      </c>
      <c r="R152" s="18" t="b">
        <v>0</v>
      </c>
      <c r="S152" s="18" t="b">
        <v>1</v>
      </c>
      <c r="T152" s="30">
        <v>6.0</v>
      </c>
      <c r="U152" s="21">
        <f t="shared" si="8"/>
        <v>0</v>
      </c>
      <c r="V152" s="21">
        <f t="shared" ref="V152:AB152" si="762">if(OR(AW152 = $AO$4, AW152 = $AQ$4), 1, 0)</f>
        <v>0</v>
      </c>
      <c r="W152" s="21">
        <f t="shared" si="762"/>
        <v>0</v>
      </c>
      <c r="X152" s="21">
        <f t="shared" si="762"/>
        <v>0</v>
      </c>
      <c r="Y152" s="21">
        <f t="shared" si="762"/>
        <v>0</v>
      </c>
      <c r="Z152" s="21">
        <f t="shared" si="762"/>
        <v>0</v>
      </c>
      <c r="AA152" s="21">
        <f t="shared" si="762"/>
        <v>0</v>
      </c>
      <c r="AB152" s="21">
        <f t="shared" si="762"/>
        <v>0</v>
      </c>
      <c r="AC152" s="21">
        <f t="shared" si="10"/>
        <v>0</v>
      </c>
      <c r="AD152" s="21">
        <f t="shared" si="11"/>
        <v>1</v>
      </c>
      <c r="AE152" s="21">
        <f t="shared" ref="AE152:AH152" si="763">if(OR(BD152 = $AO$6, BD152 = $AS$6, BD152 = $AT$6, BD152 = $AU$6), 1, 0)</f>
        <v>1</v>
      </c>
      <c r="AF152" s="21">
        <f t="shared" si="763"/>
        <v>1</v>
      </c>
      <c r="AG152" s="21">
        <f t="shared" si="763"/>
        <v>0</v>
      </c>
      <c r="AH152" s="21">
        <f t="shared" si="763"/>
        <v>1</v>
      </c>
      <c r="AI152" s="21">
        <f t="shared" si="13"/>
        <v>3</v>
      </c>
      <c r="AJ152" s="21">
        <f t="shared" si="14"/>
        <v>4</v>
      </c>
      <c r="AK152" s="59">
        <f t="shared" si="15"/>
        <v>2.5</v>
      </c>
      <c r="AL152" s="60" t="str">
        <f t="shared" si="16"/>
        <v>subpar</v>
      </c>
      <c r="AW152" s="22">
        <f t="shared" ref="AW152:BC152" si="764">IF(IFERROR(SEARCH(E$1, $D152),0) &gt;= 1, E$1,0)</f>
        <v>0</v>
      </c>
      <c r="AX152" s="22" t="str">
        <f t="shared" si="764"/>
        <v>Wetenschap en technologie</v>
      </c>
      <c r="AY152" s="22">
        <f t="shared" si="764"/>
        <v>0</v>
      </c>
      <c r="AZ152" s="22">
        <f t="shared" si="764"/>
        <v>0</v>
      </c>
      <c r="BA152" s="22">
        <f t="shared" si="764"/>
        <v>0</v>
      </c>
      <c r="BB152" s="22">
        <f t="shared" si="764"/>
        <v>0</v>
      </c>
      <c r="BC152" s="22">
        <f t="shared" si="764"/>
        <v>0</v>
      </c>
      <c r="BD152" s="22" t="str">
        <f t="shared" ref="BD152:BG152" si="765">IF(L152 = true, BD$1, 0)</f>
        <v>Shop</v>
      </c>
      <c r="BE152" s="22" t="str">
        <f t="shared" si="765"/>
        <v>Café</v>
      </c>
      <c r="BF152" s="22">
        <f t="shared" si="765"/>
        <v>0</v>
      </c>
      <c r="BG152" s="22" t="str">
        <f t="shared" si="765"/>
        <v>Restaurant</v>
      </c>
      <c r="BH152" s="22" t="str">
        <f>IFERROR(__xludf.DUMMYFUNCTION("""COMPUTED_VALUE"""),"Andenne Museum")</f>
        <v>Andenne Museum</v>
      </c>
      <c r="BI152" s="24">
        <f>IFERROR(__xludf.DUMMYFUNCTION("""COMPUTED_VALUE"""),10.0)</f>
        <v>10</v>
      </c>
      <c r="BJ152" s="22" t="b">
        <f>IFERROR(__xludf.DUMMYFUNCTION("""COMPUTED_VALUE"""),FALSE)</f>
        <v>0</v>
      </c>
      <c r="BK152" s="22" t="b">
        <f>IFERROR(__xludf.DUMMYFUNCTION("""COMPUTED_VALUE"""),FALSE)</f>
        <v>0</v>
      </c>
      <c r="BL152" s="22"/>
      <c r="BM152" s="22">
        <f>IFERROR(__xludf.DUMMYFUNCTION("""COMPUTED_VALUE"""),0.0)</f>
        <v>0</v>
      </c>
      <c r="BN152" s="22">
        <f>IFERROR(__xludf.DUMMYFUNCTION("""COMPUTED_VALUE"""),1.0)</f>
        <v>1</v>
      </c>
      <c r="BO152" s="22">
        <f>IFERROR(__xludf.DUMMYFUNCTION("""COMPUTED_VALUE"""),0.0)</f>
        <v>0</v>
      </c>
      <c r="BP152" s="22">
        <f>IFERROR(__xludf.DUMMYFUNCTION("""COMPUTED_VALUE"""),0.0)</f>
        <v>0</v>
      </c>
      <c r="BQ152" s="22">
        <f>IFERROR(__xludf.DUMMYFUNCTION("""COMPUTED_VALUE"""),0.0)</f>
        <v>0</v>
      </c>
      <c r="BR152" s="22">
        <f>IFERROR(__xludf.DUMMYFUNCTION("""COMPUTED_VALUE"""),0.0)</f>
        <v>0</v>
      </c>
      <c r="BS152" s="22">
        <f>IFERROR(__xludf.DUMMYFUNCTION("""COMPUTED_VALUE"""),0.0)</f>
        <v>0</v>
      </c>
      <c r="BT152" s="22">
        <f>IFERROR(__xludf.DUMMYFUNCTION("""COMPUTED_VALUE"""),0.0)</f>
        <v>0</v>
      </c>
      <c r="BU152" s="22">
        <f>IFERROR(__xludf.DUMMYFUNCTION("""COMPUTED_VALUE"""),1.0)</f>
        <v>1</v>
      </c>
      <c r="BV152" s="22">
        <f>IFERROR(__xludf.DUMMYFUNCTION("""COMPUTED_VALUE"""),1.0)</f>
        <v>1</v>
      </c>
      <c r="BW152" s="22">
        <f>IFERROR(__xludf.DUMMYFUNCTION("""COMPUTED_VALUE"""),1.0)</f>
        <v>1</v>
      </c>
      <c r="BX152" s="22">
        <f>IFERROR(__xludf.DUMMYFUNCTION("""COMPUTED_VALUE"""),0.0)</f>
        <v>0</v>
      </c>
      <c r="BY152" s="22">
        <f>IFERROR(__xludf.DUMMYFUNCTION("""COMPUTED_VALUE"""),0.0)</f>
        <v>0</v>
      </c>
      <c r="BZ152" s="22">
        <f>IFERROR(__xludf.DUMMYFUNCTION("""COMPUTED_VALUE"""),0.0)</f>
        <v>0</v>
      </c>
      <c r="CA152" s="22">
        <f>IFERROR(__xludf.DUMMYFUNCTION("""COMPUTED_VALUE"""),1.0)</f>
        <v>1</v>
      </c>
      <c r="CB152" s="22">
        <f>IFERROR(__xludf.DUMMYFUNCTION("""COMPUTED_VALUE"""),3.0)</f>
        <v>3</v>
      </c>
      <c r="CC152" s="61">
        <f>IFERROR(__xludf.DUMMYFUNCTION("""COMPUTED_VALUE"""),1.875)</f>
        <v>1.875</v>
      </c>
      <c r="CD152" s="62" t="str">
        <f>IFERROR(__xludf.DUMMYFUNCTION("""COMPUTED_VALUE"""),"subpar")</f>
        <v>subpar</v>
      </c>
      <c r="CE152" s="22" t="s">
        <v>35</v>
      </c>
      <c r="CF152" s="24">
        <v>10.0</v>
      </c>
      <c r="CG152" s="22" t="b">
        <v>0</v>
      </c>
      <c r="CH152" s="22" t="b">
        <v>0</v>
      </c>
      <c r="CI152" s="22"/>
      <c r="CJ152" s="22">
        <v>0.0</v>
      </c>
      <c r="CK152" s="22">
        <v>1.0</v>
      </c>
      <c r="CL152" s="22">
        <v>0.0</v>
      </c>
      <c r="CM152" s="22">
        <v>0.0</v>
      </c>
      <c r="CN152" s="22">
        <v>0.0</v>
      </c>
      <c r="CO152" s="22">
        <v>0.0</v>
      </c>
      <c r="CP152" s="22">
        <v>0.0</v>
      </c>
      <c r="CQ152" s="22">
        <v>0.0</v>
      </c>
      <c r="CR152" s="22">
        <v>1.0</v>
      </c>
      <c r="CS152" s="22">
        <v>1.0</v>
      </c>
      <c r="CT152" s="22">
        <v>1.0</v>
      </c>
      <c r="CU152" s="22">
        <v>0.0</v>
      </c>
      <c r="CV152" s="22">
        <v>0.0</v>
      </c>
      <c r="CW152" s="22">
        <v>0.0</v>
      </c>
      <c r="CX152" s="22">
        <v>1.0</v>
      </c>
      <c r="CY152" s="22">
        <v>3.0</v>
      </c>
      <c r="CZ152" s="61">
        <v>1.875</v>
      </c>
      <c r="DA152" s="62" t="s">
        <v>568</v>
      </c>
    </row>
    <row r="153">
      <c r="A153" s="16"/>
      <c r="B153" s="16" t="s">
        <v>334</v>
      </c>
      <c r="C153" s="39" t="s">
        <v>45</v>
      </c>
      <c r="D153" s="16" t="s">
        <v>335</v>
      </c>
      <c r="E153" s="17" t="b">
        <f t="shared" ref="E153:K153" si="766">If(IFERROR(SEARCH(E$1, $D153),0) &gt;= 1, true,false)</f>
        <v>0</v>
      </c>
      <c r="F153" s="17" t="b">
        <f t="shared" si="766"/>
        <v>0</v>
      </c>
      <c r="G153" s="17" t="b">
        <f t="shared" si="766"/>
        <v>0</v>
      </c>
      <c r="H153" s="17" t="b">
        <f t="shared" si="766"/>
        <v>0</v>
      </c>
      <c r="I153" s="17" t="b">
        <f t="shared" si="766"/>
        <v>0</v>
      </c>
      <c r="J153" s="17" t="b">
        <f t="shared" si="766"/>
        <v>1</v>
      </c>
      <c r="K153" s="17" t="b">
        <f t="shared" si="766"/>
        <v>0</v>
      </c>
      <c r="L153" s="18" t="b">
        <v>1</v>
      </c>
      <c r="M153" s="18" t="b">
        <v>0</v>
      </c>
      <c r="N153" s="18" t="b">
        <v>0</v>
      </c>
      <c r="O153" s="18" t="b">
        <v>0</v>
      </c>
      <c r="P153" s="16" t="str">
        <f t="shared" si="7"/>
        <v>Centre de la Gravure et de l’Image imprimée </v>
      </c>
      <c r="Q153" s="19">
        <v>8.0</v>
      </c>
      <c r="R153" s="18" t="b">
        <v>0</v>
      </c>
      <c r="S153" s="18" t="b">
        <v>1</v>
      </c>
      <c r="T153" s="29">
        <v>8.0</v>
      </c>
      <c r="U153" s="21">
        <f t="shared" si="8"/>
        <v>0</v>
      </c>
      <c r="V153" s="21">
        <f t="shared" ref="V153:AB153" si="767">if(OR(AW153 = $AO$4, AW153 = $AQ$4), 1, 0)</f>
        <v>0</v>
      </c>
      <c r="W153" s="21">
        <f t="shared" si="767"/>
        <v>0</v>
      </c>
      <c r="X153" s="21">
        <f t="shared" si="767"/>
        <v>0</v>
      </c>
      <c r="Y153" s="21">
        <f t="shared" si="767"/>
        <v>0</v>
      </c>
      <c r="Z153" s="21">
        <f t="shared" si="767"/>
        <v>0</v>
      </c>
      <c r="AA153" s="21">
        <f t="shared" si="767"/>
        <v>1</v>
      </c>
      <c r="AB153" s="21">
        <f t="shared" si="767"/>
        <v>0</v>
      </c>
      <c r="AC153" s="21">
        <f t="shared" si="10"/>
        <v>1</v>
      </c>
      <c r="AD153" s="21">
        <f t="shared" si="11"/>
        <v>1</v>
      </c>
      <c r="AE153" s="21">
        <f t="shared" ref="AE153:AH153" si="768">if(OR(BD153 = $AO$6, BD153 = $AS$6, BD153 = $AT$6, BD153 = $AU$6), 1, 0)</f>
        <v>1</v>
      </c>
      <c r="AF153" s="21">
        <f t="shared" si="768"/>
        <v>0</v>
      </c>
      <c r="AG153" s="21">
        <f t="shared" si="768"/>
        <v>0</v>
      </c>
      <c r="AH153" s="21">
        <f t="shared" si="768"/>
        <v>0</v>
      </c>
      <c r="AI153" s="21">
        <f t="shared" si="13"/>
        <v>1</v>
      </c>
      <c r="AJ153" s="21">
        <f t="shared" si="14"/>
        <v>3</v>
      </c>
      <c r="AK153" s="59">
        <f t="shared" si="15"/>
        <v>1.875</v>
      </c>
      <c r="AL153" s="60" t="str">
        <f t="shared" si="16"/>
        <v>subpar</v>
      </c>
      <c r="AW153" s="22">
        <f t="shared" ref="AW153:BC153" si="769">IF(IFERROR(SEARCH(E$1, $D153),0) &gt;= 1, E$1,0)</f>
        <v>0</v>
      </c>
      <c r="AX153" s="22">
        <f t="shared" si="769"/>
        <v>0</v>
      </c>
      <c r="AY153" s="22">
        <f t="shared" si="769"/>
        <v>0</v>
      </c>
      <c r="AZ153" s="22">
        <f t="shared" si="769"/>
        <v>0</v>
      </c>
      <c r="BA153" s="22">
        <f t="shared" si="769"/>
        <v>0</v>
      </c>
      <c r="BB153" s="22" t="str">
        <f t="shared" si="769"/>
        <v>Beeldende kunst</v>
      </c>
      <c r="BC153" s="22">
        <f t="shared" si="769"/>
        <v>0</v>
      </c>
      <c r="BD153" s="22" t="str">
        <f t="shared" ref="BD153:BG153" si="770">IF(L153 = true, BD$1, 0)</f>
        <v>Shop</v>
      </c>
      <c r="BE153" s="22">
        <f t="shared" si="770"/>
        <v>0</v>
      </c>
      <c r="BF153" s="22">
        <f t="shared" si="770"/>
        <v>0</v>
      </c>
      <c r="BG153" s="22">
        <f t="shared" si="770"/>
        <v>0</v>
      </c>
      <c r="BH153" s="22" t="str">
        <f>IFERROR(__xludf.DUMMYFUNCTION("""COMPUTED_VALUE"""),"Le Pavillon")</f>
        <v>Le Pavillon</v>
      </c>
      <c r="BI153" s="24">
        <f>IFERROR(__xludf.DUMMYFUNCTION("""COMPUTED_VALUE"""),10.0)</f>
        <v>10</v>
      </c>
      <c r="BJ153" s="22" t="b">
        <f>IFERROR(__xludf.DUMMYFUNCTION("""COMPUTED_VALUE"""),FALSE)</f>
        <v>0</v>
      </c>
      <c r="BK153" s="22" t="b">
        <f>IFERROR(__xludf.DUMMYFUNCTION("""COMPUTED_VALUE"""),TRUE)</f>
        <v>1</v>
      </c>
      <c r="BL153" s="24">
        <f>IFERROR(__xludf.DUMMYFUNCTION("""COMPUTED_VALUE"""),10.0)</f>
        <v>10</v>
      </c>
      <c r="BM153" s="22">
        <f>IFERROR(__xludf.DUMMYFUNCTION("""COMPUTED_VALUE"""),0.0)</f>
        <v>0</v>
      </c>
      <c r="BN153" s="22">
        <f>IFERROR(__xludf.DUMMYFUNCTION("""COMPUTED_VALUE"""),0.0)</f>
        <v>0</v>
      </c>
      <c r="BO153" s="22">
        <f>IFERROR(__xludf.DUMMYFUNCTION("""COMPUTED_VALUE"""),0.0)</f>
        <v>0</v>
      </c>
      <c r="BP153" s="22">
        <f>IFERROR(__xludf.DUMMYFUNCTION("""COMPUTED_VALUE"""),0.0)</f>
        <v>0</v>
      </c>
      <c r="BQ153" s="22">
        <f>IFERROR(__xludf.DUMMYFUNCTION("""COMPUTED_VALUE"""),0.0)</f>
        <v>0</v>
      </c>
      <c r="BR153" s="22">
        <f>IFERROR(__xludf.DUMMYFUNCTION("""COMPUTED_VALUE"""),0.0)</f>
        <v>0</v>
      </c>
      <c r="BS153" s="22">
        <f>IFERROR(__xludf.DUMMYFUNCTION("""COMPUTED_VALUE"""),1.0)</f>
        <v>1</v>
      </c>
      <c r="BT153" s="22">
        <f>IFERROR(__xludf.DUMMYFUNCTION("""COMPUTED_VALUE"""),0.0)</f>
        <v>0</v>
      </c>
      <c r="BU153" s="22">
        <f>IFERROR(__xludf.DUMMYFUNCTION("""COMPUTED_VALUE"""),1.0)</f>
        <v>1</v>
      </c>
      <c r="BV153" s="22">
        <f>IFERROR(__xludf.DUMMYFUNCTION("""COMPUTED_VALUE"""),1.0)</f>
        <v>1</v>
      </c>
      <c r="BW153" s="22">
        <f>IFERROR(__xludf.DUMMYFUNCTION("""COMPUTED_VALUE"""),1.0)</f>
        <v>1</v>
      </c>
      <c r="BX153" s="22">
        <f>IFERROR(__xludf.DUMMYFUNCTION("""COMPUTED_VALUE"""),0.0)</f>
        <v>0</v>
      </c>
      <c r="BY153" s="22">
        <f>IFERROR(__xludf.DUMMYFUNCTION("""COMPUTED_VALUE"""),0.0)</f>
        <v>0</v>
      </c>
      <c r="BZ153" s="22">
        <f>IFERROR(__xludf.DUMMYFUNCTION("""COMPUTED_VALUE"""),0.0)</f>
        <v>0</v>
      </c>
      <c r="CA153" s="22">
        <f>IFERROR(__xludf.DUMMYFUNCTION("""COMPUTED_VALUE"""),1.0)</f>
        <v>1</v>
      </c>
      <c r="CB153" s="22">
        <f>IFERROR(__xludf.DUMMYFUNCTION("""COMPUTED_VALUE"""),3.0)</f>
        <v>3</v>
      </c>
      <c r="CC153" s="61">
        <f>IFERROR(__xludf.DUMMYFUNCTION("""COMPUTED_VALUE"""),1.875)</f>
        <v>1.875</v>
      </c>
      <c r="CD153" s="62" t="str">
        <f>IFERROR(__xludf.DUMMYFUNCTION("""COMPUTED_VALUE"""),"subpar")</f>
        <v>subpar</v>
      </c>
      <c r="CE153" s="22" t="s">
        <v>41</v>
      </c>
      <c r="CF153" s="24">
        <v>10.0</v>
      </c>
      <c r="CG153" s="22" t="b">
        <v>0</v>
      </c>
      <c r="CH153" s="22" t="b">
        <v>1</v>
      </c>
      <c r="CI153" s="24">
        <v>10.0</v>
      </c>
      <c r="CJ153" s="22">
        <v>0.0</v>
      </c>
      <c r="CK153" s="22">
        <v>0.0</v>
      </c>
      <c r="CL153" s="22">
        <v>0.0</v>
      </c>
      <c r="CM153" s="22">
        <v>0.0</v>
      </c>
      <c r="CN153" s="22">
        <v>0.0</v>
      </c>
      <c r="CO153" s="22">
        <v>0.0</v>
      </c>
      <c r="CP153" s="22">
        <v>1.0</v>
      </c>
      <c r="CQ153" s="22">
        <v>0.0</v>
      </c>
      <c r="CR153" s="22">
        <v>1.0</v>
      </c>
      <c r="CS153" s="22">
        <v>1.0</v>
      </c>
      <c r="CT153" s="22">
        <v>1.0</v>
      </c>
      <c r="CU153" s="22">
        <v>0.0</v>
      </c>
      <c r="CV153" s="22">
        <v>0.0</v>
      </c>
      <c r="CW153" s="22">
        <v>0.0</v>
      </c>
      <c r="CX153" s="22">
        <v>1.0</v>
      </c>
      <c r="CY153" s="22">
        <v>3.0</v>
      </c>
      <c r="CZ153" s="61">
        <v>1.875</v>
      </c>
      <c r="DA153" s="62" t="s">
        <v>568</v>
      </c>
    </row>
    <row r="154">
      <c r="A154" s="16" t="s">
        <v>336</v>
      </c>
      <c r="B154" s="16" t="s">
        <v>337</v>
      </c>
      <c r="C154" s="39" t="s">
        <v>45</v>
      </c>
      <c r="D154" s="16" t="s">
        <v>338</v>
      </c>
      <c r="E154" s="17" t="b">
        <f t="shared" ref="E154:K154" si="771">If(IFERROR(SEARCH(E$1, $D154),0) &gt;= 1, true,false)</f>
        <v>0</v>
      </c>
      <c r="F154" s="17" t="b">
        <f t="shared" si="771"/>
        <v>0</v>
      </c>
      <c r="G154" s="17" t="b">
        <f t="shared" si="771"/>
        <v>0</v>
      </c>
      <c r="H154" s="17" t="b">
        <f t="shared" si="771"/>
        <v>0</v>
      </c>
      <c r="I154" s="17" t="b">
        <f t="shared" si="771"/>
        <v>1</v>
      </c>
      <c r="J154" s="17" t="b">
        <f t="shared" si="771"/>
        <v>1</v>
      </c>
      <c r="K154" s="17" t="b">
        <f t="shared" si="771"/>
        <v>1</v>
      </c>
      <c r="L154" s="18" t="b">
        <v>1</v>
      </c>
      <c r="M154" s="18" t="b">
        <v>1</v>
      </c>
      <c r="N154" s="18" t="b">
        <v>1</v>
      </c>
      <c r="O154" s="18" t="b">
        <v>1</v>
      </c>
      <c r="P154" s="16" t="str">
        <f t="shared" si="7"/>
        <v>Centrum voor Innovatie en Design van Grand-Hornu</v>
      </c>
      <c r="Q154" s="19">
        <v>10.0</v>
      </c>
      <c r="R154" s="18" t="b">
        <v>0</v>
      </c>
      <c r="S154" s="18" t="b">
        <v>1</v>
      </c>
      <c r="T154" s="30">
        <v>10.0</v>
      </c>
      <c r="U154" s="21">
        <f t="shared" si="8"/>
        <v>0</v>
      </c>
      <c r="V154" s="21">
        <f t="shared" ref="V154:AB154" si="772">if(OR(AW154 = $AO$4, AW154 = $AQ$4), 1, 0)</f>
        <v>0</v>
      </c>
      <c r="W154" s="21">
        <f t="shared" si="772"/>
        <v>0</v>
      </c>
      <c r="X154" s="21">
        <f t="shared" si="772"/>
        <v>0</v>
      </c>
      <c r="Y154" s="21">
        <f t="shared" si="772"/>
        <v>0</v>
      </c>
      <c r="Z154" s="21">
        <f t="shared" si="772"/>
        <v>0</v>
      </c>
      <c r="AA154" s="21">
        <f t="shared" si="772"/>
        <v>1</v>
      </c>
      <c r="AB154" s="21">
        <f t="shared" si="772"/>
        <v>0</v>
      </c>
      <c r="AC154" s="21">
        <f t="shared" si="10"/>
        <v>1</v>
      </c>
      <c r="AD154" s="21">
        <f t="shared" si="11"/>
        <v>1</v>
      </c>
      <c r="AE154" s="21">
        <f t="shared" ref="AE154:AH154" si="773">if(OR(BD154 = $AO$6, BD154 = $AS$6, BD154 = $AT$6, BD154 = $AU$6), 1, 0)</f>
        <v>1</v>
      </c>
      <c r="AF154" s="21">
        <f t="shared" si="773"/>
        <v>1</v>
      </c>
      <c r="AG154" s="21">
        <f t="shared" si="773"/>
        <v>1</v>
      </c>
      <c r="AH154" s="21">
        <f t="shared" si="773"/>
        <v>1</v>
      </c>
      <c r="AI154" s="21">
        <f t="shared" si="13"/>
        <v>4</v>
      </c>
      <c r="AJ154" s="21">
        <f t="shared" si="14"/>
        <v>6</v>
      </c>
      <c r="AK154" s="59">
        <f t="shared" si="15"/>
        <v>3.75</v>
      </c>
      <c r="AL154" s="60" t="str">
        <f t="shared" si="16"/>
        <v>good</v>
      </c>
      <c r="AW154" s="22">
        <f t="shared" ref="AW154:BC154" si="774">IF(IFERROR(SEARCH(E$1, $D154),0) &gt;= 1, E$1,0)</f>
        <v>0</v>
      </c>
      <c r="AX154" s="22">
        <f t="shared" si="774"/>
        <v>0</v>
      </c>
      <c r="AY154" s="22">
        <f t="shared" si="774"/>
        <v>0</v>
      </c>
      <c r="AZ154" s="22">
        <f t="shared" si="774"/>
        <v>0</v>
      </c>
      <c r="BA154" s="22" t="str">
        <f t="shared" si="774"/>
        <v>Architectuur</v>
      </c>
      <c r="BB154" s="22" t="str">
        <f t="shared" si="774"/>
        <v>Beeldende kunst</v>
      </c>
      <c r="BC154" s="22" t="str">
        <f t="shared" si="774"/>
        <v>Toegepaste kunst en design</v>
      </c>
      <c r="BD154" s="22" t="str">
        <f t="shared" ref="BD154:BG154" si="775">IF(L154 = true, BD$1, 0)</f>
        <v>Shop</v>
      </c>
      <c r="BE154" s="22" t="str">
        <f t="shared" si="775"/>
        <v>Café</v>
      </c>
      <c r="BF154" s="22" t="str">
        <f t="shared" si="775"/>
        <v>Parking</v>
      </c>
      <c r="BG154" s="22" t="str">
        <f t="shared" si="775"/>
        <v>Restaurant</v>
      </c>
      <c r="BH154" s="22" t="str">
        <f>IFERROR(__xludf.DUMMYFUNCTION("""COMPUTED_VALUE"""),"MusAfrica Namen")</f>
        <v>MusAfrica Namen</v>
      </c>
      <c r="BI154" s="24">
        <f>IFERROR(__xludf.DUMMYFUNCTION("""COMPUTED_VALUE"""),8.0)</f>
        <v>8</v>
      </c>
      <c r="BJ154" s="22" t="b">
        <f>IFERROR(__xludf.DUMMYFUNCTION("""COMPUTED_VALUE"""),FALSE)</f>
        <v>0</v>
      </c>
      <c r="BK154" s="22" t="b">
        <f>IFERROR(__xludf.DUMMYFUNCTION("""COMPUTED_VALUE"""),FALSE)</f>
        <v>0</v>
      </c>
      <c r="BL154" s="22"/>
      <c r="BM154" s="22">
        <f>IFERROR(__xludf.DUMMYFUNCTION("""COMPUTED_VALUE"""),0.0)</f>
        <v>0</v>
      </c>
      <c r="BN154" s="22">
        <f>IFERROR(__xludf.DUMMYFUNCTION("""COMPUTED_VALUE"""),1.0)</f>
        <v>1</v>
      </c>
      <c r="BO154" s="22">
        <f>IFERROR(__xludf.DUMMYFUNCTION("""COMPUTED_VALUE"""),0.0)</f>
        <v>0</v>
      </c>
      <c r="BP154" s="22">
        <f>IFERROR(__xludf.DUMMYFUNCTION("""COMPUTED_VALUE"""),0.0)</f>
        <v>0</v>
      </c>
      <c r="BQ154" s="22">
        <f>IFERROR(__xludf.DUMMYFUNCTION("""COMPUTED_VALUE"""),0.0)</f>
        <v>0</v>
      </c>
      <c r="BR154" s="22">
        <f>IFERROR(__xludf.DUMMYFUNCTION("""COMPUTED_VALUE"""),0.0)</f>
        <v>0</v>
      </c>
      <c r="BS154" s="22">
        <f>IFERROR(__xludf.DUMMYFUNCTION("""COMPUTED_VALUE"""),0.0)</f>
        <v>0</v>
      </c>
      <c r="BT154" s="22">
        <f>IFERROR(__xludf.DUMMYFUNCTION("""COMPUTED_VALUE"""),0.0)</f>
        <v>0</v>
      </c>
      <c r="BU154" s="22">
        <f>IFERROR(__xludf.DUMMYFUNCTION("""COMPUTED_VALUE"""),1.0)</f>
        <v>1</v>
      </c>
      <c r="BV154" s="22">
        <f>IFERROR(__xludf.DUMMYFUNCTION("""COMPUTED_VALUE"""),1.0)</f>
        <v>1</v>
      </c>
      <c r="BW154" s="22">
        <f>IFERROR(__xludf.DUMMYFUNCTION("""COMPUTED_VALUE"""),1.0)</f>
        <v>1</v>
      </c>
      <c r="BX154" s="22">
        <f>IFERROR(__xludf.DUMMYFUNCTION("""COMPUTED_VALUE"""),0.0)</f>
        <v>0</v>
      </c>
      <c r="BY154" s="22">
        <f>IFERROR(__xludf.DUMMYFUNCTION("""COMPUTED_VALUE"""),0.0)</f>
        <v>0</v>
      </c>
      <c r="BZ154" s="22">
        <f>IFERROR(__xludf.DUMMYFUNCTION("""COMPUTED_VALUE"""),0.0)</f>
        <v>0</v>
      </c>
      <c r="CA154" s="22">
        <f>IFERROR(__xludf.DUMMYFUNCTION("""COMPUTED_VALUE"""),1.0)</f>
        <v>1</v>
      </c>
      <c r="CB154" s="22">
        <f>IFERROR(__xludf.DUMMYFUNCTION("""COMPUTED_VALUE"""),3.0)</f>
        <v>3</v>
      </c>
      <c r="CC154" s="61">
        <f>IFERROR(__xludf.DUMMYFUNCTION("""COMPUTED_VALUE"""),1.875)</f>
        <v>1.875</v>
      </c>
      <c r="CD154" s="62" t="str">
        <f>IFERROR(__xludf.DUMMYFUNCTION("""COMPUTED_VALUE"""),"subpar")</f>
        <v>subpar</v>
      </c>
      <c r="CE154" s="22" t="s">
        <v>49</v>
      </c>
      <c r="CF154" s="24">
        <v>8.0</v>
      </c>
      <c r="CG154" s="22" t="b">
        <v>0</v>
      </c>
      <c r="CH154" s="22" t="b">
        <v>0</v>
      </c>
      <c r="CI154" s="22"/>
      <c r="CJ154" s="22">
        <v>0.0</v>
      </c>
      <c r="CK154" s="22">
        <v>1.0</v>
      </c>
      <c r="CL154" s="22">
        <v>0.0</v>
      </c>
      <c r="CM154" s="22">
        <v>0.0</v>
      </c>
      <c r="CN154" s="22">
        <v>0.0</v>
      </c>
      <c r="CO154" s="22">
        <v>0.0</v>
      </c>
      <c r="CP154" s="22">
        <v>0.0</v>
      </c>
      <c r="CQ154" s="22">
        <v>0.0</v>
      </c>
      <c r="CR154" s="22">
        <v>1.0</v>
      </c>
      <c r="CS154" s="22">
        <v>1.0</v>
      </c>
      <c r="CT154" s="22">
        <v>1.0</v>
      </c>
      <c r="CU154" s="22">
        <v>0.0</v>
      </c>
      <c r="CV154" s="22">
        <v>0.0</v>
      </c>
      <c r="CW154" s="22">
        <v>0.0</v>
      </c>
      <c r="CX154" s="22">
        <v>1.0</v>
      </c>
      <c r="CY154" s="22">
        <v>3.0</v>
      </c>
      <c r="CZ154" s="61">
        <v>1.875</v>
      </c>
      <c r="DA154" s="62" t="s">
        <v>568</v>
      </c>
    </row>
    <row r="155">
      <c r="A155" s="16" t="s">
        <v>339</v>
      </c>
      <c r="B155" s="16" t="s">
        <v>340</v>
      </c>
      <c r="C155" s="39" t="s">
        <v>45</v>
      </c>
      <c r="D155" s="16" t="s">
        <v>341</v>
      </c>
      <c r="E155" s="17" t="b">
        <f t="shared" ref="E155:K155" si="776">If(IFERROR(SEARCH(E$1, $D155),0) &gt;= 1, true,false)</f>
        <v>0</v>
      </c>
      <c r="F155" s="17" t="b">
        <f t="shared" si="776"/>
        <v>0</v>
      </c>
      <c r="G155" s="17" t="b">
        <f t="shared" si="776"/>
        <v>0</v>
      </c>
      <c r="H155" s="17" t="b">
        <f t="shared" si="776"/>
        <v>0</v>
      </c>
      <c r="I155" s="17" t="b">
        <f t="shared" si="776"/>
        <v>1</v>
      </c>
      <c r="J155" s="17" t="b">
        <f t="shared" si="776"/>
        <v>0</v>
      </c>
      <c r="K155" s="17" t="b">
        <f t="shared" si="776"/>
        <v>0</v>
      </c>
      <c r="L155" s="18" t="b">
        <v>1</v>
      </c>
      <c r="M155" s="18" t="b">
        <v>1</v>
      </c>
      <c r="N155" s="18" t="b">
        <v>0</v>
      </c>
      <c r="O155" s="18" t="b">
        <v>1</v>
      </c>
      <c r="P155" s="16" t="str">
        <f t="shared" si="7"/>
        <v>Domein van het Kasteel van Seneffe</v>
      </c>
      <c r="Q155" s="19">
        <v>6.0</v>
      </c>
      <c r="R155" s="18" t="b">
        <v>0</v>
      </c>
      <c r="S155" s="18" t="b">
        <v>1</v>
      </c>
      <c r="T155" s="30">
        <v>6.0</v>
      </c>
      <c r="U155" s="21">
        <f t="shared" si="8"/>
        <v>0</v>
      </c>
      <c r="V155" s="21">
        <f t="shared" ref="V155:AB155" si="777">if(OR(AW155 = $AO$4, AW155 = $AQ$4), 1, 0)</f>
        <v>0</v>
      </c>
      <c r="W155" s="21">
        <f t="shared" si="777"/>
        <v>0</v>
      </c>
      <c r="X155" s="21">
        <f t="shared" si="777"/>
        <v>0</v>
      </c>
      <c r="Y155" s="21">
        <f t="shared" si="777"/>
        <v>0</v>
      </c>
      <c r="Z155" s="21">
        <f t="shared" si="777"/>
        <v>0</v>
      </c>
      <c r="AA155" s="21">
        <f t="shared" si="777"/>
        <v>0</v>
      </c>
      <c r="AB155" s="21">
        <f t="shared" si="777"/>
        <v>0</v>
      </c>
      <c r="AC155" s="21">
        <f t="shared" si="10"/>
        <v>0</v>
      </c>
      <c r="AD155" s="21">
        <f t="shared" si="11"/>
        <v>1</v>
      </c>
      <c r="AE155" s="21">
        <f t="shared" ref="AE155:AH155" si="778">if(OR(BD155 = $AO$6, BD155 = $AS$6, BD155 = $AT$6, BD155 = $AU$6), 1, 0)</f>
        <v>1</v>
      </c>
      <c r="AF155" s="21">
        <f t="shared" si="778"/>
        <v>1</v>
      </c>
      <c r="AG155" s="21">
        <f t="shared" si="778"/>
        <v>0</v>
      </c>
      <c r="AH155" s="21">
        <f t="shared" si="778"/>
        <v>1</v>
      </c>
      <c r="AI155" s="21">
        <f t="shared" si="13"/>
        <v>3</v>
      </c>
      <c r="AJ155" s="21">
        <f t="shared" si="14"/>
        <v>4</v>
      </c>
      <c r="AK155" s="59">
        <f t="shared" si="15"/>
        <v>2.5</v>
      </c>
      <c r="AL155" s="60" t="str">
        <f t="shared" si="16"/>
        <v>subpar</v>
      </c>
      <c r="AW155" s="22">
        <f t="shared" ref="AW155:BC155" si="779">IF(IFERROR(SEARCH(E$1, $D155),0) &gt;= 1, E$1,0)</f>
        <v>0</v>
      </c>
      <c r="AX155" s="22">
        <f t="shared" si="779"/>
        <v>0</v>
      </c>
      <c r="AY155" s="22">
        <f t="shared" si="779"/>
        <v>0</v>
      </c>
      <c r="AZ155" s="22">
        <f t="shared" si="779"/>
        <v>0</v>
      </c>
      <c r="BA155" s="22" t="str">
        <f t="shared" si="779"/>
        <v>Architectuur</v>
      </c>
      <c r="BB155" s="22">
        <f t="shared" si="779"/>
        <v>0</v>
      </c>
      <c r="BC155" s="22">
        <f t="shared" si="779"/>
        <v>0</v>
      </c>
      <c r="BD155" s="22" t="str">
        <f t="shared" ref="BD155:BG155" si="780">IF(L155 = true, BD$1, 0)</f>
        <v>Shop</v>
      </c>
      <c r="BE155" s="22" t="str">
        <f t="shared" si="780"/>
        <v>Café</v>
      </c>
      <c r="BF155" s="22">
        <f t="shared" si="780"/>
        <v>0</v>
      </c>
      <c r="BG155" s="22" t="str">
        <f t="shared" si="780"/>
        <v>Restaurant</v>
      </c>
      <c r="BH155" s="22" t="str">
        <f>IFERROR(__xludf.DUMMYFUNCTION("""COMPUTED_VALUE"""),"Musée du Malgré-Tout")</f>
        <v>Musée du Malgré-Tout</v>
      </c>
      <c r="BI155" s="24">
        <f>IFERROR(__xludf.DUMMYFUNCTION("""COMPUTED_VALUE"""),5.0)</f>
        <v>5</v>
      </c>
      <c r="BJ155" s="22" t="b">
        <f>IFERROR(__xludf.DUMMYFUNCTION("""COMPUTED_VALUE"""),FALSE)</f>
        <v>0</v>
      </c>
      <c r="BK155" s="22" t="b">
        <f>IFERROR(__xludf.DUMMYFUNCTION("""COMPUTED_VALUE"""),FALSE)</f>
        <v>0</v>
      </c>
      <c r="BL155" s="22"/>
      <c r="BM155" s="22">
        <f>IFERROR(__xludf.DUMMYFUNCTION("""COMPUTED_VALUE"""),0.0)</f>
        <v>0</v>
      </c>
      <c r="BN155" s="22">
        <f>IFERROR(__xludf.DUMMYFUNCTION("""COMPUTED_VALUE"""),1.0)</f>
        <v>1</v>
      </c>
      <c r="BO155" s="22">
        <f>IFERROR(__xludf.DUMMYFUNCTION("""COMPUTED_VALUE"""),0.0)</f>
        <v>0</v>
      </c>
      <c r="BP155" s="22">
        <f>IFERROR(__xludf.DUMMYFUNCTION("""COMPUTED_VALUE"""),0.0)</f>
        <v>0</v>
      </c>
      <c r="BQ155" s="22">
        <f>IFERROR(__xludf.DUMMYFUNCTION("""COMPUTED_VALUE"""),0.0)</f>
        <v>0</v>
      </c>
      <c r="BR155" s="22">
        <f>IFERROR(__xludf.DUMMYFUNCTION("""COMPUTED_VALUE"""),0.0)</f>
        <v>0</v>
      </c>
      <c r="BS155" s="22">
        <f>IFERROR(__xludf.DUMMYFUNCTION("""COMPUTED_VALUE"""),0.0)</f>
        <v>0</v>
      </c>
      <c r="BT155" s="22">
        <f>IFERROR(__xludf.DUMMYFUNCTION("""COMPUTED_VALUE"""),0.0)</f>
        <v>0</v>
      </c>
      <c r="BU155" s="22">
        <f>IFERROR(__xludf.DUMMYFUNCTION("""COMPUTED_VALUE"""),1.0)</f>
        <v>1</v>
      </c>
      <c r="BV155" s="22">
        <f>IFERROR(__xludf.DUMMYFUNCTION("""COMPUTED_VALUE"""),1.0)</f>
        <v>1</v>
      </c>
      <c r="BW155" s="22">
        <f>IFERROR(__xludf.DUMMYFUNCTION("""COMPUTED_VALUE"""),1.0)</f>
        <v>1</v>
      </c>
      <c r="BX155" s="22">
        <f>IFERROR(__xludf.DUMMYFUNCTION("""COMPUTED_VALUE"""),0.0)</f>
        <v>0</v>
      </c>
      <c r="BY155" s="22">
        <f>IFERROR(__xludf.DUMMYFUNCTION("""COMPUTED_VALUE"""),0.0)</f>
        <v>0</v>
      </c>
      <c r="BZ155" s="22">
        <f>IFERROR(__xludf.DUMMYFUNCTION("""COMPUTED_VALUE"""),0.0)</f>
        <v>0</v>
      </c>
      <c r="CA155" s="22">
        <f>IFERROR(__xludf.DUMMYFUNCTION("""COMPUTED_VALUE"""),1.0)</f>
        <v>1</v>
      </c>
      <c r="CB155" s="22">
        <f>IFERROR(__xludf.DUMMYFUNCTION("""COMPUTED_VALUE"""),3.0)</f>
        <v>3</v>
      </c>
      <c r="CC155" s="61">
        <f>IFERROR(__xludf.DUMMYFUNCTION("""COMPUTED_VALUE"""),1.875)</f>
        <v>1.875</v>
      </c>
      <c r="CD155" s="62" t="str">
        <f>IFERROR(__xludf.DUMMYFUNCTION("""COMPUTED_VALUE"""),"subpar")</f>
        <v>subpar</v>
      </c>
      <c r="CE155" s="22" t="s">
        <v>56</v>
      </c>
      <c r="CF155" s="24">
        <v>5.0</v>
      </c>
      <c r="CG155" s="22" t="b">
        <v>0</v>
      </c>
      <c r="CH155" s="22" t="b">
        <v>0</v>
      </c>
      <c r="CI155" s="22"/>
      <c r="CJ155" s="22">
        <v>0.0</v>
      </c>
      <c r="CK155" s="22">
        <v>1.0</v>
      </c>
      <c r="CL155" s="22">
        <v>0.0</v>
      </c>
      <c r="CM155" s="22">
        <v>0.0</v>
      </c>
      <c r="CN155" s="22">
        <v>0.0</v>
      </c>
      <c r="CO155" s="22">
        <v>0.0</v>
      </c>
      <c r="CP155" s="22">
        <v>0.0</v>
      </c>
      <c r="CQ155" s="22">
        <v>0.0</v>
      </c>
      <c r="CR155" s="22">
        <v>1.0</v>
      </c>
      <c r="CS155" s="22">
        <v>1.0</v>
      </c>
      <c r="CT155" s="22">
        <v>1.0</v>
      </c>
      <c r="CU155" s="22">
        <v>0.0</v>
      </c>
      <c r="CV155" s="22">
        <v>0.0</v>
      </c>
      <c r="CW155" s="22">
        <v>0.0</v>
      </c>
      <c r="CX155" s="22">
        <v>1.0</v>
      </c>
      <c r="CY155" s="22">
        <v>3.0</v>
      </c>
      <c r="CZ155" s="61">
        <v>1.875</v>
      </c>
      <c r="DA155" s="62" t="s">
        <v>568</v>
      </c>
    </row>
    <row r="156">
      <c r="A156" s="16" t="s">
        <v>342</v>
      </c>
      <c r="B156" s="16" t="s">
        <v>343</v>
      </c>
      <c r="C156" s="39" t="s">
        <v>45</v>
      </c>
      <c r="D156" s="16" t="s">
        <v>344</v>
      </c>
      <c r="E156" s="17" t="b">
        <f t="shared" ref="E156:K156" si="781">If(IFERROR(SEARCH(E$1, $D156),0) &gt;= 1, true,false)</f>
        <v>1</v>
      </c>
      <c r="F156" s="17" t="b">
        <f t="shared" si="781"/>
        <v>0</v>
      </c>
      <c r="G156" s="17" t="b">
        <f t="shared" si="781"/>
        <v>0</v>
      </c>
      <c r="H156" s="17" t="b">
        <f t="shared" si="781"/>
        <v>0</v>
      </c>
      <c r="I156" s="17" t="b">
        <f t="shared" si="781"/>
        <v>0</v>
      </c>
      <c r="J156" s="17" t="b">
        <f t="shared" si="781"/>
        <v>0</v>
      </c>
      <c r="K156" s="17" t="b">
        <f t="shared" si="781"/>
        <v>0</v>
      </c>
      <c r="L156" s="18" t="b">
        <v>1</v>
      </c>
      <c r="M156" s="18" t="b">
        <v>0</v>
      </c>
      <c r="N156" s="18" t="b">
        <v>0</v>
      </c>
      <c r="O156" s="18" t="b">
        <v>0</v>
      </c>
      <c r="P156" s="16" t="str">
        <f t="shared" si="7"/>
        <v>Gallo-Romeins Museum van Aat</v>
      </c>
      <c r="Q156" s="19">
        <v>6.0</v>
      </c>
      <c r="R156" s="18" t="b">
        <v>0</v>
      </c>
      <c r="S156" s="18" t="b">
        <v>1</v>
      </c>
      <c r="T156" s="31">
        <v>6.0</v>
      </c>
      <c r="U156" s="21">
        <f t="shared" si="8"/>
        <v>0</v>
      </c>
      <c r="V156" s="21">
        <f t="shared" ref="V156:AB156" si="782">if(OR(AW156 = $AO$4, AW156 = $AQ$4), 1, 0)</f>
        <v>1</v>
      </c>
      <c r="W156" s="21">
        <f t="shared" si="782"/>
        <v>0</v>
      </c>
      <c r="X156" s="21">
        <f t="shared" si="782"/>
        <v>0</v>
      </c>
      <c r="Y156" s="21">
        <f t="shared" si="782"/>
        <v>0</v>
      </c>
      <c r="Z156" s="21">
        <f t="shared" si="782"/>
        <v>0</v>
      </c>
      <c r="AA156" s="21">
        <f t="shared" si="782"/>
        <v>0</v>
      </c>
      <c r="AB156" s="21">
        <f t="shared" si="782"/>
        <v>0</v>
      </c>
      <c r="AC156" s="21">
        <f t="shared" si="10"/>
        <v>1</v>
      </c>
      <c r="AD156" s="21">
        <f t="shared" si="11"/>
        <v>1</v>
      </c>
      <c r="AE156" s="21">
        <f t="shared" ref="AE156:AH156" si="783">if(OR(BD156 = $AO$6, BD156 = $AS$6, BD156 = $AT$6, BD156 = $AU$6), 1, 0)</f>
        <v>1</v>
      </c>
      <c r="AF156" s="21">
        <f t="shared" si="783"/>
        <v>0</v>
      </c>
      <c r="AG156" s="21">
        <f t="shared" si="783"/>
        <v>0</v>
      </c>
      <c r="AH156" s="21">
        <f t="shared" si="783"/>
        <v>0</v>
      </c>
      <c r="AI156" s="21">
        <f t="shared" si="13"/>
        <v>1</v>
      </c>
      <c r="AJ156" s="21">
        <f t="shared" si="14"/>
        <v>3</v>
      </c>
      <c r="AK156" s="59">
        <f t="shared" si="15"/>
        <v>1.875</v>
      </c>
      <c r="AL156" s="60" t="str">
        <f t="shared" si="16"/>
        <v>subpar</v>
      </c>
      <c r="AW156" s="22" t="str">
        <f t="shared" ref="AW156:BC156" si="784">IF(IFERROR(SEARCH(E$1, $D156),0) &gt;= 1, E$1,0)</f>
        <v>Geschiedenis en archeologie</v>
      </c>
      <c r="AX156" s="22">
        <f t="shared" si="784"/>
        <v>0</v>
      </c>
      <c r="AY156" s="22">
        <f t="shared" si="784"/>
        <v>0</v>
      </c>
      <c r="AZ156" s="22">
        <f t="shared" si="784"/>
        <v>0</v>
      </c>
      <c r="BA156" s="22">
        <f t="shared" si="784"/>
        <v>0</v>
      </c>
      <c r="BB156" s="22">
        <f t="shared" si="784"/>
        <v>0</v>
      </c>
      <c r="BC156" s="22">
        <f t="shared" si="784"/>
        <v>0</v>
      </c>
      <c r="BD156" s="22" t="str">
        <f t="shared" ref="BD156:BG156" si="785">IF(L156 = true, BD$1, 0)</f>
        <v>Shop</v>
      </c>
      <c r="BE156" s="22">
        <f t="shared" si="785"/>
        <v>0</v>
      </c>
      <c r="BF156" s="22">
        <f t="shared" si="785"/>
        <v>0</v>
      </c>
      <c r="BG156" s="22">
        <f t="shared" si="785"/>
        <v>0</v>
      </c>
      <c r="BH156" s="22" t="str">
        <f>IFERROR(__xludf.DUMMYFUNCTION("""COMPUTED_VALUE"""),"Museum van het Klein Formaat")</f>
        <v>Museum van het Klein Formaat</v>
      </c>
      <c r="BI156" s="24">
        <f>IFERROR(__xludf.DUMMYFUNCTION("""COMPUTED_VALUE"""),5.0)</f>
        <v>5</v>
      </c>
      <c r="BJ156" s="22" t="b">
        <f>IFERROR(__xludf.DUMMYFUNCTION("""COMPUTED_VALUE"""),FALSE)</f>
        <v>0</v>
      </c>
      <c r="BK156" s="22" t="b">
        <f>IFERROR(__xludf.DUMMYFUNCTION("""COMPUTED_VALUE"""),TRUE)</f>
        <v>1</v>
      </c>
      <c r="BL156" s="24">
        <f>IFERROR(__xludf.DUMMYFUNCTION("""COMPUTED_VALUE"""),5.0)</f>
        <v>5</v>
      </c>
      <c r="BM156" s="22">
        <f>IFERROR(__xludf.DUMMYFUNCTION("""COMPUTED_VALUE"""),0.0)</f>
        <v>0</v>
      </c>
      <c r="BN156" s="22">
        <f>IFERROR(__xludf.DUMMYFUNCTION("""COMPUTED_VALUE"""),0.0)</f>
        <v>0</v>
      </c>
      <c r="BO156" s="22">
        <f>IFERROR(__xludf.DUMMYFUNCTION("""COMPUTED_VALUE"""),0.0)</f>
        <v>0</v>
      </c>
      <c r="BP156" s="22">
        <f>IFERROR(__xludf.DUMMYFUNCTION("""COMPUTED_VALUE"""),0.0)</f>
        <v>0</v>
      </c>
      <c r="BQ156" s="22">
        <f>IFERROR(__xludf.DUMMYFUNCTION("""COMPUTED_VALUE"""),0.0)</f>
        <v>0</v>
      </c>
      <c r="BR156" s="22">
        <f>IFERROR(__xludf.DUMMYFUNCTION("""COMPUTED_VALUE"""),0.0)</f>
        <v>0</v>
      </c>
      <c r="BS156" s="22">
        <f>IFERROR(__xludf.DUMMYFUNCTION("""COMPUTED_VALUE"""),1.0)</f>
        <v>1</v>
      </c>
      <c r="BT156" s="22">
        <f>IFERROR(__xludf.DUMMYFUNCTION("""COMPUTED_VALUE"""),0.0)</f>
        <v>0</v>
      </c>
      <c r="BU156" s="22">
        <f>IFERROR(__xludf.DUMMYFUNCTION("""COMPUTED_VALUE"""),1.0)</f>
        <v>1</v>
      </c>
      <c r="BV156" s="22">
        <f>IFERROR(__xludf.DUMMYFUNCTION("""COMPUTED_VALUE"""),1.0)</f>
        <v>1</v>
      </c>
      <c r="BW156" s="22">
        <f>IFERROR(__xludf.DUMMYFUNCTION("""COMPUTED_VALUE"""),1.0)</f>
        <v>1</v>
      </c>
      <c r="BX156" s="22">
        <f>IFERROR(__xludf.DUMMYFUNCTION("""COMPUTED_VALUE"""),0.0)</f>
        <v>0</v>
      </c>
      <c r="BY156" s="22">
        <f>IFERROR(__xludf.DUMMYFUNCTION("""COMPUTED_VALUE"""),0.0)</f>
        <v>0</v>
      </c>
      <c r="BZ156" s="22">
        <f>IFERROR(__xludf.DUMMYFUNCTION("""COMPUTED_VALUE"""),0.0)</f>
        <v>0</v>
      </c>
      <c r="CA156" s="22">
        <f>IFERROR(__xludf.DUMMYFUNCTION("""COMPUTED_VALUE"""),1.0)</f>
        <v>1</v>
      </c>
      <c r="CB156" s="22">
        <f>IFERROR(__xludf.DUMMYFUNCTION("""COMPUTED_VALUE"""),3.0)</f>
        <v>3</v>
      </c>
      <c r="CC156" s="61">
        <f>IFERROR(__xludf.DUMMYFUNCTION("""COMPUTED_VALUE"""),1.875)</f>
        <v>1.875</v>
      </c>
      <c r="CD156" s="62" t="str">
        <f>IFERROR(__xludf.DUMMYFUNCTION("""COMPUTED_VALUE"""),"subpar")</f>
        <v>subpar</v>
      </c>
      <c r="CE156" s="22" t="s">
        <v>57</v>
      </c>
      <c r="CF156" s="24">
        <v>5.0</v>
      </c>
      <c r="CG156" s="22" t="b">
        <v>0</v>
      </c>
      <c r="CH156" s="22" t="b">
        <v>1</v>
      </c>
      <c r="CI156" s="24">
        <v>5.0</v>
      </c>
      <c r="CJ156" s="22">
        <v>0.0</v>
      </c>
      <c r="CK156" s="22">
        <v>0.0</v>
      </c>
      <c r="CL156" s="22">
        <v>0.0</v>
      </c>
      <c r="CM156" s="22">
        <v>0.0</v>
      </c>
      <c r="CN156" s="22">
        <v>0.0</v>
      </c>
      <c r="CO156" s="22">
        <v>0.0</v>
      </c>
      <c r="CP156" s="22">
        <v>1.0</v>
      </c>
      <c r="CQ156" s="22">
        <v>0.0</v>
      </c>
      <c r="CR156" s="22">
        <v>1.0</v>
      </c>
      <c r="CS156" s="22">
        <v>1.0</v>
      </c>
      <c r="CT156" s="22">
        <v>1.0</v>
      </c>
      <c r="CU156" s="22">
        <v>0.0</v>
      </c>
      <c r="CV156" s="22">
        <v>0.0</v>
      </c>
      <c r="CW156" s="22">
        <v>0.0</v>
      </c>
      <c r="CX156" s="22">
        <v>1.0</v>
      </c>
      <c r="CY156" s="22">
        <v>3.0</v>
      </c>
      <c r="CZ156" s="61">
        <v>1.875</v>
      </c>
      <c r="DA156" s="62" t="s">
        <v>568</v>
      </c>
    </row>
    <row r="157">
      <c r="A157" s="16" t="s">
        <v>345</v>
      </c>
      <c r="B157" s="16" t="s">
        <v>346</v>
      </c>
      <c r="C157" s="39" t="s">
        <v>45</v>
      </c>
      <c r="D157" s="16" t="s">
        <v>344</v>
      </c>
      <c r="E157" s="17" t="b">
        <f t="shared" ref="E157:K157" si="786">If(IFERROR(SEARCH(E$1, $D157),0) &gt;= 1, true,false)</f>
        <v>1</v>
      </c>
      <c r="F157" s="17" t="b">
        <f t="shared" si="786"/>
        <v>0</v>
      </c>
      <c r="G157" s="17" t="b">
        <f t="shared" si="786"/>
        <v>0</v>
      </c>
      <c r="H157" s="17" t="b">
        <f t="shared" si="786"/>
        <v>0</v>
      </c>
      <c r="I157" s="17" t="b">
        <f t="shared" si="786"/>
        <v>0</v>
      </c>
      <c r="J157" s="17" t="b">
        <f t="shared" si="786"/>
        <v>0</v>
      </c>
      <c r="K157" s="17" t="b">
        <f t="shared" si="786"/>
        <v>0</v>
      </c>
      <c r="L157" s="18" t="b">
        <v>1</v>
      </c>
      <c r="M157" s="18" t="b">
        <v>0</v>
      </c>
      <c r="N157" s="18" t="b">
        <v>1</v>
      </c>
      <c r="O157" s="18" t="b">
        <v>1</v>
      </c>
      <c r="P157" s="16" t="str">
        <f t="shared" si="7"/>
        <v>Hospitaal Onze-Lieve-Vrouw met de Roos</v>
      </c>
      <c r="Q157" s="19">
        <v>13.0</v>
      </c>
      <c r="R157" s="18" t="b">
        <v>0</v>
      </c>
      <c r="S157" s="18" t="b">
        <v>1</v>
      </c>
      <c r="T157" s="31">
        <v>13.0</v>
      </c>
      <c r="U157" s="21">
        <f t="shared" si="8"/>
        <v>0</v>
      </c>
      <c r="V157" s="21">
        <f t="shared" ref="V157:AB157" si="787">if(OR(AW157 = $AO$4, AW157 = $AQ$4), 1, 0)</f>
        <v>1</v>
      </c>
      <c r="W157" s="21">
        <f t="shared" si="787"/>
        <v>0</v>
      </c>
      <c r="X157" s="21">
        <f t="shared" si="787"/>
        <v>0</v>
      </c>
      <c r="Y157" s="21">
        <f t="shared" si="787"/>
        <v>0</v>
      </c>
      <c r="Z157" s="21">
        <f t="shared" si="787"/>
        <v>0</v>
      </c>
      <c r="AA157" s="21">
        <f t="shared" si="787"/>
        <v>0</v>
      </c>
      <c r="AB157" s="21">
        <f t="shared" si="787"/>
        <v>0</v>
      </c>
      <c r="AC157" s="21">
        <f t="shared" si="10"/>
        <v>1</v>
      </c>
      <c r="AD157" s="21">
        <f t="shared" si="11"/>
        <v>0</v>
      </c>
      <c r="AE157" s="21">
        <f t="shared" ref="AE157:AH157" si="788">if(OR(BD157 = $AO$6, BD157 = $AS$6, BD157 = $AT$6, BD157 = $AU$6), 1, 0)</f>
        <v>1</v>
      </c>
      <c r="AF157" s="21">
        <f t="shared" si="788"/>
        <v>0</v>
      </c>
      <c r="AG157" s="21">
        <f t="shared" si="788"/>
        <v>1</v>
      </c>
      <c r="AH157" s="21">
        <f t="shared" si="788"/>
        <v>1</v>
      </c>
      <c r="AI157" s="21">
        <f t="shared" si="13"/>
        <v>3</v>
      </c>
      <c r="AJ157" s="21">
        <f t="shared" si="14"/>
        <v>4</v>
      </c>
      <c r="AK157" s="59">
        <f t="shared" si="15"/>
        <v>2.5</v>
      </c>
      <c r="AL157" s="60" t="str">
        <f t="shared" si="16"/>
        <v>subpar</v>
      </c>
      <c r="AW157" s="22" t="str">
        <f t="shared" ref="AW157:BC157" si="789">IF(IFERROR(SEARCH(E$1, $D157),0) &gt;= 1, E$1,0)</f>
        <v>Geschiedenis en archeologie</v>
      </c>
      <c r="AX157" s="22">
        <f t="shared" si="789"/>
        <v>0</v>
      </c>
      <c r="AY157" s="22">
        <f t="shared" si="789"/>
        <v>0</v>
      </c>
      <c r="AZ157" s="22">
        <f t="shared" si="789"/>
        <v>0</v>
      </c>
      <c r="BA157" s="22">
        <f t="shared" si="789"/>
        <v>0</v>
      </c>
      <c r="BB157" s="22">
        <f t="shared" si="789"/>
        <v>0</v>
      </c>
      <c r="BC157" s="22">
        <f t="shared" si="789"/>
        <v>0</v>
      </c>
      <c r="BD157" s="22" t="str">
        <f t="shared" ref="BD157:BG157" si="790">IF(L157 = true, BD$1, 0)</f>
        <v>Shop</v>
      </c>
      <c r="BE157" s="22">
        <f t="shared" si="790"/>
        <v>0</v>
      </c>
      <c r="BF157" s="22" t="str">
        <f t="shared" si="790"/>
        <v>Parking</v>
      </c>
      <c r="BG157" s="22" t="str">
        <f t="shared" si="790"/>
        <v>Restaurant</v>
      </c>
      <c r="BH157" s="22" t="str">
        <f>IFERROR(__xludf.DUMMYFUNCTION("""COMPUTED_VALUE"""),"Félicien Rops Museum")</f>
        <v>Félicien Rops Museum</v>
      </c>
      <c r="BI157" s="24">
        <f>IFERROR(__xludf.DUMMYFUNCTION("""COMPUTED_VALUE"""),0.0)</f>
        <v>0</v>
      </c>
      <c r="BJ157" s="22" t="b">
        <f>IFERROR(__xludf.DUMMYFUNCTION("""COMPUTED_VALUE"""),FALSE)</f>
        <v>0</v>
      </c>
      <c r="BK157" s="22" t="b">
        <f>IFERROR(__xludf.DUMMYFUNCTION("""COMPUTED_VALUE"""),TRUE)</f>
        <v>1</v>
      </c>
      <c r="BL157" s="24">
        <f>IFERROR(__xludf.DUMMYFUNCTION("""COMPUTED_VALUE"""),8.0)</f>
        <v>8</v>
      </c>
      <c r="BM157" s="22">
        <f>IFERROR(__xludf.DUMMYFUNCTION("""COMPUTED_VALUE"""),0.0)</f>
        <v>0</v>
      </c>
      <c r="BN157" s="22">
        <f>IFERROR(__xludf.DUMMYFUNCTION("""COMPUTED_VALUE"""),0.0)</f>
        <v>0</v>
      </c>
      <c r="BO157" s="22">
        <f>IFERROR(__xludf.DUMMYFUNCTION("""COMPUTED_VALUE"""),0.0)</f>
        <v>0</v>
      </c>
      <c r="BP157" s="22">
        <f>IFERROR(__xludf.DUMMYFUNCTION("""COMPUTED_VALUE"""),0.0)</f>
        <v>0</v>
      </c>
      <c r="BQ157" s="22">
        <f>IFERROR(__xludf.DUMMYFUNCTION("""COMPUTED_VALUE"""),0.0)</f>
        <v>0</v>
      </c>
      <c r="BR157" s="22">
        <f>IFERROR(__xludf.DUMMYFUNCTION("""COMPUTED_VALUE"""),0.0)</f>
        <v>0</v>
      </c>
      <c r="BS157" s="22">
        <f>IFERROR(__xludf.DUMMYFUNCTION("""COMPUTED_VALUE"""),1.0)</f>
        <v>1</v>
      </c>
      <c r="BT157" s="22">
        <f>IFERROR(__xludf.DUMMYFUNCTION("""COMPUTED_VALUE"""),0.0)</f>
        <v>0</v>
      </c>
      <c r="BU157" s="22">
        <f>IFERROR(__xludf.DUMMYFUNCTION("""COMPUTED_VALUE"""),1.0)</f>
        <v>1</v>
      </c>
      <c r="BV157" s="22">
        <f>IFERROR(__xludf.DUMMYFUNCTION("""COMPUTED_VALUE"""),1.0)</f>
        <v>1</v>
      </c>
      <c r="BW157" s="22">
        <f>IFERROR(__xludf.DUMMYFUNCTION("""COMPUTED_VALUE"""),1.0)</f>
        <v>1</v>
      </c>
      <c r="BX157" s="22">
        <f>IFERROR(__xludf.DUMMYFUNCTION("""COMPUTED_VALUE"""),0.0)</f>
        <v>0</v>
      </c>
      <c r="BY157" s="22">
        <f>IFERROR(__xludf.DUMMYFUNCTION("""COMPUTED_VALUE"""),0.0)</f>
        <v>0</v>
      </c>
      <c r="BZ157" s="22">
        <f>IFERROR(__xludf.DUMMYFUNCTION("""COMPUTED_VALUE"""),0.0)</f>
        <v>0</v>
      </c>
      <c r="CA157" s="22">
        <f>IFERROR(__xludf.DUMMYFUNCTION("""COMPUTED_VALUE"""),1.0)</f>
        <v>1</v>
      </c>
      <c r="CB157" s="22">
        <f>IFERROR(__xludf.DUMMYFUNCTION("""COMPUTED_VALUE"""),3.0)</f>
        <v>3</v>
      </c>
      <c r="CC157" s="61">
        <f>IFERROR(__xludf.DUMMYFUNCTION("""COMPUTED_VALUE"""),1.875)</f>
        <v>1.875</v>
      </c>
      <c r="CD157" s="62" t="str">
        <f>IFERROR(__xludf.DUMMYFUNCTION("""COMPUTED_VALUE"""),"subpar")</f>
        <v>subpar</v>
      </c>
      <c r="CE157" s="22" t="s">
        <v>59</v>
      </c>
      <c r="CF157" s="24">
        <v>0.0</v>
      </c>
      <c r="CG157" s="22" t="b">
        <v>0</v>
      </c>
      <c r="CH157" s="22" t="b">
        <v>1</v>
      </c>
      <c r="CI157" s="24">
        <v>8.0</v>
      </c>
      <c r="CJ157" s="22">
        <v>0.0</v>
      </c>
      <c r="CK157" s="22">
        <v>0.0</v>
      </c>
      <c r="CL157" s="22">
        <v>0.0</v>
      </c>
      <c r="CM157" s="22">
        <v>0.0</v>
      </c>
      <c r="CN157" s="22">
        <v>0.0</v>
      </c>
      <c r="CO157" s="22">
        <v>0.0</v>
      </c>
      <c r="CP157" s="22">
        <v>1.0</v>
      </c>
      <c r="CQ157" s="22">
        <v>0.0</v>
      </c>
      <c r="CR157" s="22">
        <v>1.0</v>
      </c>
      <c r="CS157" s="22">
        <v>1.0</v>
      </c>
      <c r="CT157" s="22">
        <v>1.0</v>
      </c>
      <c r="CU157" s="22">
        <v>0.0</v>
      </c>
      <c r="CV157" s="22">
        <v>0.0</v>
      </c>
      <c r="CW157" s="22">
        <v>0.0</v>
      </c>
      <c r="CX157" s="22">
        <v>1.0</v>
      </c>
      <c r="CY157" s="22">
        <v>3.0</v>
      </c>
      <c r="CZ157" s="61">
        <v>1.875</v>
      </c>
      <c r="DA157" s="62" t="s">
        <v>568</v>
      </c>
    </row>
    <row r="158">
      <c r="A158" s="16" t="s">
        <v>347</v>
      </c>
      <c r="B158" s="16" t="s">
        <v>348</v>
      </c>
      <c r="C158" s="39" t="s">
        <v>45</v>
      </c>
      <c r="D158" s="16" t="s">
        <v>349</v>
      </c>
      <c r="E158" s="17" t="b">
        <f t="shared" ref="E158:K158" si="791">If(IFERROR(SEARCH(E$1, $D158),0) &gt;= 1, true,false)</f>
        <v>1</v>
      </c>
      <c r="F158" s="17" t="b">
        <f t="shared" si="791"/>
        <v>0</v>
      </c>
      <c r="G158" s="17" t="b">
        <f t="shared" si="791"/>
        <v>0</v>
      </c>
      <c r="H158" s="17" t="b">
        <f t="shared" si="791"/>
        <v>0</v>
      </c>
      <c r="I158" s="17" t="b">
        <f t="shared" si="791"/>
        <v>0</v>
      </c>
      <c r="J158" s="17" t="b">
        <f t="shared" si="791"/>
        <v>1</v>
      </c>
      <c r="K158" s="17" t="b">
        <f t="shared" si="791"/>
        <v>0</v>
      </c>
      <c r="L158" s="18" t="b">
        <v>1</v>
      </c>
      <c r="M158" s="18" t="b">
        <v>0</v>
      </c>
      <c r="N158" s="18" t="b">
        <v>0</v>
      </c>
      <c r="O158" s="18" t="b">
        <v>1</v>
      </c>
      <c r="P158" s="16" t="str">
        <f t="shared" si="7"/>
        <v>Keramis - Centrum van de Keramiek</v>
      </c>
      <c r="Q158" s="19">
        <v>8.0</v>
      </c>
      <c r="R158" s="18" t="b">
        <v>0</v>
      </c>
      <c r="S158" s="18" t="b">
        <v>1</v>
      </c>
      <c r="T158" s="35">
        <v>8.0</v>
      </c>
      <c r="U158" s="21">
        <f t="shared" si="8"/>
        <v>0</v>
      </c>
      <c r="V158" s="21">
        <f t="shared" ref="V158:AB158" si="792">if(OR(AW158 = $AO$4, AW158 = $AQ$4), 1, 0)</f>
        <v>1</v>
      </c>
      <c r="W158" s="21">
        <f t="shared" si="792"/>
        <v>0</v>
      </c>
      <c r="X158" s="21">
        <f t="shared" si="792"/>
        <v>0</v>
      </c>
      <c r="Y158" s="21">
        <f t="shared" si="792"/>
        <v>0</v>
      </c>
      <c r="Z158" s="21">
        <f t="shared" si="792"/>
        <v>0</v>
      </c>
      <c r="AA158" s="21">
        <f t="shared" si="792"/>
        <v>1</v>
      </c>
      <c r="AB158" s="21">
        <f t="shared" si="792"/>
        <v>0</v>
      </c>
      <c r="AC158" s="21">
        <f t="shared" si="10"/>
        <v>2</v>
      </c>
      <c r="AD158" s="21">
        <f t="shared" si="11"/>
        <v>1</v>
      </c>
      <c r="AE158" s="21">
        <f t="shared" ref="AE158:AH158" si="793">if(OR(BD158 = $AO$6, BD158 = $AS$6, BD158 = $AT$6, BD158 = $AU$6), 1, 0)</f>
        <v>1</v>
      </c>
      <c r="AF158" s="21">
        <f t="shared" si="793"/>
        <v>0</v>
      </c>
      <c r="AG158" s="21">
        <f t="shared" si="793"/>
        <v>0</v>
      </c>
      <c r="AH158" s="21">
        <f t="shared" si="793"/>
        <v>1</v>
      </c>
      <c r="AI158" s="21">
        <f t="shared" si="13"/>
        <v>2</v>
      </c>
      <c r="AJ158" s="21">
        <f t="shared" si="14"/>
        <v>5</v>
      </c>
      <c r="AK158" s="59">
        <f t="shared" si="15"/>
        <v>3.125</v>
      </c>
      <c r="AL158" s="60" t="str">
        <f t="shared" si="16"/>
        <v>good</v>
      </c>
      <c r="AW158" s="22" t="str">
        <f t="shared" ref="AW158:BC158" si="794">IF(IFERROR(SEARCH(E$1, $D158),0) &gt;= 1, E$1,0)</f>
        <v>Geschiedenis en archeologie</v>
      </c>
      <c r="AX158" s="22">
        <f t="shared" si="794"/>
        <v>0</v>
      </c>
      <c r="AY158" s="22">
        <f t="shared" si="794"/>
        <v>0</v>
      </c>
      <c r="AZ158" s="22">
        <f t="shared" si="794"/>
        <v>0</v>
      </c>
      <c r="BA158" s="22">
        <f t="shared" si="794"/>
        <v>0</v>
      </c>
      <c r="BB158" s="22" t="str">
        <f t="shared" si="794"/>
        <v>Beeldende kunst</v>
      </c>
      <c r="BC158" s="22">
        <f t="shared" si="794"/>
        <v>0</v>
      </c>
      <c r="BD158" s="22" t="str">
        <f t="shared" ref="BD158:BG158" si="795">IF(L158 = true, BD$1, 0)</f>
        <v>Shop</v>
      </c>
      <c r="BE158" s="22">
        <f t="shared" si="795"/>
        <v>0</v>
      </c>
      <c r="BF158" s="22">
        <f t="shared" si="795"/>
        <v>0</v>
      </c>
      <c r="BG158" s="22" t="str">
        <f t="shared" si="795"/>
        <v>Restaurant</v>
      </c>
      <c r="BH158" s="22" t="str">
        <f>IFERROR(__xludf.DUMMYFUNCTION("""COMPUTED_VALUE"""),"Museum voor Oude Kunsten")</f>
        <v>Museum voor Oude Kunsten</v>
      </c>
      <c r="BI158" s="24">
        <f>IFERROR(__xludf.DUMMYFUNCTION("""COMPUTED_VALUE"""),5.0)</f>
        <v>5</v>
      </c>
      <c r="BJ158" s="22" t="b">
        <f>IFERROR(__xludf.DUMMYFUNCTION("""COMPUTED_VALUE"""),FALSE)</f>
        <v>0</v>
      </c>
      <c r="BK158" s="22" t="b">
        <f>IFERROR(__xludf.DUMMYFUNCTION("""COMPUTED_VALUE"""),TRUE)</f>
        <v>1</v>
      </c>
      <c r="BL158" s="24">
        <f>IFERROR(__xludf.DUMMYFUNCTION("""COMPUTED_VALUE"""),8.0)</f>
        <v>8</v>
      </c>
      <c r="BM158" s="22">
        <f>IFERROR(__xludf.DUMMYFUNCTION("""COMPUTED_VALUE"""),0.0)</f>
        <v>0</v>
      </c>
      <c r="BN158" s="22">
        <f>IFERROR(__xludf.DUMMYFUNCTION("""COMPUTED_VALUE"""),0.0)</f>
        <v>0</v>
      </c>
      <c r="BO158" s="22">
        <f>IFERROR(__xludf.DUMMYFUNCTION("""COMPUTED_VALUE"""),0.0)</f>
        <v>0</v>
      </c>
      <c r="BP158" s="22">
        <f>IFERROR(__xludf.DUMMYFUNCTION("""COMPUTED_VALUE"""),0.0)</f>
        <v>0</v>
      </c>
      <c r="BQ158" s="22">
        <f>IFERROR(__xludf.DUMMYFUNCTION("""COMPUTED_VALUE"""),0.0)</f>
        <v>0</v>
      </c>
      <c r="BR158" s="22">
        <f>IFERROR(__xludf.DUMMYFUNCTION("""COMPUTED_VALUE"""),0.0)</f>
        <v>0</v>
      </c>
      <c r="BS158" s="22">
        <f>IFERROR(__xludf.DUMMYFUNCTION("""COMPUTED_VALUE"""),1.0)</f>
        <v>1</v>
      </c>
      <c r="BT158" s="22">
        <f>IFERROR(__xludf.DUMMYFUNCTION("""COMPUTED_VALUE"""),0.0)</f>
        <v>0</v>
      </c>
      <c r="BU158" s="22">
        <f>IFERROR(__xludf.DUMMYFUNCTION("""COMPUTED_VALUE"""),1.0)</f>
        <v>1</v>
      </c>
      <c r="BV158" s="22">
        <f>IFERROR(__xludf.DUMMYFUNCTION("""COMPUTED_VALUE"""),1.0)</f>
        <v>1</v>
      </c>
      <c r="BW158" s="22">
        <f>IFERROR(__xludf.DUMMYFUNCTION("""COMPUTED_VALUE"""),1.0)</f>
        <v>1</v>
      </c>
      <c r="BX158" s="22">
        <f>IFERROR(__xludf.DUMMYFUNCTION("""COMPUTED_VALUE"""),0.0)</f>
        <v>0</v>
      </c>
      <c r="BY158" s="22">
        <f>IFERROR(__xludf.DUMMYFUNCTION("""COMPUTED_VALUE"""),0.0)</f>
        <v>0</v>
      </c>
      <c r="BZ158" s="22">
        <f>IFERROR(__xludf.DUMMYFUNCTION("""COMPUTED_VALUE"""),0.0)</f>
        <v>0</v>
      </c>
      <c r="CA158" s="22">
        <f>IFERROR(__xludf.DUMMYFUNCTION("""COMPUTED_VALUE"""),1.0)</f>
        <v>1</v>
      </c>
      <c r="CB158" s="22">
        <f>IFERROR(__xludf.DUMMYFUNCTION("""COMPUTED_VALUE"""),3.0)</f>
        <v>3</v>
      </c>
      <c r="CC158" s="61">
        <f>IFERROR(__xludf.DUMMYFUNCTION("""COMPUTED_VALUE"""),1.875)</f>
        <v>1.875</v>
      </c>
      <c r="CD158" s="62" t="str">
        <f>IFERROR(__xludf.DUMMYFUNCTION("""COMPUTED_VALUE"""),"subpar")</f>
        <v>subpar</v>
      </c>
      <c r="CE158" s="22" t="s">
        <v>61</v>
      </c>
      <c r="CF158" s="24">
        <v>5.0</v>
      </c>
      <c r="CG158" s="22" t="b">
        <v>0</v>
      </c>
      <c r="CH158" s="22" t="b">
        <v>1</v>
      </c>
      <c r="CI158" s="24">
        <v>8.0</v>
      </c>
      <c r="CJ158" s="22">
        <v>0.0</v>
      </c>
      <c r="CK158" s="22">
        <v>0.0</v>
      </c>
      <c r="CL158" s="22">
        <v>0.0</v>
      </c>
      <c r="CM158" s="22">
        <v>0.0</v>
      </c>
      <c r="CN158" s="22">
        <v>0.0</v>
      </c>
      <c r="CO158" s="22">
        <v>0.0</v>
      </c>
      <c r="CP158" s="22">
        <v>1.0</v>
      </c>
      <c r="CQ158" s="22">
        <v>0.0</v>
      </c>
      <c r="CR158" s="22">
        <v>1.0</v>
      </c>
      <c r="CS158" s="22">
        <v>1.0</v>
      </c>
      <c r="CT158" s="22">
        <v>1.0</v>
      </c>
      <c r="CU158" s="22">
        <v>0.0</v>
      </c>
      <c r="CV158" s="22">
        <v>0.0</v>
      </c>
      <c r="CW158" s="22">
        <v>0.0</v>
      </c>
      <c r="CX158" s="22">
        <v>1.0</v>
      </c>
      <c r="CY158" s="22">
        <v>3.0</v>
      </c>
      <c r="CZ158" s="61">
        <v>1.875</v>
      </c>
      <c r="DA158" s="62" t="s">
        <v>568</v>
      </c>
    </row>
    <row r="159">
      <c r="A159" s="16" t="s">
        <v>350</v>
      </c>
      <c r="B159" s="16" t="s">
        <v>351</v>
      </c>
      <c r="C159" s="39" t="s">
        <v>45</v>
      </c>
      <c r="D159" s="16" t="s">
        <v>349</v>
      </c>
      <c r="E159" s="17" t="b">
        <f t="shared" ref="E159:K159" si="796">If(IFERROR(SEARCH(E$1, $D159),0) &gt;= 1, true,false)</f>
        <v>1</v>
      </c>
      <c r="F159" s="17" t="b">
        <f t="shared" si="796"/>
        <v>0</v>
      </c>
      <c r="G159" s="17" t="b">
        <f t="shared" si="796"/>
        <v>0</v>
      </c>
      <c r="H159" s="17" t="b">
        <f t="shared" si="796"/>
        <v>0</v>
      </c>
      <c r="I159" s="17" t="b">
        <f t="shared" si="796"/>
        <v>0</v>
      </c>
      <c r="J159" s="17" t="b">
        <f t="shared" si="796"/>
        <v>1</v>
      </c>
      <c r="K159" s="17" t="b">
        <f t="shared" si="796"/>
        <v>0</v>
      </c>
      <c r="L159" s="18" t="b">
        <v>1</v>
      </c>
      <c r="M159" s="18" t="b">
        <v>0</v>
      </c>
      <c r="N159" s="18" t="b">
        <v>0</v>
      </c>
      <c r="O159" s="18" t="b">
        <v>0</v>
      </c>
      <c r="P159" s="16" t="str">
        <f t="shared" si="7"/>
        <v>Het Reuzenhuis</v>
      </c>
      <c r="Q159" s="19">
        <v>8.0</v>
      </c>
      <c r="R159" s="18" t="b">
        <v>0</v>
      </c>
      <c r="S159" s="18" t="b">
        <v>0</v>
      </c>
      <c r="T159" s="33"/>
      <c r="U159" s="21">
        <f t="shared" si="8"/>
        <v>0</v>
      </c>
      <c r="V159" s="21">
        <f t="shared" ref="V159:AB159" si="797">if(OR(AW159 = $AO$4, AW159 = $AQ$4), 1, 0)</f>
        <v>1</v>
      </c>
      <c r="W159" s="21">
        <f t="shared" si="797"/>
        <v>0</v>
      </c>
      <c r="X159" s="21">
        <f t="shared" si="797"/>
        <v>0</v>
      </c>
      <c r="Y159" s="21">
        <f t="shared" si="797"/>
        <v>0</v>
      </c>
      <c r="Z159" s="21">
        <f t="shared" si="797"/>
        <v>0</v>
      </c>
      <c r="AA159" s="21">
        <f t="shared" si="797"/>
        <v>1</v>
      </c>
      <c r="AB159" s="21">
        <f t="shared" si="797"/>
        <v>0</v>
      </c>
      <c r="AC159" s="21">
        <f t="shared" si="10"/>
        <v>2</v>
      </c>
      <c r="AD159" s="21">
        <f t="shared" si="11"/>
        <v>1</v>
      </c>
      <c r="AE159" s="21">
        <f t="shared" ref="AE159:AH159" si="798">if(OR(BD159 = $AO$6, BD159 = $AS$6, BD159 = $AT$6, BD159 = $AU$6), 1, 0)</f>
        <v>1</v>
      </c>
      <c r="AF159" s="21">
        <f t="shared" si="798"/>
        <v>0</v>
      </c>
      <c r="AG159" s="21">
        <f t="shared" si="798"/>
        <v>0</v>
      </c>
      <c r="AH159" s="21">
        <f t="shared" si="798"/>
        <v>0</v>
      </c>
      <c r="AI159" s="21">
        <f t="shared" si="13"/>
        <v>1</v>
      </c>
      <c r="AJ159" s="21">
        <f t="shared" si="14"/>
        <v>4</v>
      </c>
      <c r="AK159" s="59">
        <f t="shared" si="15"/>
        <v>2.5</v>
      </c>
      <c r="AL159" s="60" t="str">
        <f t="shared" si="16"/>
        <v>subpar</v>
      </c>
      <c r="AW159" s="22" t="str">
        <f t="shared" ref="AW159:BC159" si="799">IF(IFERROR(SEARCH(E$1, $D159),0) &gt;= 1, E$1,0)</f>
        <v>Geschiedenis en archeologie</v>
      </c>
      <c r="AX159" s="22">
        <f t="shared" si="799"/>
        <v>0</v>
      </c>
      <c r="AY159" s="22">
        <f t="shared" si="799"/>
        <v>0</v>
      </c>
      <c r="AZ159" s="22">
        <f t="shared" si="799"/>
        <v>0</v>
      </c>
      <c r="BA159" s="22">
        <f t="shared" si="799"/>
        <v>0</v>
      </c>
      <c r="BB159" s="22" t="str">
        <f t="shared" si="799"/>
        <v>Beeldende kunst</v>
      </c>
      <c r="BC159" s="22">
        <f t="shared" si="799"/>
        <v>0</v>
      </c>
      <c r="BD159" s="22" t="str">
        <f t="shared" ref="BD159:BG159" si="800">IF(L159 = true, BD$1, 0)</f>
        <v>Shop</v>
      </c>
      <c r="BE159" s="22">
        <f t="shared" si="800"/>
        <v>0</v>
      </c>
      <c r="BF159" s="22">
        <f t="shared" si="800"/>
        <v>0</v>
      </c>
      <c r="BG159" s="22">
        <f t="shared" si="800"/>
        <v>0</v>
      </c>
      <c r="BH159" s="22" t="str">
        <f>IFERROR(__xludf.DUMMYFUNCTION("""COMPUTED_VALUE"""),"Belle Epoque Centrum")</f>
        <v>Belle Epoque Centrum</v>
      </c>
      <c r="BI159" s="24">
        <f>IFERROR(__xludf.DUMMYFUNCTION("""COMPUTED_VALUE"""),5.0)</f>
        <v>5</v>
      </c>
      <c r="BJ159" s="22" t="b">
        <f>IFERROR(__xludf.DUMMYFUNCTION("""COMPUTED_VALUE"""),FALSE)</f>
        <v>0</v>
      </c>
      <c r="BK159" s="22" t="b">
        <f>IFERROR(__xludf.DUMMYFUNCTION("""COMPUTED_VALUE"""),FALSE)</f>
        <v>0</v>
      </c>
      <c r="BL159" s="22"/>
      <c r="BM159" s="22">
        <f>IFERROR(__xludf.DUMMYFUNCTION("""COMPUTED_VALUE"""),0.0)</f>
        <v>0</v>
      </c>
      <c r="BN159" s="22">
        <f>IFERROR(__xludf.DUMMYFUNCTION("""COMPUTED_VALUE"""),1.0)</f>
        <v>1</v>
      </c>
      <c r="BO159" s="22">
        <f>IFERROR(__xludf.DUMMYFUNCTION("""COMPUTED_VALUE"""),0.0)</f>
        <v>0</v>
      </c>
      <c r="BP159" s="22">
        <f>IFERROR(__xludf.DUMMYFUNCTION("""COMPUTED_VALUE"""),0.0)</f>
        <v>0</v>
      </c>
      <c r="BQ159" s="22">
        <f>IFERROR(__xludf.DUMMYFUNCTION("""COMPUTED_VALUE"""),0.0)</f>
        <v>0</v>
      </c>
      <c r="BR159" s="22">
        <f>IFERROR(__xludf.DUMMYFUNCTION("""COMPUTED_VALUE"""),0.0)</f>
        <v>0</v>
      </c>
      <c r="BS159" s="22">
        <f>IFERROR(__xludf.DUMMYFUNCTION("""COMPUTED_VALUE"""),0.0)</f>
        <v>0</v>
      </c>
      <c r="BT159" s="22">
        <f>IFERROR(__xludf.DUMMYFUNCTION("""COMPUTED_VALUE"""),0.0)</f>
        <v>0</v>
      </c>
      <c r="BU159" s="22">
        <f>IFERROR(__xludf.DUMMYFUNCTION("""COMPUTED_VALUE"""),1.0)</f>
        <v>1</v>
      </c>
      <c r="BV159" s="22">
        <f>IFERROR(__xludf.DUMMYFUNCTION("""COMPUTED_VALUE"""),1.0)</f>
        <v>1</v>
      </c>
      <c r="BW159" s="22">
        <f>IFERROR(__xludf.DUMMYFUNCTION("""COMPUTED_VALUE"""),1.0)</f>
        <v>1</v>
      </c>
      <c r="BX159" s="22">
        <f>IFERROR(__xludf.DUMMYFUNCTION("""COMPUTED_VALUE"""),0.0)</f>
        <v>0</v>
      </c>
      <c r="BY159" s="22">
        <f>IFERROR(__xludf.DUMMYFUNCTION("""COMPUTED_VALUE"""),0.0)</f>
        <v>0</v>
      </c>
      <c r="BZ159" s="22">
        <f>IFERROR(__xludf.DUMMYFUNCTION("""COMPUTED_VALUE"""),0.0)</f>
        <v>0</v>
      </c>
      <c r="CA159" s="22">
        <f>IFERROR(__xludf.DUMMYFUNCTION("""COMPUTED_VALUE"""),1.0)</f>
        <v>1</v>
      </c>
      <c r="CB159" s="22">
        <f>IFERROR(__xludf.DUMMYFUNCTION("""COMPUTED_VALUE"""),3.0)</f>
        <v>3</v>
      </c>
      <c r="CC159" s="61">
        <f>IFERROR(__xludf.DUMMYFUNCTION("""COMPUTED_VALUE"""),1.875)</f>
        <v>1.875</v>
      </c>
      <c r="CD159" s="62" t="str">
        <f>IFERROR(__xludf.DUMMYFUNCTION("""COMPUTED_VALUE"""),"subpar")</f>
        <v>subpar</v>
      </c>
      <c r="CE159" s="22" t="s">
        <v>75</v>
      </c>
      <c r="CF159" s="24">
        <v>5.0</v>
      </c>
      <c r="CG159" s="22" t="b">
        <v>0</v>
      </c>
      <c r="CH159" s="22" t="b">
        <v>0</v>
      </c>
      <c r="CI159" s="22"/>
      <c r="CJ159" s="22">
        <v>0.0</v>
      </c>
      <c r="CK159" s="22">
        <v>1.0</v>
      </c>
      <c r="CL159" s="22">
        <v>0.0</v>
      </c>
      <c r="CM159" s="22">
        <v>0.0</v>
      </c>
      <c r="CN159" s="22">
        <v>0.0</v>
      </c>
      <c r="CO159" s="22">
        <v>0.0</v>
      </c>
      <c r="CP159" s="22">
        <v>0.0</v>
      </c>
      <c r="CQ159" s="22">
        <v>0.0</v>
      </c>
      <c r="CR159" s="22">
        <v>1.0</v>
      </c>
      <c r="CS159" s="22">
        <v>1.0</v>
      </c>
      <c r="CT159" s="22">
        <v>1.0</v>
      </c>
      <c r="CU159" s="22">
        <v>0.0</v>
      </c>
      <c r="CV159" s="22">
        <v>0.0</v>
      </c>
      <c r="CW159" s="22">
        <v>0.0</v>
      </c>
      <c r="CX159" s="22">
        <v>1.0</v>
      </c>
      <c r="CY159" s="22">
        <v>3.0</v>
      </c>
      <c r="CZ159" s="61">
        <v>1.875</v>
      </c>
      <c r="DA159" s="62" t="s">
        <v>568</v>
      </c>
    </row>
    <row r="160">
      <c r="A160" s="16" t="s">
        <v>352</v>
      </c>
      <c r="B160" s="16" t="s">
        <v>353</v>
      </c>
      <c r="C160" s="39" t="s">
        <v>45</v>
      </c>
      <c r="D160" s="16" t="s">
        <v>344</v>
      </c>
      <c r="E160" s="17" t="b">
        <f t="shared" ref="E160:K160" si="801">If(IFERROR(SEARCH(E$1, $D160),0) &gt;= 1, true,false)</f>
        <v>1</v>
      </c>
      <c r="F160" s="17" t="b">
        <f t="shared" si="801"/>
        <v>0</v>
      </c>
      <c r="G160" s="17" t="b">
        <f t="shared" si="801"/>
        <v>0</v>
      </c>
      <c r="H160" s="17" t="b">
        <f t="shared" si="801"/>
        <v>0</v>
      </c>
      <c r="I160" s="17" t="b">
        <f t="shared" si="801"/>
        <v>0</v>
      </c>
      <c r="J160" s="17" t="b">
        <f t="shared" si="801"/>
        <v>0</v>
      </c>
      <c r="K160" s="17" t="b">
        <f t="shared" si="801"/>
        <v>0</v>
      </c>
      <c r="L160" s="18" t="b">
        <v>1</v>
      </c>
      <c r="M160" s="18" t="b">
        <v>0</v>
      </c>
      <c r="N160" s="18" t="b">
        <v>0</v>
      </c>
      <c r="O160" s="18" t="b">
        <v>0</v>
      </c>
      <c r="P160" s="16" t="str">
        <f t="shared" si="7"/>
        <v>Het Huis Van Gogh</v>
      </c>
      <c r="Q160" s="19">
        <v>4.0</v>
      </c>
      <c r="R160" s="20" t="b">
        <v>0</v>
      </c>
      <c r="S160" s="18" t="b">
        <v>1</v>
      </c>
      <c r="T160" s="30">
        <v>4.0</v>
      </c>
      <c r="U160" s="21">
        <f t="shared" si="8"/>
        <v>0</v>
      </c>
      <c r="V160" s="21">
        <f t="shared" ref="V160:AB160" si="802">if(OR(AW160 = $AO$4, AW160 = $AQ$4), 1, 0)</f>
        <v>1</v>
      </c>
      <c r="W160" s="21">
        <f t="shared" si="802"/>
        <v>0</v>
      </c>
      <c r="X160" s="21">
        <f t="shared" si="802"/>
        <v>0</v>
      </c>
      <c r="Y160" s="21">
        <f t="shared" si="802"/>
        <v>0</v>
      </c>
      <c r="Z160" s="21">
        <f t="shared" si="802"/>
        <v>0</v>
      </c>
      <c r="AA160" s="21">
        <f t="shared" si="802"/>
        <v>0</v>
      </c>
      <c r="AB160" s="21">
        <f t="shared" si="802"/>
        <v>0</v>
      </c>
      <c r="AC160" s="21">
        <f t="shared" si="10"/>
        <v>1</v>
      </c>
      <c r="AD160" s="21">
        <f t="shared" si="11"/>
        <v>1</v>
      </c>
      <c r="AE160" s="21">
        <f t="shared" ref="AE160:AH160" si="803">if(OR(BD160 = $AO$6, BD160 = $AS$6, BD160 = $AT$6, BD160 = $AU$6), 1, 0)</f>
        <v>1</v>
      </c>
      <c r="AF160" s="21">
        <f t="shared" si="803"/>
        <v>0</v>
      </c>
      <c r="AG160" s="21">
        <f t="shared" si="803"/>
        <v>0</v>
      </c>
      <c r="AH160" s="21">
        <f t="shared" si="803"/>
        <v>0</v>
      </c>
      <c r="AI160" s="21">
        <f t="shared" si="13"/>
        <v>1</v>
      </c>
      <c r="AJ160" s="21">
        <f t="shared" si="14"/>
        <v>3</v>
      </c>
      <c r="AK160" s="59">
        <f t="shared" si="15"/>
        <v>1.875</v>
      </c>
      <c r="AL160" s="60" t="str">
        <f t="shared" si="16"/>
        <v>subpar</v>
      </c>
      <c r="AW160" s="22" t="str">
        <f t="shared" ref="AW160:BC160" si="804">IF(IFERROR(SEARCH(E$1, $D160),0) &gt;= 1, E$1,0)</f>
        <v>Geschiedenis en archeologie</v>
      </c>
      <c r="AX160" s="22">
        <f t="shared" si="804"/>
        <v>0</v>
      </c>
      <c r="AY160" s="22">
        <f t="shared" si="804"/>
        <v>0</v>
      </c>
      <c r="AZ160" s="22">
        <f t="shared" si="804"/>
        <v>0</v>
      </c>
      <c r="BA160" s="22">
        <f t="shared" si="804"/>
        <v>0</v>
      </c>
      <c r="BB160" s="22">
        <f t="shared" si="804"/>
        <v>0</v>
      </c>
      <c r="BC160" s="22">
        <f t="shared" si="804"/>
        <v>0</v>
      </c>
      <c r="BD160" s="22" t="str">
        <f t="shared" ref="BD160:BG160" si="805">IF(L160 = true, BD$1, 0)</f>
        <v>Shop</v>
      </c>
      <c r="BE160" s="22">
        <f t="shared" si="805"/>
        <v>0</v>
      </c>
      <c r="BF160" s="22">
        <f t="shared" si="805"/>
        <v>0</v>
      </c>
      <c r="BG160" s="22">
        <f t="shared" si="805"/>
        <v>0</v>
      </c>
      <c r="BH160" s="22" t="str">
        <f>IFERROR(__xludf.DUMMYFUNCTION("""COMPUTED_VALUE"""),"Brugse Vrije")</f>
        <v>Brugse Vrije</v>
      </c>
      <c r="BI160" s="24">
        <f>IFERROR(__xludf.DUMMYFUNCTION("""COMPUTED_VALUE"""),3.0)</f>
        <v>3</v>
      </c>
      <c r="BJ160" s="22" t="b">
        <f>IFERROR(__xludf.DUMMYFUNCTION("""COMPUTED_VALUE"""),FALSE)</f>
        <v>0</v>
      </c>
      <c r="BK160" s="22" t="b">
        <f>IFERROR(__xludf.DUMMYFUNCTION("""COMPUTED_VALUE"""),FALSE)</f>
        <v>0</v>
      </c>
      <c r="BL160" s="22"/>
      <c r="BM160" s="22">
        <f>IFERROR(__xludf.DUMMYFUNCTION("""COMPUTED_VALUE"""),0.0)</f>
        <v>0</v>
      </c>
      <c r="BN160" s="22">
        <f>IFERROR(__xludf.DUMMYFUNCTION("""COMPUTED_VALUE"""),1.0)</f>
        <v>1</v>
      </c>
      <c r="BO160" s="22">
        <f>IFERROR(__xludf.DUMMYFUNCTION("""COMPUTED_VALUE"""),0.0)</f>
        <v>0</v>
      </c>
      <c r="BP160" s="22">
        <f>IFERROR(__xludf.DUMMYFUNCTION("""COMPUTED_VALUE"""),0.0)</f>
        <v>0</v>
      </c>
      <c r="BQ160" s="22">
        <f>IFERROR(__xludf.DUMMYFUNCTION("""COMPUTED_VALUE"""),0.0)</f>
        <v>0</v>
      </c>
      <c r="BR160" s="22">
        <f>IFERROR(__xludf.DUMMYFUNCTION("""COMPUTED_VALUE"""),0.0)</f>
        <v>0</v>
      </c>
      <c r="BS160" s="22">
        <f>IFERROR(__xludf.DUMMYFUNCTION("""COMPUTED_VALUE"""),1.0)</f>
        <v>1</v>
      </c>
      <c r="BT160" s="22">
        <f>IFERROR(__xludf.DUMMYFUNCTION("""COMPUTED_VALUE"""),0.0)</f>
        <v>0</v>
      </c>
      <c r="BU160" s="22">
        <f>IFERROR(__xludf.DUMMYFUNCTION("""COMPUTED_VALUE"""),2.0)</f>
        <v>2</v>
      </c>
      <c r="BV160" s="22">
        <f>IFERROR(__xludf.DUMMYFUNCTION("""COMPUTED_VALUE"""),1.0)</f>
        <v>1</v>
      </c>
      <c r="BW160" s="22">
        <f>IFERROR(__xludf.DUMMYFUNCTION("""COMPUTED_VALUE"""),0.0)</f>
        <v>0</v>
      </c>
      <c r="BX160" s="22">
        <f>IFERROR(__xludf.DUMMYFUNCTION("""COMPUTED_VALUE"""),0.0)</f>
        <v>0</v>
      </c>
      <c r="BY160" s="22">
        <f>IFERROR(__xludf.DUMMYFUNCTION("""COMPUTED_VALUE"""),0.0)</f>
        <v>0</v>
      </c>
      <c r="BZ160" s="22">
        <f>IFERROR(__xludf.DUMMYFUNCTION("""COMPUTED_VALUE"""),0.0)</f>
        <v>0</v>
      </c>
      <c r="CA160" s="22">
        <f>IFERROR(__xludf.DUMMYFUNCTION("""COMPUTED_VALUE"""),0.0)</f>
        <v>0</v>
      </c>
      <c r="CB160" s="22">
        <f>IFERROR(__xludf.DUMMYFUNCTION("""COMPUTED_VALUE"""),3.0)</f>
        <v>3</v>
      </c>
      <c r="CC160" s="61">
        <f>IFERROR(__xludf.DUMMYFUNCTION("""COMPUTED_VALUE"""),1.875)</f>
        <v>1.875</v>
      </c>
      <c r="CD160" s="62" t="str">
        <f>IFERROR(__xludf.DUMMYFUNCTION("""COMPUTED_VALUE"""),"subpar")</f>
        <v>subpar</v>
      </c>
      <c r="CE160" s="22" t="s">
        <v>77</v>
      </c>
      <c r="CF160" s="24">
        <v>3.0</v>
      </c>
      <c r="CG160" s="22" t="b">
        <v>0</v>
      </c>
      <c r="CH160" s="22" t="b">
        <v>0</v>
      </c>
      <c r="CI160" s="22"/>
      <c r="CJ160" s="22">
        <v>0.0</v>
      </c>
      <c r="CK160" s="22">
        <v>1.0</v>
      </c>
      <c r="CL160" s="22">
        <v>0.0</v>
      </c>
      <c r="CM160" s="22">
        <v>0.0</v>
      </c>
      <c r="CN160" s="22">
        <v>0.0</v>
      </c>
      <c r="CO160" s="22">
        <v>0.0</v>
      </c>
      <c r="CP160" s="22">
        <v>1.0</v>
      </c>
      <c r="CQ160" s="22">
        <v>0.0</v>
      </c>
      <c r="CR160" s="22">
        <v>2.0</v>
      </c>
      <c r="CS160" s="22">
        <v>1.0</v>
      </c>
      <c r="CT160" s="22">
        <v>0.0</v>
      </c>
      <c r="CU160" s="22">
        <v>0.0</v>
      </c>
      <c r="CV160" s="22">
        <v>0.0</v>
      </c>
      <c r="CW160" s="22">
        <v>0.0</v>
      </c>
      <c r="CX160" s="22">
        <v>0.0</v>
      </c>
      <c r="CY160" s="22">
        <v>3.0</v>
      </c>
      <c r="CZ160" s="61">
        <v>1.875</v>
      </c>
      <c r="DA160" s="62" t="s">
        <v>568</v>
      </c>
    </row>
    <row r="161">
      <c r="A161" s="16"/>
      <c r="B161" s="16" t="s">
        <v>354</v>
      </c>
      <c r="C161" s="39" t="s">
        <v>45</v>
      </c>
      <c r="D161" s="16" t="s">
        <v>355</v>
      </c>
      <c r="E161" s="17" t="b">
        <f t="shared" ref="E161:K161" si="806">If(IFERROR(SEARCH(E$1, $D161),0) &gt;= 1, true,false)</f>
        <v>1</v>
      </c>
      <c r="F161" s="17" t="b">
        <f t="shared" si="806"/>
        <v>1</v>
      </c>
      <c r="G161" s="17" t="b">
        <f t="shared" si="806"/>
        <v>0</v>
      </c>
      <c r="H161" s="17" t="b">
        <f t="shared" si="806"/>
        <v>0</v>
      </c>
      <c r="I161" s="17" t="b">
        <f t="shared" si="806"/>
        <v>0</v>
      </c>
      <c r="J161" s="17" t="b">
        <f t="shared" si="806"/>
        <v>0</v>
      </c>
      <c r="K161" s="17" t="b">
        <f t="shared" si="806"/>
        <v>0</v>
      </c>
      <c r="L161" s="18" t="b">
        <v>1</v>
      </c>
      <c r="M161" s="18" t="b">
        <v>1</v>
      </c>
      <c r="N161" s="18" t="b">
        <v>1</v>
      </c>
      <c r="O161" s="18" t="b">
        <v>1</v>
      </c>
      <c r="P161" s="16" t="str">
        <f t="shared" si="7"/>
        <v>Le Bois du Cazier </v>
      </c>
      <c r="Q161" s="19">
        <v>9.0</v>
      </c>
      <c r="R161" s="20" t="b">
        <v>0</v>
      </c>
      <c r="S161" s="18" t="b">
        <v>1</v>
      </c>
      <c r="T161" s="29">
        <v>9.0</v>
      </c>
      <c r="U161" s="21">
        <f t="shared" si="8"/>
        <v>0</v>
      </c>
      <c r="V161" s="21">
        <f t="shared" ref="V161:AB161" si="807">if(OR(AW161 = $AO$4, AW161 = $AQ$4), 1, 0)</f>
        <v>1</v>
      </c>
      <c r="W161" s="21">
        <f t="shared" si="807"/>
        <v>0</v>
      </c>
      <c r="X161" s="21">
        <f t="shared" si="807"/>
        <v>0</v>
      </c>
      <c r="Y161" s="21">
        <f t="shared" si="807"/>
        <v>0</v>
      </c>
      <c r="Z161" s="21">
        <f t="shared" si="807"/>
        <v>0</v>
      </c>
      <c r="AA161" s="21">
        <f t="shared" si="807"/>
        <v>0</v>
      </c>
      <c r="AB161" s="21">
        <f t="shared" si="807"/>
        <v>0</v>
      </c>
      <c r="AC161" s="21">
        <f t="shared" si="10"/>
        <v>1</v>
      </c>
      <c r="AD161" s="21">
        <f t="shared" si="11"/>
        <v>1</v>
      </c>
      <c r="AE161" s="21">
        <f t="shared" ref="AE161:AH161" si="808">if(OR(BD161 = $AO$6, BD161 = $AS$6, BD161 = $AT$6, BD161 = $AU$6), 1, 0)</f>
        <v>1</v>
      </c>
      <c r="AF161" s="21">
        <f t="shared" si="808"/>
        <v>1</v>
      </c>
      <c r="AG161" s="21">
        <f t="shared" si="808"/>
        <v>1</v>
      </c>
      <c r="AH161" s="21">
        <f t="shared" si="808"/>
        <v>1</v>
      </c>
      <c r="AI161" s="21">
        <f t="shared" si="13"/>
        <v>4</v>
      </c>
      <c r="AJ161" s="21">
        <f t="shared" si="14"/>
        <v>6</v>
      </c>
      <c r="AK161" s="59">
        <f t="shared" si="15"/>
        <v>3.75</v>
      </c>
      <c r="AL161" s="60" t="str">
        <f t="shared" si="16"/>
        <v>good</v>
      </c>
      <c r="AW161" s="22" t="str">
        <f t="shared" ref="AW161:BC161" si="809">IF(IFERROR(SEARCH(E$1, $D161),0) &gt;= 1, E$1,0)</f>
        <v>Geschiedenis en archeologie</v>
      </c>
      <c r="AX161" s="22" t="str">
        <f t="shared" si="809"/>
        <v>Wetenschap en technologie</v>
      </c>
      <c r="AY161" s="22">
        <f t="shared" si="809"/>
        <v>0</v>
      </c>
      <c r="AZ161" s="22">
        <f t="shared" si="809"/>
        <v>0</v>
      </c>
      <c r="BA161" s="22">
        <f t="shared" si="809"/>
        <v>0</v>
      </c>
      <c r="BB161" s="22">
        <f t="shared" si="809"/>
        <v>0</v>
      </c>
      <c r="BC161" s="22">
        <f t="shared" si="809"/>
        <v>0</v>
      </c>
      <c r="BD161" s="22" t="str">
        <f t="shared" ref="BD161:BG161" si="810">IF(L161 = true, BD$1, 0)</f>
        <v>Shop</v>
      </c>
      <c r="BE161" s="22" t="str">
        <f t="shared" si="810"/>
        <v>Café</v>
      </c>
      <c r="BF161" s="22" t="str">
        <f t="shared" si="810"/>
        <v>Parking</v>
      </c>
      <c r="BG161" s="22" t="str">
        <f t="shared" si="810"/>
        <v>Restaurant</v>
      </c>
      <c r="BH161" s="22" t="str">
        <f>IFERROR(__xludf.DUMMYFUNCTION("""COMPUTED_VALUE"""),"Dodengang")</f>
        <v>Dodengang</v>
      </c>
      <c r="BI161" s="24">
        <f>IFERROR(__xludf.DUMMYFUNCTION("""COMPUTED_VALUE"""),6.0)</f>
        <v>6</v>
      </c>
      <c r="BJ161" s="22" t="b">
        <f>IFERROR(__xludf.DUMMYFUNCTION("""COMPUTED_VALUE"""),FALSE)</f>
        <v>0</v>
      </c>
      <c r="BK161" s="22" t="b">
        <f>IFERROR(__xludf.DUMMYFUNCTION("""COMPUTED_VALUE"""),FALSE)</f>
        <v>0</v>
      </c>
      <c r="BL161" s="22"/>
      <c r="BM161" s="22">
        <f>IFERROR(__xludf.DUMMYFUNCTION("""COMPUTED_VALUE"""),0.0)</f>
        <v>0</v>
      </c>
      <c r="BN161" s="22">
        <f>IFERROR(__xludf.DUMMYFUNCTION("""COMPUTED_VALUE"""),1.0)</f>
        <v>1</v>
      </c>
      <c r="BO161" s="22">
        <f>IFERROR(__xludf.DUMMYFUNCTION("""COMPUTED_VALUE"""),0.0)</f>
        <v>0</v>
      </c>
      <c r="BP161" s="22">
        <f>IFERROR(__xludf.DUMMYFUNCTION("""COMPUTED_VALUE"""),0.0)</f>
        <v>0</v>
      </c>
      <c r="BQ161" s="22">
        <f>IFERROR(__xludf.DUMMYFUNCTION("""COMPUTED_VALUE"""),0.0)</f>
        <v>0</v>
      </c>
      <c r="BR161" s="22">
        <f>IFERROR(__xludf.DUMMYFUNCTION("""COMPUTED_VALUE"""),0.0)</f>
        <v>0</v>
      </c>
      <c r="BS161" s="22">
        <f>IFERROR(__xludf.DUMMYFUNCTION("""COMPUTED_VALUE"""),0.0)</f>
        <v>0</v>
      </c>
      <c r="BT161" s="22">
        <f>IFERROR(__xludf.DUMMYFUNCTION("""COMPUTED_VALUE"""),0.0)</f>
        <v>0</v>
      </c>
      <c r="BU161" s="22">
        <f>IFERROR(__xludf.DUMMYFUNCTION("""COMPUTED_VALUE"""),1.0)</f>
        <v>1</v>
      </c>
      <c r="BV161" s="22">
        <f>IFERROR(__xludf.DUMMYFUNCTION("""COMPUTED_VALUE"""),1.0)</f>
        <v>1</v>
      </c>
      <c r="BW161" s="22">
        <f>IFERROR(__xludf.DUMMYFUNCTION("""COMPUTED_VALUE"""),0.0)</f>
        <v>0</v>
      </c>
      <c r="BX161" s="22">
        <f>IFERROR(__xludf.DUMMYFUNCTION("""COMPUTED_VALUE"""),0.0)</f>
        <v>0</v>
      </c>
      <c r="BY161" s="22">
        <f>IFERROR(__xludf.DUMMYFUNCTION("""COMPUTED_VALUE"""),1.0)</f>
        <v>1</v>
      </c>
      <c r="BZ161" s="22">
        <f>IFERROR(__xludf.DUMMYFUNCTION("""COMPUTED_VALUE"""),0.0)</f>
        <v>0</v>
      </c>
      <c r="CA161" s="22">
        <f>IFERROR(__xludf.DUMMYFUNCTION("""COMPUTED_VALUE"""),1.0)</f>
        <v>1</v>
      </c>
      <c r="CB161" s="22">
        <f>IFERROR(__xludf.DUMMYFUNCTION("""COMPUTED_VALUE"""),3.0)</f>
        <v>3</v>
      </c>
      <c r="CC161" s="61">
        <f>IFERROR(__xludf.DUMMYFUNCTION("""COMPUTED_VALUE"""),1.875)</f>
        <v>1.875</v>
      </c>
      <c r="CD161" s="62" t="str">
        <f>IFERROR(__xludf.DUMMYFUNCTION("""COMPUTED_VALUE"""),"subpar")</f>
        <v>subpar</v>
      </c>
      <c r="CE161" s="22" t="s">
        <v>80</v>
      </c>
      <c r="CF161" s="24">
        <v>6.0</v>
      </c>
      <c r="CG161" s="22" t="b">
        <v>0</v>
      </c>
      <c r="CH161" s="22" t="b">
        <v>0</v>
      </c>
      <c r="CI161" s="22"/>
      <c r="CJ161" s="22">
        <v>0.0</v>
      </c>
      <c r="CK161" s="22">
        <v>1.0</v>
      </c>
      <c r="CL161" s="22">
        <v>0.0</v>
      </c>
      <c r="CM161" s="22">
        <v>0.0</v>
      </c>
      <c r="CN161" s="22">
        <v>0.0</v>
      </c>
      <c r="CO161" s="22">
        <v>0.0</v>
      </c>
      <c r="CP161" s="22">
        <v>0.0</v>
      </c>
      <c r="CQ161" s="22">
        <v>0.0</v>
      </c>
      <c r="CR161" s="22">
        <v>1.0</v>
      </c>
      <c r="CS161" s="22">
        <v>1.0</v>
      </c>
      <c r="CT161" s="22">
        <v>0.0</v>
      </c>
      <c r="CU161" s="22">
        <v>0.0</v>
      </c>
      <c r="CV161" s="22">
        <v>1.0</v>
      </c>
      <c r="CW161" s="22">
        <v>0.0</v>
      </c>
      <c r="CX161" s="22">
        <v>1.0</v>
      </c>
      <c r="CY161" s="22">
        <v>3.0</v>
      </c>
      <c r="CZ161" s="61">
        <v>1.875</v>
      </c>
      <c r="DA161" s="62" t="s">
        <v>568</v>
      </c>
    </row>
    <row r="162">
      <c r="A162" s="16" t="s">
        <v>356</v>
      </c>
      <c r="B162" s="16" t="s">
        <v>357</v>
      </c>
      <c r="C162" s="39" t="s">
        <v>45</v>
      </c>
      <c r="D162" s="16" t="s">
        <v>358</v>
      </c>
      <c r="E162" s="17" t="b">
        <f t="shared" ref="E162:K162" si="811">If(IFERROR(SEARCH(E$1, $D162),0) &gt;= 1, true,false)</f>
        <v>0</v>
      </c>
      <c r="F162" s="17" t="b">
        <f t="shared" si="811"/>
        <v>0</v>
      </c>
      <c r="G162" s="17" t="b">
        <f t="shared" si="811"/>
        <v>0</v>
      </c>
      <c r="H162" s="17" t="b">
        <f t="shared" si="811"/>
        <v>0</v>
      </c>
      <c r="I162" s="17" t="b">
        <f t="shared" si="811"/>
        <v>1</v>
      </c>
      <c r="J162" s="17" t="b">
        <f t="shared" si="811"/>
        <v>0</v>
      </c>
      <c r="K162" s="17" t="b">
        <f t="shared" si="811"/>
        <v>1</v>
      </c>
      <c r="L162" s="18" t="b">
        <v>1</v>
      </c>
      <c r="M162" s="18" t="b">
        <v>1</v>
      </c>
      <c r="N162" s="18" t="b">
        <v>0</v>
      </c>
      <c r="O162" s="18" t="b">
        <v>1</v>
      </c>
      <c r="P162" s="16" t="str">
        <f t="shared" si="7"/>
        <v>MACS | Museum voor Hedendaagse Kunsten Grand-Hornu</v>
      </c>
      <c r="Q162" s="19">
        <v>10.0</v>
      </c>
      <c r="R162" s="20" t="b">
        <v>0</v>
      </c>
      <c r="S162" s="18" t="b">
        <v>1</v>
      </c>
      <c r="T162" s="29">
        <v>10.0</v>
      </c>
      <c r="U162" s="21">
        <f t="shared" si="8"/>
        <v>0</v>
      </c>
      <c r="V162" s="21">
        <f t="shared" ref="V162:AB162" si="812">if(OR(AW162 = $AO$4, AW162 = $AQ$4), 1, 0)</f>
        <v>0</v>
      </c>
      <c r="W162" s="21">
        <f t="shared" si="812"/>
        <v>0</v>
      </c>
      <c r="X162" s="21">
        <f t="shared" si="812"/>
        <v>0</v>
      </c>
      <c r="Y162" s="21">
        <f t="shared" si="812"/>
        <v>0</v>
      </c>
      <c r="Z162" s="21">
        <f t="shared" si="812"/>
        <v>0</v>
      </c>
      <c r="AA162" s="21">
        <f t="shared" si="812"/>
        <v>0</v>
      </c>
      <c r="AB162" s="21">
        <f t="shared" si="812"/>
        <v>0</v>
      </c>
      <c r="AC162" s="21">
        <f t="shared" si="10"/>
        <v>0</v>
      </c>
      <c r="AD162" s="21">
        <f t="shared" si="11"/>
        <v>1</v>
      </c>
      <c r="AE162" s="21">
        <f t="shared" ref="AE162:AH162" si="813">if(OR(BD162 = $AO$6, BD162 = $AS$6, BD162 = $AT$6, BD162 = $AU$6), 1, 0)</f>
        <v>1</v>
      </c>
      <c r="AF162" s="21">
        <f t="shared" si="813"/>
        <v>1</v>
      </c>
      <c r="AG162" s="21">
        <f t="shared" si="813"/>
        <v>0</v>
      </c>
      <c r="AH162" s="21">
        <f t="shared" si="813"/>
        <v>1</v>
      </c>
      <c r="AI162" s="21">
        <f t="shared" si="13"/>
        <v>3</v>
      </c>
      <c r="AJ162" s="21">
        <f t="shared" si="14"/>
        <v>4</v>
      </c>
      <c r="AK162" s="59">
        <f t="shared" si="15"/>
        <v>2.5</v>
      </c>
      <c r="AL162" s="60" t="str">
        <f t="shared" si="16"/>
        <v>subpar</v>
      </c>
      <c r="AW162" s="22">
        <f t="shared" ref="AW162:BC162" si="814">IF(IFERROR(SEARCH(E$1, $D162),0) &gt;= 1, E$1,0)</f>
        <v>0</v>
      </c>
      <c r="AX162" s="22">
        <f t="shared" si="814"/>
        <v>0</v>
      </c>
      <c r="AY162" s="22">
        <f t="shared" si="814"/>
        <v>0</v>
      </c>
      <c r="AZ162" s="22">
        <f t="shared" si="814"/>
        <v>0</v>
      </c>
      <c r="BA162" s="22" t="str">
        <f t="shared" si="814"/>
        <v>Architectuur</v>
      </c>
      <c r="BB162" s="22">
        <f t="shared" si="814"/>
        <v>0</v>
      </c>
      <c r="BC162" s="22" t="str">
        <f t="shared" si="814"/>
        <v>Toegepaste kunst en design</v>
      </c>
      <c r="BD162" s="22" t="str">
        <f t="shared" ref="BD162:BG162" si="815">IF(L162 = true, BD$1, 0)</f>
        <v>Shop</v>
      </c>
      <c r="BE162" s="22" t="str">
        <f t="shared" si="815"/>
        <v>Café</v>
      </c>
      <c r="BF162" s="22">
        <f t="shared" si="815"/>
        <v>0</v>
      </c>
      <c r="BG162" s="22" t="str">
        <f t="shared" si="815"/>
        <v>Restaurant</v>
      </c>
      <c r="BH162" s="22" t="str">
        <f>IFERROR(__xludf.DUMMYFUNCTION("""COMPUTED_VALUE"""),"In Flanders Fields Museum")</f>
        <v>In Flanders Fields Museum</v>
      </c>
      <c r="BI162" s="24">
        <f>IFERROR(__xludf.DUMMYFUNCTION("""COMPUTED_VALUE"""),12.0)</f>
        <v>12</v>
      </c>
      <c r="BJ162" s="22" t="b">
        <f>IFERROR(__xludf.DUMMYFUNCTION("""COMPUTED_VALUE"""),FALSE)</f>
        <v>0</v>
      </c>
      <c r="BK162" s="22" t="b">
        <f>IFERROR(__xludf.DUMMYFUNCTION("""COMPUTED_VALUE"""),TRUE)</f>
        <v>1</v>
      </c>
      <c r="BL162" s="24">
        <f>IFERROR(__xludf.DUMMYFUNCTION("""COMPUTED_VALUE"""),12.0)</f>
        <v>12</v>
      </c>
      <c r="BM162" s="22">
        <f>IFERROR(__xludf.DUMMYFUNCTION("""COMPUTED_VALUE"""),0.0)</f>
        <v>0</v>
      </c>
      <c r="BN162" s="22">
        <f>IFERROR(__xludf.DUMMYFUNCTION("""COMPUTED_VALUE"""),1.0)</f>
        <v>1</v>
      </c>
      <c r="BO162" s="22">
        <f>IFERROR(__xludf.DUMMYFUNCTION("""COMPUTED_VALUE"""),0.0)</f>
        <v>0</v>
      </c>
      <c r="BP162" s="22">
        <f>IFERROR(__xludf.DUMMYFUNCTION("""COMPUTED_VALUE"""),0.0)</f>
        <v>0</v>
      </c>
      <c r="BQ162" s="22">
        <f>IFERROR(__xludf.DUMMYFUNCTION("""COMPUTED_VALUE"""),0.0)</f>
        <v>0</v>
      </c>
      <c r="BR162" s="22">
        <f>IFERROR(__xludf.DUMMYFUNCTION("""COMPUTED_VALUE"""),0.0)</f>
        <v>0</v>
      </c>
      <c r="BS162" s="22">
        <f>IFERROR(__xludf.DUMMYFUNCTION("""COMPUTED_VALUE"""),0.0)</f>
        <v>0</v>
      </c>
      <c r="BT162" s="22">
        <f>IFERROR(__xludf.DUMMYFUNCTION("""COMPUTED_VALUE"""),0.0)</f>
        <v>0</v>
      </c>
      <c r="BU162" s="22">
        <f>IFERROR(__xludf.DUMMYFUNCTION("""COMPUTED_VALUE"""),1.0)</f>
        <v>1</v>
      </c>
      <c r="BV162" s="22">
        <f>IFERROR(__xludf.DUMMYFUNCTION("""COMPUTED_VALUE"""),0.0)</f>
        <v>0</v>
      </c>
      <c r="BW162" s="22">
        <f>IFERROR(__xludf.DUMMYFUNCTION("""COMPUTED_VALUE"""),1.0)</f>
        <v>1</v>
      </c>
      <c r="BX162" s="22">
        <f>IFERROR(__xludf.DUMMYFUNCTION("""COMPUTED_VALUE"""),1.0)</f>
        <v>1</v>
      </c>
      <c r="BY162" s="22">
        <f>IFERROR(__xludf.DUMMYFUNCTION("""COMPUTED_VALUE"""),0.0)</f>
        <v>0</v>
      </c>
      <c r="BZ162" s="22">
        <f>IFERROR(__xludf.DUMMYFUNCTION("""COMPUTED_VALUE"""),0.0)</f>
        <v>0</v>
      </c>
      <c r="CA162" s="22">
        <f>IFERROR(__xludf.DUMMYFUNCTION("""COMPUTED_VALUE"""),2.0)</f>
        <v>2</v>
      </c>
      <c r="CB162" s="22">
        <f>IFERROR(__xludf.DUMMYFUNCTION("""COMPUTED_VALUE"""),3.0)</f>
        <v>3</v>
      </c>
      <c r="CC162" s="61">
        <f>IFERROR(__xludf.DUMMYFUNCTION("""COMPUTED_VALUE"""),1.875)</f>
        <v>1.875</v>
      </c>
      <c r="CD162" s="62" t="str">
        <f>IFERROR(__xludf.DUMMYFUNCTION("""COMPUTED_VALUE"""),"subpar")</f>
        <v>subpar</v>
      </c>
      <c r="CE162" s="22" t="s">
        <v>98</v>
      </c>
      <c r="CF162" s="24">
        <v>12.0</v>
      </c>
      <c r="CG162" s="22" t="b">
        <v>0</v>
      </c>
      <c r="CH162" s="22" t="b">
        <v>1</v>
      </c>
      <c r="CI162" s="24">
        <v>12.0</v>
      </c>
      <c r="CJ162" s="22">
        <v>0.0</v>
      </c>
      <c r="CK162" s="22">
        <v>1.0</v>
      </c>
      <c r="CL162" s="22">
        <v>0.0</v>
      </c>
      <c r="CM162" s="22">
        <v>0.0</v>
      </c>
      <c r="CN162" s="22">
        <v>0.0</v>
      </c>
      <c r="CO162" s="22">
        <v>0.0</v>
      </c>
      <c r="CP162" s="22">
        <v>0.0</v>
      </c>
      <c r="CQ162" s="22">
        <v>0.0</v>
      </c>
      <c r="CR162" s="22">
        <v>1.0</v>
      </c>
      <c r="CS162" s="22">
        <v>0.0</v>
      </c>
      <c r="CT162" s="22">
        <v>1.0</v>
      </c>
      <c r="CU162" s="22">
        <v>1.0</v>
      </c>
      <c r="CV162" s="22">
        <v>0.0</v>
      </c>
      <c r="CW162" s="22">
        <v>0.0</v>
      </c>
      <c r="CX162" s="22">
        <v>2.0</v>
      </c>
      <c r="CY162" s="22">
        <v>3.0</v>
      </c>
      <c r="CZ162" s="61">
        <v>1.875</v>
      </c>
      <c r="DA162" s="62" t="s">
        <v>568</v>
      </c>
    </row>
    <row r="163">
      <c r="A163" s="16"/>
      <c r="B163" s="16" t="s">
        <v>359</v>
      </c>
      <c r="C163" s="39" t="s">
        <v>45</v>
      </c>
      <c r="D163" s="16" t="s">
        <v>360</v>
      </c>
      <c r="E163" s="17" t="b">
        <f t="shared" ref="E163:K163" si="816">If(IFERROR(SEARCH(E$1, $D163),0) &gt;= 1, true,false)</f>
        <v>0</v>
      </c>
      <c r="F163" s="17" t="b">
        <f t="shared" si="816"/>
        <v>1</v>
      </c>
      <c r="G163" s="17" t="b">
        <f t="shared" si="816"/>
        <v>0</v>
      </c>
      <c r="H163" s="17" t="b">
        <f t="shared" si="816"/>
        <v>0</v>
      </c>
      <c r="I163" s="17" t="b">
        <f t="shared" si="816"/>
        <v>0</v>
      </c>
      <c r="J163" s="17" t="b">
        <f t="shared" si="816"/>
        <v>0</v>
      </c>
      <c r="K163" s="17" t="b">
        <f t="shared" si="816"/>
        <v>0</v>
      </c>
      <c r="L163" s="18" t="b">
        <v>1</v>
      </c>
      <c r="M163" s="18" t="b">
        <v>1</v>
      </c>
      <c r="N163" s="18" t="b">
        <v>0</v>
      </c>
      <c r="O163" s="18" t="b">
        <v>1</v>
      </c>
      <c r="P163" s="16" t="str">
        <f t="shared" si="7"/>
        <v>Maison de l’Imprimerie </v>
      </c>
      <c r="Q163" s="19">
        <v>5.0</v>
      </c>
      <c r="R163" s="20" t="b">
        <v>0</v>
      </c>
      <c r="S163" s="18" t="b">
        <v>1</v>
      </c>
      <c r="T163" s="30">
        <v>5.0</v>
      </c>
      <c r="U163" s="21">
        <f t="shared" si="8"/>
        <v>0</v>
      </c>
      <c r="V163" s="21">
        <f t="shared" ref="V163:AB163" si="817">if(OR(AW163 = $AO$4, AW163 = $AQ$4), 1, 0)</f>
        <v>0</v>
      </c>
      <c r="W163" s="21">
        <f t="shared" si="817"/>
        <v>0</v>
      </c>
      <c r="X163" s="21">
        <f t="shared" si="817"/>
        <v>0</v>
      </c>
      <c r="Y163" s="21">
        <f t="shared" si="817"/>
        <v>0</v>
      </c>
      <c r="Z163" s="21">
        <f t="shared" si="817"/>
        <v>0</v>
      </c>
      <c r="AA163" s="21">
        <f t="shared" si="817"/>
        <v>0</v>
      </c>
      <c r="AB163" s="21">
        <f t="shared" si="817"/>
        <v>0</v>
      </c>
      <c r="AC163" s="21">
        <f t="shared" si="10"/>
        <v>0</v>
      </c>
      <c r="AD163" s="21">
        <f t="shared" si="11"/>
        <v>1</v>
      </c>
      <c r="AE163" s="21">
        <f t="shared" ref="AE163:AH163" si="818">if(OR(BD163 = $AO$6, BD163 = $AS$6, BD163 = $AT$6, BD163 = $AU$6), 1, 0)</f>
        <v>1</v>
      </c>
      <c r="AF163" s="21">
        <f t="shared" si="818"/>
        <v>1</v>
      </c>
      <c r="AG163" s="21">
        <f t="shared" si="818"/>
        <v>0</v>
      </c>
      <c r="AH163" s="21">
        <f t="shared" si="818"/>
        <v>1</v>
      </c>
      <c r="AI163" s="21">
        <f t="shared" si="13"/>
        <v>3</v>
      </c>
      <c r="AJ163" s="21">
        <f t="shared" si="14"/>
        <v>4</v>
      </c>
      <c r="AK163" s="59">
        <f t="shared" si="15"/>
        <v>2.5</v>
      </c>
      <c r="AL163" s="60" t="str">
        <f t="shared" si="16"/>
        <v>subpar</v>
      </c>
      <c r="AW163" s="22">
        <f t="shared" ref="AW163:BC163" si="819">IF(IFERROR(SEARCH(E$1, $D163),0) &gt;= 1, E$1,0)</f>
        <v>0</v>
      </c>
      <c r="AX163" s="22" t="str">
        <f t="shared" si="819"/>
        <v>Wetenschap en technologie</v>
      </c>
      <c r="AY163" s="22">
        <f t="shared" si="819"/>
        <v>0</v>
      </c>
      <c r="AZ163" s="22">
        <f t="shared" si="819"/>
        <v>0</v>
      </c>
      <c r="BA163" s="22">
        <f t="shared" si="819"/>
        <v>0</v>
      </c>
      <c r="BB163" s="22">
        <f t="shared" si="819"/>
        <v>0</v>
      </c>
      <c r="BC163" s="22">
        <f t="shared" si="819"/>
        <v>0</v>
      </c>
      <c r="BD163" s="22" t="str">
        <f t="shared" ref="BD163:BG163" si="820">IF(L163 = true, BD$1, 0)</f>
        <v>Shop</v>
      </c>
      <c r="BE163" s="22" t="str">
        <f t="shared" si="820"/>
        <v>Café</v>
      </c>
      <c r="BF163" s="22">
        <f t="shared" si="820"/>
        <v>0</v>
      </c>
      <c r="BG163" s="22" t="str">
        <f t="shared" si="820"/>
        <v>Restaurant</v>
      </c>
      <c r="BH163" s="22" t="str">
        <f>IFERROR(__xludf.DUMMYFUNCTION("""COMPUTED_VALUE"""),"Kantmuseum Brugge")</f>
        <v>Kantmuseum Brugge</v>
      </c>
      <c r="BI163" s="24">
        <f>IFERROR(__xludf.DUMMYFUNCTION("""COMPUTED_VALUE"""),8.0)</f>
        <v>8</v>
      </c>
      <c r="BJ163" s="22" t="b">
        <f>IFERROR(__xludf.DUMMYFUNCTION("""COMPUTED_VALUE"""),FALSE)</f>
        <v>0</v>
      </c>
      <c r="BK163" s="22" t="b">
        <f>IFERROR(__xludf.DUMMYFUNCTION("""COMPUTED_VALUE"""),FALSE)</f>
        <v>0</v>
      </c>
      <c r="BL163" s="22"/>
      <c r="BM163" s="22">
        <f>IFERROR(__xludf.DUMMYFUNCTION("""COMPUTED_VALUE"""),0.0)</f>
        <v>0</v>
      </c>
      <c r="BN163" s="22">
        <f>IFERROR(__xludf.DUMMYFUNCTION("""COMPUTED_VALUE"""),1.0)</f>
        <v>1</v>
      </c>
      <c r="BO163" s="22">
        <f>IFERROR(__xludf.DUMMYFUNCTION("""COMPUTED_VALUE"""),0.0)</f>
        <v>0</v>
      </c>
      <c r="BP163" s="22">
        <f>IFERROR(__xludf.DUMMYFUNCTION("""COMPUTED_VALUE"""),0.0)</f>
        <v>0</v>
      </c>
      <c r="BQ163" s="22">
        <f>IFERROR(__xludf.DUMMYFUNCTION("""COMPUTED_VALUE"""),0.0)</f>
        <v>0</v>
      </c>
      <c r="BR163" s="22">
        <f>IFERROR(__xludf.DUMMYFUNCTION("""COMPUTED_VALUE"""),0.0)</f>
        <v>0</v>
      </c>
      <c r="BS163" s="22">
        <f>IFERROR(__xludf.DUMMYFUNCTION("""COMPUTED_VALUE"""),0.0)</f>
        <v>0</v>
      </c>
      <c r="BT163" s="22">
        <f>IFERROR(__xludf.DUMMYFUNCTION("""COMPUTED_VALUE"""),0.0)</f>
        <v>0</v>
      </c>
      <c r="BU163" s="22">
        <f>IFERROR(__xludf.DUMMYFUNCTION("""COMPUTED_VALUE"""),1.0)</f>
        <v>1</v>
      </c>
      <c r="BV163" s="22">
        <f>IFERROR(__xludf.DUMMYFUNCTION("""COMPUTED_VALUE"""),1.0)</f>
        <v>1</v>
      </c>
      <c r="BW163" s="22">
        <f>IFERROR(__xludf.DUMMYFUNCTION("""COMPUTED_VALUE"""),1.0)</f>
        <v>1</v>
      </c>
      <c r="BX163" s="22">
        <f>IFERROR(__xludf.DUMMYFUNCTION("""COMPUTED_VALUE"""),0.0)</f>
        <v>0</v>
      </c>
      <c r="BY163" s="22">
        <f>IFERROR(__xludf.DUMMYFUNCTION("""COMPUTED_VALUE"""),0.0)</f>
        <v>0</v>
      </c>
      <c r="BZ163" s="22">
        <f>IFERROR(__xludf.DUMMYFUNCTION("""COMPUTED_VALUE"""),0.0)</f>
        <v>0</v>
      </c>
      <c r="CA163" s="22">
        <f>IFERROR(__xludf.DUMMYFUNCTION("""COMPUTED_VALUE"""),1.0)</f>
        <v>1</v>
      </c>
      <c r="CB163" s="22">
        <f>IFERROR(__xludf.DUMMYFUNCTION("""COMPUTED_VALUE"""),3.0)</f>
        <v>3</v>
      </c>
      <c r="CC163" s="61">
        <f>IFERROR(__xludf.DUMMYFUNCTION("""COMPUTED_VALUE"""),1.875)</f>
        <v>1.875</v>
      </c>
      <c r="CD163" s="62" t="str">
        <f>IFERROR(__xludf.DUMMYFUNCTION("""COMPUTED_VALUE"""),"subpar")</f>
        <v>subpar</v>
      </c>
      <c r="CE163" s="22" t="s">
        <v>100</v>
      </c>
      <c r="CF163" s="24">
        <v>8.0</v>
      </c>
      <c r="CG163" s="22" t="b">
        <v>0</v>
      </c>
      <c r="CH163" s="22" t="b">
        <v>0</v>
      </c>
      <c r="CI163" s="22"/>
      <c r="CJ163" s="22">
        <v>0.0</v>
      </c>
      <c r="CK163" s="22">
        <v>1.0</v>
      </c>
      <c r="CL163" s="22">
        <v>0.0</v>
      </c>
      <c r="CM163" s="22">
        <v>0.0</v>
      </c>
      <c r="CN163" s="22">
        <v>0.0</v>
      </c>
      <c r="CO163" s="22">
        <v>0.0</v>
      </c>
      <c r="CP163" s="22">
        <v>0.0</v>
      </c>
      <c r="CQ163" s="22">
        <v>0.0</v>
      </c>
      <c r="CR163" s="22">
        <v>1.0</v>
      </c>
      <c r="CS163" s="22">
        <v>1.0</v>
      </c>
      <c r="CT163" s="22">
        <v>1.0</v>
      </c>
      <c r="CU163" s="22">
        <v>0.0</v>
      </c>
      <c r="CV163" s="22">
        <v>0.0</v>
      </c>
      <c r="CW163" s="22">
        <v>0.0</v>
      </c>
      <c r="CX163" s="22">
        <v>1.0</v>
      </c>
      <c r="CY163" s="22">
        <v>3.0</v>
      </c>
      <c r="CZ163" s="61">
        <v>1.875</v>
      </c>
      <c r="DA163" s="62" t="s">
        <v>568</v>
      </c>
    </row>
    <row r="164">
      <c r="A164" s="16"/>
      <c r="B164" s="16" t="s">
        <v>361</v>
      </c>
      <c r="C164" s="39" t="s">
        <v>45</v>
      </c>
      <c r="D164" s="16" t="s">
        <v>362</v>
      </c>
      <c r="E164" s="17" t="b">
        <f t="shared" ref="E164:K164" si="821">If(IFERROR(SEARCH(E$1, $D164),0) &gt;= 1, true,false)</f>
        <v>1</v>
      </c>
      <c r="F164" s="17" t="b">
        <f t="shared" si="821"/>
        <v>0</v>
      </c>
      <c r="G164" s="17" t="b">
        <f t="shared" si="821"/>
        <v>0</v>
      </c>
      <c r="H164" s="17" t="b">
        <f t="shared" si="821"/>
        <v>1</v>
      </c>
      <c r="I164" s="17" t="b">
        <f t="shared" si="821"/>
        <v>1</v>
      </c>
      <c r="J164" s="17" t="b">
        <f t="shared" si="821"/>
        <v>1</v>
      </c>
      <c r="K164" s="17" t="b">
        <f t="shared" si="821"/>
        <v>0</v>
      </c>
      <c r="L164" s="18" t="b">
        <v>1</v>
      </c>
      <c r="M164" s="18" t="b">
        <v>0</v>
      </c>
      <c r="N164" s="18" t="b">
        <v>0</v>
      </c>
      <c r="O164" s="18" t="b">
        <v>0</v>
      </c>
      <c r="P164" s="16" t="str">
        <f t="shared" si="7"/>
        <v>Maison Losseau </v>
      </c>
      <c r="Q164" s="19">
        <v>5.0</v>
      </c>
      <c r="R164" s="20" t="b">
        <v>0</v>
      </c>
      <c r="S164" s="18" t="b">
        <v>1</v>
      </c>
      <c r="T164" s="30">
        <v>5.0</v>
      </c>
      <c r="U164" s="21">
        <f t="shared" si="8"/>
        <v>0</v>
      </c>
      <c r="V164" s="21">
        <f t="shared" ref="V164:AB164" si="822">if(OR(AW164 = $AO$4, AW164 = $AQ$4), 1, 0)</f>
        <v>1</v>
      </c>
      <c r="W164" s="21">
        <f t="shared" si="822"/>
        <v>0</v>
      </c>
      <c r="X164" s="21">
        <f t="shared" si="822"/>
        <v>0</v>
      </c>
      <c r="Y164" s="21">
        <f t="shared" si="822"/>
        <v>0</v>
      </c>
      <c r="Z164" s="21">
        <f t="shared" si="822"/>
        <v>0</v>
      </c>
      <c r="AA164" s="21">
        <f t="shared" si="822"/>
        <v>1</v>
      </c>
      <c r="AB164" s="21">
        <f t="shared" si="822"/>
        <v>0</v>
      </c>
      <c r="AC164" s="21">
        <f t="shared" si="10"/>
        <v>2</v>
      </c>
      <c r="AD164" s="21">
        <f t="shared" si="11"/>
        <v>1</v>
      </c>
      <c r="AE164" s="21">
        <f t="shared" ref="AE164:AH164" si="823">if(OR(BD164 = $AO$6, BD164 = $AS$6, BD164 = $AT$6, BD164 = $AU$6), 1, 0)</f>
        <v>1</v>
      </c>
      <c r="AF164" s="21">
        <f t="shared" si="823"/>
        <v>0</v>
      </c>
      <c r="AG164" s="21">
        <f t="shared" si="823"/>
        <v>0</v>
      </c>
      <c r="AH164" s="21">
        <f t="shared" si="823"/>
        <v>0</v>
      </c>
      <c r="AI164" s="21">
        <f t="shared" si="13"/>
        <v>1</v>
      </c>
      <c r="AJ164" s="21">
        <f t="shared" si="14"/>
        <v>4</v>
      </c>
      <c r="AK164" s="59">
        <f t="shared" si="15"/>
        <v>2.5</v>
      </c>
      <c r="AL164" s="60" t="str">
        <f t="shared" si="16"/>
        <v>subpar</v>
      </c>
      <c r="AW164" s="22" t="str">
        <f t="shared" ref="AW164:BC164" si="824">IF(IFERROR(SEARCH(E$1, $D164),0) &gt;= 1, E$1,0)</f>
        <v>Geschiedenis en archeologie</v>
      </c>
      <c r="AX164" s="22">
        <f t="shared" si="824"/>
        <v>0</v>
      </c>
      <c r="AY164" s="22">
        <f t="shared" si="824"/>
        <v>0</v>
      </c>
      <c r="AZ164" s="22" t="str">
        <f t="shared" si="824"/>
        <v>Literatuur</v>
      </c>
      <c r="BA164" s="22" t="str">
        <f t="shared" si="824"/>
        <v>Architectuur</v>
      </c>
      <c r="BB164" s="22" t="str">
        <f t="shared" si="824"/>
        <v>Beeldende kunst</v>
      </c>
      <c r="BC164" s="22">
        <f t="shared" si="824"/>
        <v>0</v>
      </c>
      <c r="BD164" s="22" t="str">
        <f t="shared" ref="BD164:BG164" si="825">IF(L164 = true, BD$1, 0)</f>
        <v>Shop</v>
      </c>
      <c r="BE164" s="22">
        <f t="shared" si="825"/>
        <v>0</v>
      </c>
      <c r="BF164" s="22">
        <f t="shared" si="825"/>
        <v>0</v>
      </c>
      <c r="BG164" s="22">
        <f t="shared" si="825"/>
        <v>0</v>
      </c>
      <c r="BH164" s="22" t="str">
        <f>IFERROR(__xludf.DUMMYFUNCTION("""COMPUTED_VALUE"""),"Museum Sint-Janshospitaal")</f>
        <v>Museum Sint-Janshospitaal</v>
      </c>
      <c r="BI164" s="24">
        <f>IFERROR(__xludf.DUMMYFUNCTION("""COMPUTED_VALUE"""),15.0)</f>
        <v>15</v>
      </c>
      <c r="BJ164" s="22" t="b">
        <f>IFERROR(__xludf.DUMMYFUNCTION("""COMPUTED_VALUE"""),FALSE)</f>
        <v>0</v>
      </c>
      <c r="BK164" s="22" t="b">
        <f>IFERROR(__xludf.DUMMYFUNCTION("""COMPUTED_VALUE"""),TRUE)</f>
        <v>1</v>
      </c>
      <c r="BL164" s="24">
        <f>IFERROR(__xludf.DUMMYFUNCTION("""COMPUTED_VALUE"""),15.0)</f>
        <v>15</v>
      </c>
      <c r="BM164" s="22">
        <f>IFERROR(__xludf.DUMMYFUNCTION("""COMPUTED_VALUE"""),0.0)</f>
        <v>0</v>
      </c>
      <c r="BN164" s="22">
        <f>IFERROR(__xludf.DUMMYFUNCTION("""COMPUTED_VALUE"""),1.0)</f>
        <v>1</v>
      </c>
      <c r="BO164" s="22">
        <f>IFERROR(__xludf.DUMMYFUNCTION("""COMPUTED_VALUE"""),0.0)</f>
        <v>0</v>
      </c>
      <c r="BP164" s="22">
        <f>IFERROR(__xludf.DUMMYFUNCTION("""COMPUTED_VALUE"""),0.0)</f>
        <v>0</v>
      </c>
      <c r="BQ164" s="22">
        <f>IFERROR(__xludf.DUMMYFUNCTION("""COMPUTED_VALUE"""),0.0)</f>
        <v>0</v>
      </c>
      <c r="BR164" s="22">
        <f>IFERROR(__xludf.DUMMYFUNCTION("""COMPUTED_VALUE"""),0.0)</f>
        <v>0</v>
      </c>
      <c r="BS164" s="22">
        <f>IFERROR(__xludf.DUMMYFUNCTION("""COMPUTED_VALUE"""),1.0)</f>
        <v>1</v>
      </c>
      <c r="BT164" s="22">
        <f>IFERROR(__xludf.DUMMYFUNCTION("""COMPUTED_VALUE"""),0.0)</f>
        <v>0</v>
      </c>
      <c r="BU164" s="22">
        <f>IFERROR(__xludf.DUMMYFUNCTION("""COMPUTED_VALUE"""),2.0)</f>
        <v>2</v>
      </c>
      <c r="BV164" s="22">
        <f>IFERROR(__xludf.DUMMYFUNCTION("""COMPUTED_VALUE"""),0.0)</f>
        <v>0</v>
      </c>
      <c r="BW164" s="22">
        <f>IFERROR(__xludf.DUMMYFUNCTION("""COMPUTED_VALUE"""),1.0)</f>
        <v>1</v>
      </c>
      <c r="BX164" s="22">
        <f>IFERROR(__xludf.DUMMYFUNCTION("""COMPUTED_VALUE"""),0.0)</f>
        <v>0</v>
      </c>
      <c r="BY164" s="22">
        <f>IFERROR(__xludf.DUMMYFUNCTION("""COMPUTED_VALUE"""),0.0)</f>
        <v>0</v>
      </c>
      <c r="BZ164" s="22">
        <f>IFERROR(__xludf.DUMMYFUNCTION("""COMPUTED_VALUE"""),0.0)</f>
        <v>0</v>
      </c>
      <c r="CA164" s="22">
        <f>IFERROR(__xludf.DUMMYFUNCTION("""COMPUTED_VALUE"""),1.0)</f>
        <v>1</v>
      </c>
      <c r="CB164" s="22">
        <f>IFERROR(__xludf.DUMMYFUNCTION("""COMPUTED_VALUE"""),3.0)</f>
        <v>3</v>
      </c>
      <c r="CC164" s="61">
        <f>IFERROR(__xludf.DUMMYFUNCTION("""COMPUTED_VALUE"""),1.875)</f>
        <v>1.875</v>
      </c>
      <c r="CD164" s="62" t="str">
        <f>IFERROR(__xludf.DUMMYFUNCTION("""COMPUTED_VALUE"""),"subpar")</f>
        <v>subpar</v>
      </c>
      <c r="CE164" s="22" t="s">
        <v>110</v>
      </c>
      <c r="CF164" s="24">
        <v>15.0</v>
      </c>
      <c r="CG164" s="22" t="b">
        <v>0</v>
      </c>
      <c r="CH164" s="22" t="b">
        <v>1</v>
      </c>
      <c r="CI164" s="24">
        <v>15.0</v>
      </c>
      <c r="CJ164" s="22">
        <v>0.0</v>
      </c>
      <c r="CK164" s="22">
        <v>1.0</v>
      </c>
      <c r="CL164" s="22">
        <v>0.0</v>
      </c>
      <c r="CM164" s="22">
        <v>0.0</v>
      </c>
      <c r="CN164" s="22">
        <v>0.0</v>
      </c>
      <c r="CO164" s="22">
        <v>0.0</v>
      </c>
      <c r="CP164" s="22">
        <v>1.0</v>
      </c>
      <c r="CQ164" s="22">
        <v>0.0</v>
      </c>
      <c r="CR164" s="22">
        <v>2.0</v>
      </c>
      <c r="CS164" s="22">
        <v>0.0</v>
      </c>
      <c r="CT164" s="22">
        <v>1.0</v>
      </c>
      <c r="CU164" s="22">
        <v>0.0</v>
      </c>
      <c r="CV164" s="22">
        <v>0.0</v>
      </c>
      <c r="CW164" s="22">
        <v>0.0</v>
      </c>
      <c r="CX164" s="22">
        <v>1.0</v>
      </c>
      <c r="CY164" s="22">
        <v>3.0</v>
      </c>
      <c r="CZ164" s="61">
        <v>1.875</v>
      </c>
      <c r="DA164" s="62" t="s">
        <v>568</v>
      </c>
    </row>
    <row r="165">
      <c r="A165" s="16"/>
      <c r="B165" s="16" t="s">
        <v>363</v>
      </c>
      <c r="C165" s="39" t="s">
        <v>45</v>
      </c>
      <c r="D165" s="16" t="s">
        <v>319</v>
      </c>
      <c r="E165" s="17" t="b">
        <f t="shared" ref="E165:K165" si="826">If(IFERROR(SEARCH(E$1, $D165),0) &gt;= 1, true,false)</f>
        <v>1</v>
      </c>
      <c r="F165" s="17" t="b">
        <f t="shared" si="826"/>
        <v>0</v>
      </c>
      <c r="G165" s="17" t="b">
        <f t="shared" si="826"/>
        <v>0</v>
      </c>
      <c r="H165" s="17" t="b">
        <f t="shared" si="826"/>
        <v>0</v>
      </c>
      <c r="I165" s="17" t="b">
        <f t="shared" si="826"/>
        <v>1</v>
      </c>
      <c r="J165" s="17" t="b">
        <f t="shared" si="826"/>
        <v>0</v>
      </c>
      <c r="K165" s="17" t="b">
        <f t="shared" si="826"/>
        <v>0</v>
      </c>
      <c r="L165" s="18" t="b">
        <v>1</v>
      </c>
      <c r="M165" s="18" t="b">
        <v>0</v>
      </c>
      <c r="N165" s="18" t="b">
        <v>0</v>
      </c>
      <c r="O165" s="18" t="b">
        <v>0</v>
      </c>
      <c r="P165" s="16" t="str">
        <f t="shared" si="7"/>
        <v>Mons Memorial Museum </v>
      </c>
      <c r="Q165" s="19">
        <v>9.0</v>
      </c>
      <c r="R165" s="20" t="b">
        <v>0</v>
      </c>
      <c r="S165" s="18" t="b">
        <v>1</v>
      </c>
      <c r="T165" s="29">
        <v>9.0</v>
      </c>
      <c r="U165" s="21">
        <f t="shared" si="8"/>
        <v>0</v>
      </c>
      <c r="V165" s="21">
        <f t="shared" ref="V165:AB165" si="827">if(OR(AW165 = $AO$4, AW165 = $AQ$4), 1, 0)</f>
        <v>1</v>
      </c>
      <c r="W165" s="21">
        <f t="shared" si="827"/>
        <v>0</v>
      </c>
      <c r="X165" s="21">
        <f t="shared" si="827"/>
        <v>0</v>
      </c>
      <c r="Y165" s="21">
        <f t="shared" si="827"/>
        <v>0</v>
      </c>
      <c r="Z165" s="21">
        <f t="shared" si="827"/>
        <v>0</v>
      </c>
      <c r="AA165" s="21">
        <f t="shared" si="827"/>
        <v>0</v>
      </c>
      <c r="AB165" s="21">
        <f t="shared" si="827"/>
        <v>0</v>
      </c>
      <c r="AC165" s="21">
        <f t="shared" si="10"/>
        <v>1</v>
      </c>
      <c r="AD165" s="21">
        <f t="shared" si="11"/>
        <v>1</v>
      </c>
      <c r="AE165" s="21">
        <f t="shared" ref="AE165:AH165" si="828">if(OR(BD165 = $AO$6, BD165 = $AS$6, BD165 = $AT$6, BD165 = $AU$6), 1, 0)</f>
        <v>1</v>
      </c>
      <c r="AF165" s="21">
        <f t="shared" si="828"/>
        <v>0</v>
      </c>
      <c r="AG165" s="21">
        <f t="shared" si="828"/>
        <v>0</v>
      </c>
      <c r="AH165" s="21">
        <f t="shared" si="828"/>
        <v>0</v>
      </c>
      <c r="AI165" s="21">
        <f t="shared" si="13"/>
        <v>1</v>
      </c>
      <c r="AJ165" s="21">
        <f t="shared" si="14"/>
        <v>3</v>
      </c>
      <c r="AK165" s="59">
        <f t="shared" si="15"/>
        <v>1.875</v>
      </c>
      <c r="AL165" s="60" t="str">
        <f t="shared" si="16"/>
        <v>subpar</v>
      </c>
      <c r="AW165" s="22" t="str">
        <f t="shared" ref="AW165:BC165" si="829">IF(IFERROR(SEARCH(E$1, $D165),0) &gt;= 1, E$1,0)</f>
        <v>Geschiedenis en archeologie</v>
      </c>
      <c r="AX165" s="22">
        <f t="shared" si="829"/>
        <v>0</v>
      </c>
      <c r="AY165" s="22">
        <f t="shared" si="829"/>
        <v>0</v>
      </c>
      <c r="AZ165" s="22">
        <f t="shared" si="829"/>
        <v>0</v>
      </c>
      <c r="BA165" s="22" t="str">
        <f t="shared" si="829"/>
        <v>Architectuur</v>
      </c>
      <c r="BB165" s="22">
        <f t="shared" si="829"/>
        <v>0</v>
      </c>
      <c r="BC165" s="22">
        <f t="shared" si="829"/>
        <v>0</v>
      </c>
      <c r="BD165" s="22" t="str">
        <f t="shared" ref="BD165:BG165" si="830">IF(L165 = true, BD$1, 0)</f>
        <v>Shop</v>
      </c>
      <c r="BE165" s="22">
        <f t="shared" si="830"/>
        <v>0</v>
      </c>
      <c r="BF165" s="22">
        <f t="shared" si="830"/>
        <v>0</v>
      </c>
      <c r="BG165" s="22">
        <f t="shared" si="830"/>
        <v>0</v>
      </c>
      <c r="BH165" s="22" t="str">
        <f>IFERROR(__xludf.DUMMYFUNCTION("""COMPUTED_VALUE"""),"O.L.V. ter Potterie")</f>
        <v>O.L.V. ter Potterie</v>
      </c>
      <c r="BI165" s="24">
        <f>IFERROR(__xludf.DUMMYFUNCTION("""COMPUTED_VALUE"""),8.0)</f>
        <v>8</v>
      </c>
      <c r="BJ165" s="22" t="b">
        <f>IFERROR(__xludf.DUMMYFUNCTION("""COMPUTED_VALUE"""),FALSE)</f>
        <v>0</v>
      </c>
      <c r="BK165" s="22" t="b">
        <f>IFERROR(__xludf.DUMMYFUNCTION("""COMPUTED_VALUE"""),FALSE)</f>
        <v>0</v>
      </c>
      <c r="BL165" s="22"/>
      <c r="BM165" s="22">
        <f>IFERROR(__xludf.DUMMYFUNCTION("""COMPUTED_VALUE"""),0.0)</f>
        <v>0</v>
      </c>
      <c r="BN165" s="22">
        <f>IFERROR(__xludf.DUMMYFUNCTION("""COMPUTED_VALUE"""),1.0)</f>
        <v>1</v>
      </c>
      <c r="BO165" s="22">
        <f>IFERROR(__xludf.DUMMYFUNCTION("""COMPUTED_VALUE"""),0.0)</f>
        <v>0</v>
      </c>
      <c r="BP165" s="22">
        <f>IFERROR(__xludf.DUMMYFUNCTION("""COMPUTED_VALUE"""),0.0)</f>
        <v>0</v>
      </c>
      <c r="BQ165" s="22">
        <f>IFERROR(__xludf.DUMMYFUNCTION("""COMPUTED_VALUE"""),0.0)</f>
        <v>0</v>
      </c>
      <c r="BR165" s="22">
        <f>IFERROR(__xludf.DUMMYFUNCTION("""COMPUTED_VALUE"""),0.0)</f>
        <v>0</v>
      </c>
      <c r="BS165" s="22">
        <f>IFERROR(__xludf.DUMMYFUNCTION("""COMPUTED_VALUE"""),1.0)</f>
        <v>1</v>
      </c>
      <c r="BT165" s="22">
        <f>IFERROR(__xludf.DUMMYFUNCTION("""COMPUTED_VALUE"""),0.0)</f>
        <v>0</v>
      </c>
      <c r="BU165" s="22">
        <f>IFERROR(__xludf.DUMMYFUNCTION("""COMPUTED_VALUE"""),2.0)</f>
        <v>2</v>
      </c>
      <c r="BV165" s="22">
        <f>IFERROR(__xludf.DUMMYFUNCTION("""COMPUTED_VALUE"""),1.0)</f>
        <v>1</v>
      </c>
      <c r="BW165" s="22">
        <f>IFERROR(__xludf.DUMMYFUNCTION("""COMPUTED_VALUE"""),0.0)</f>
        <v>0</v>
      </c>
      <c r="BX165" s="22">
        <f>IFERROR(__xludf.DUMMYFUNCTION("""COMPUTED_VALUE"""),0.0)</f>
        <v>0</v>
      </c>
      <c r="BY165" s="22">
        <f>IFERROR(__xludf.DUMMYFUNCTION("""COMPUTED_VALUE"""),0.0)</f>
        <v>0</v>
      </c>
      <c r="BZ165" s="22">
        <f>IFERROR(__xludf.DUMMYFUNCTION("""COMPUTED_VALUE"""),0.0)</f>
        <v>0</v>
      </c>
      <c r="CA165" s="22">
        <f>IFERROR(__xludf.DUMMYFUNCTION("""COMPUTED_VALUE"""),0.0)</f>
        <v>0</v>
      </c>
      <c r="CB165" s="22">
        <f>IFERROR(__xludf.DUMMYFUNCTION("""COMPUTED_VALUE"""),3.0)</f>
        <v>3</v>
      </c>
      <c r="CC165" s="61">
        <f>IFERROR(__xludf.DUMMYFUNCTION("""COMPUTED_VALUE"""),1.875)</f>
        <v>1.875</v>
      </c>
      <c r="CD165" s="62" t="str">
        <f>IFERROR(__xludf.DUMMYFUNCTION("""COMPUTED_VALUE"""),"subpar")</f>
        <v>subpar</v>
      </c>
      <c r="CE165" s="22" t="s">
        <v>121</v>
      </c>
      <c r="CF165" s="24">
        <v>8.0</v>
      </c>
      <c r="CG165" s="22" t="b">
        <v>0</v>
      </c>
      <c r="CH165" s="22" t="b">
        <v>0</v>
      </c>
      <c r="CI165" s="22"/>
      <c r="CJ165" s="22">
        <v>0.0</v>
      </c>
      <c r="CK165" s="22">
        <v>1.0</v>
      </c>
      <c r="CL165" s="22">
        <v>0.0</v>
      </c>
      <c r="CM165" s="22">
        <v>0.0</v>
      </c>
      <c r="CN165" s="22">
        <v>0.0</v>
      </c>
      <c r="CO165" s="22">
        <v>0.0</v>
      </c>
      <c r="CP165" s="22">
        <v>1.0</v>
      </c>
      <c r="CQ165" s="22">
        <v>0.0</v>
      </c>
      <c r="CR165" s="22">
        <v>2.0</v>
      </c>
      <c r="CS165" s="22">
        <v>1.0</v>
      </c>
      <c r="CT165" s="22">
        <v>0.0</v>
      </c>
      <c r="CU165" s="22">
        <v>0.0</v>
      </c>
      <c r="CV165" s="22">
        <v>0.0</v>
      </c>
      <c r="CW165" s="22">
        <v>0.0</v>
      </c>
      <c r="CX165" s="22">
        <v>0.0</v>
      </c>
      <c r="CY165" s="22">
        <v>3.0</v>
      </c>
      <c r="CZ165" s="61">
        <v>1.875</v>
      </c>
      <c r="DA165" s="62" t="s">
        <v>568</v>
      </c>
    </row>
    <row r="166">
      <c r="A166" s="16"/>
      <c r="B166" s="16" t="s">
        <v>364</v>
      </c>
      <c r="C166" s="39" t="s">
        <v>45</v>
      </c>
      <c r="D166" s="16" t="s">
        <v>360</v>
      </c>
      <c r="E166" s="17" t="b">
        <f t="shared" ref="E166:K166" si="831">If(IFERROR(SEARCH(E$1, $D166),0) &gt;= 1, true,false)</f>
        <v>0</v>
      </c>
      <c r="F166" s="17" t="b">
        <f t="shared" si="831"/>
        <v>1</v>
      </c>
      <c r="G166" s="17" t="b">
        <f t="shared" si="831"/>
        <v>0</v>
      </c>
      <c r="H166" s="17" t="b">
        <f t="shared" si="831"/>
        <v>0</v>
      </c>
      <c r="I166" s="17" t="b">
        <f t="shared" si="831"/>
        <v>0</v>
      </c>
      <c r="J166" s="17" t="b">
        <f t="shared" si="831"/>
        <v>0</v>
      </c>
      <c r="K166" s="17" t="b">
        <f t="shared" si="831"/>
        <v>0</v>
      </c>
      <c r="L166" s="18" t="b">
        <v>1</v>
      </c>
      <c r="M166" s="18" t="b">
        <v>1</v>
      </c>
      <c r="N166" s="18" t="b">
        <v>0</v>
      </c>
      <c r="O166" s="18" t="b">
        <v>1</v>
      </c>
      <c r="P166" s="16" t="str">
        <f t="shared" si="7"/>
        <v>MUMONS </v>
      </c>
      <c r="Q166" s="19">
        <v>5.0</v>
      </c>
      <c r="R166" s="20" t="b">
        <v>0</v>
      </c>
      <c r="S166" s="18" t="b">
        <v>1</v>
      </c>
      <c r="T166" s="30">
        <v>5.0</v>
      </c>
      <c r="U166" s="21">
        <f t="shared" si="8"/>
        <v>0</v>
      </c>
      <c r="V166" s="21">
        <f t="shared" ref="V166:AB166" si="832">if(OR(AW166 = $AO$4, AW166 = $AQ$4), 1, 0)</f>
        <v>0</v>
      </c>
      <c r="W166" s="21">
        <f t="shared" si="832"/>
        <v>0</v>
      </c>
      <c r="X166" s="21">
        <f t="shared" si="832"/>
        <v>0</v>
      </c>
      <c r="Y166" s="21">
        <f t="shared" si="832"/>
        <v>0</v>
      </c>
      <c r="Z166" s="21">
        <f t="shared" si="832"/>
        <v>0</v>
      </c>
      <c r="AA166" s="21">
        <f t="shared" si="832"/>
        <v>0</v>
      </c>
      <c r="AB166" s="21">
        <f t="shared" si="832"/>
        <v>0</v>
      </c>
      <c r="AC166" s="21">
        <f t="shared" si="10"/>
        <v>0</v>
      </c>
      <c r="AD166" s="21">
        <f t="shared" si="11"/>
        <v>1</v>
      </c>
      <c r="AE166" s="21">
        <f t="shared" ref="AE166:AH166" si="833">if(OR(BD166 = $AO$6, BD166 = $AS$6, BD166 = $AT$6, BD166 = $AU$6), 1, 0)</f>
        <v>1</v>
      </c>
      <c r="AF166" s="21">
        <f t="shared" si="833"/>
        <v>1</v>
      </c>
      <c r="AG166" s="21">
        <f t="shared" si="833"/>
        <v>0</v>
      </c>
      <c r="AH166" s="21">
        <f t="shared" si="833"/>
        <v>1</v>
      </c>
      <c r="AI166" s="21">
        <f t="shared" si="13"/>
        <v>3</v>
      </c>
      <c r="AJ166" s="21">
        <f t="shared" si="14"/>
        <v>4</v>
      </c>
      <c r="AK166" s="59">
        <f t="shared" si="15"/>
        <v>2.5</v>
      </c>
      <c r="AL166" s="60" t="str">
        <f t="shared" si="16"/>
        <v>subpar</v>
      </c>
      <c r="AW166" s="22">
        <f t="shared" ref="AW166:BC166" si="834">IF(IFERROR(SEARCH(E$1, $D166),0) &gt;= 1, E$1,0)</f>
        <v>0</v>
      </c>
      <c r="AX166" s="22" t="str">
        <f t="shared" si="834"/>
        <v>Wetenschap en technologie</v>
      </c>
      <c r="AY166" s="22">
        <f t="shared" si="834"/>
        <v>0</v>
      </c>
      <c r="AZ166" s="22">
        <f t="shared" si="834"/>
        <v>0</v>
      </c>
      <c r="BA166" s="22">
        <f t="shared" si="834"/>
        <v>0</v>
      </c>
      <c r="BB166" s="22">
        <f t="shared" si="834"/>
        <v>0</v>
      </c>
      <c r="BC166" s="22">
        <f t="shared" si="834"/>
        <v>0</v>
      </c>
      <c r="BD166" s="22" t="str">
        <f t="shared" ref="BD166:BG166" si="835">IF(L166 = true, BD$1, 0)</f>
        <v>Shop</v>
      </c>
      <c r="BE166" s="22" t="str">
        <f t="shared" si="835"/>
        <v>Café</v>
      </c>
      <c r="BF166" s="22">
        <f t="shared" si="835"/>
        <v>0</v>
      </c>
      <c r="BG166" s="22" t="str">
        <f t="shared" si="835"/>
        <v>Restaurant</v>
      </c>
      <c r="BH166" s="22" t="str">
        <f>IFERROR(__xludf.DUMMYFUNCTION("""COMPUTED_VALUE"""),"Passchendaele Museum")</f>
        <v>Passchendaele Museum</v>
      </c>
      <c r="BI166" s="24">
        <f>IFERROR(__xludf.DUMMYFUNCTION("""COMPUTED_VALUE"""),13.0)</f>
        <v>13</v>
      </c>
      <c r="BJ166" s="22" t="b">
        <f>IFERROR(__xludf.DUMMYFUNCTION("""COMPUTED_VALUE"""),FALSE)</f>
        <v>0</v>
      </c>
      <c r="BK166" s="22" t="b">
        <f>IFERROR(__xludf.DUMMYFUNCTION("""COMPUTED_VALUE"""),TRUE)</f>
        <v>1</v>
      </c>
      <c r="BL166" s="24">
        <f>IFERROR(__xludf.DUMMYFUNCTION("""COMPUTED_VALUE"""),13.0)</f>
        <v>13</v>
      </c>
      <c r="BM166" s="22">
        <f>IFERROR(__xludf.DUMMYFUNCTION("""COMPUTED_VALUE"""),0.0)</f>
        <v>0</v>
      </c>
      <c r="BN166" s="22">
        <f>IFERROR(__xludf.DUMMYFUNCTION("""COMPUTED_VALUE"""),1.0)</f>
        <v>1</v>
      </c>
      <c r="BO166" s="22">
        <f>IFERROR(__xludf.DUMMYFUNCTION("""COMPUTED_VALUE"""),0.0)</f>
        <v>0</v>
      </c>
      <c r="BP166" s="22">
        <f>IFERROR(__xludf.DUMMYFUNCTION("""COMPUTED_VALUE"""),0.0)</f>
        <v>0</v>
      </c>
      <c r="BQ166" s="22">
        <f>IFERROR(__xludf.DUMMYFUNCTION("""COMPUTED_VALUE"""),0.0)</f>
        <v>0</v>
      </c>
      <c r="BR166" s="22">
        <f>IFERROR(__xludf.DUMMYFUNCTION("""COMPUTED_VALUE"""),0.0)</f>
        <v>0</v>
      </c>
      <c r="BS166" s="22">
        <f>IFERROR(__xludf.DUMMYFUNCTION("""COMPUTED_VALUE"""),0.0)</f>
        <v>0</v>
      </c>
      <c r="BT166" s="22">
        <f>IFERROR(__xludf.DUMMYFUNCTION("""COMPUTED_VALUE"""),0.0)</f>
        <v>0</v>
      </c>
      <c r="BU166" s="22">
        <f>IFERROR(__xludf.DUMMYFUNCTION("""COMPUTED_VALUE"""),1.0)</f>
        <v>1</v>
      </c>
      <c r="BV166" s="22">
        <f>IFERROR(__xludf.DUMMYFUNCTION("""COMPUTED_VALUE"""),0.0)</f>
        <v>0</v>
      </c>
      <c r="BW166" s="22">
        <f>IFERROR(__xludf.DUMMYFUNCTION("""COMPUTED_VALUE"""),1.0)</f>
        <v>1</v>
      </c>
      <c r="BX166" s="22">
        <f>IFERROR(__xludf.DUMMYFUNCTION("""COMPUTED_VALUE"""),0.0)</f>
        <v>0</v>
      </c>
      <c r="BY166" s="22">
        <f>IFERROR(__xludf.DUMMYFUNCTION("""COMPUTED_VALUE"""),1.0)</f>
        <v>1</v>
      </c>
      <c r="BZ166" s="22">
        <f>IFERROR(__xludf.DUMMYFUNCTION("""COMPUTED_VALUE"""),0.0)</f>
        <v>0</v>
      </c>
      <c r="CA166" s="22">
        <f>IFERROR(__xludf.DUMMYFUNCTION("""COMPUTED_VALUE"""),2.0)</f>
        <v>2</v>
      </c>
      <c r="CB166" s="22">
        <f>IFERROR(__xludf.DUMMYFUNCTION("""COMPUTED_VALUE"""),3.0)</f>
        <v>3</v>
      </c>
      <c r="CC166" s="61">
        <f>IFERROR(__xludf.DUMMYFUNCTION("""COMPUTED_VALUE"""),1.875)</f>
        <v>1.875</v>
      </c>
      <c r="CD166" s="62" t="str">
        <f>IFERROR(__xludf.DUMMYFUNCTION("""COMPUTED_VALUE"""),"subpar")</f>
        <v>subpar</v>
      </c>
      <c r="CE166" s="22" t="s">
        <v>123</v>
      </c>
      <c r="CF166" s="24">
        <v>13.0</v>
      </c>
      <c r="CG166" s="22" t="b">
        <v>0</v>
      </c>
      <c r="CH166" s="22" t="b">
        <v>1</v>
      </c>
      <c r="CI166" s="24">
        <v>13.0</v>
      </c>
      <c r="CJ166" s="22">
        <v>0.0</v>
      </c>
      <c r="CK166" s="22">
        <v>1.0</v>
      </c>
      <c r="CL166" s="22">
        <v>0.0</v>
      </c>
      <c r="CM166" s="22">
        <v>0.0</v>
      </c>
      <c r="CN166" s="22">
        <v>0.0</v>
      </c>
      <c r="CO166" s="22">
        <v>0.0</v>
      </c>
      <c r="CP166" s="22">
        <v>0.0</v>
      </c>
      <c r="CQ166" s="22">
        <v>0.0</v>
      </c>
      <c r="CR166" s="22">
        <v>1.0</v>
      </c>
      <c r="CS166" s="22">
        <v>0.0</v>
      </c>
      <c r="CT166" s="22">
        <v>1.0</v>
      </c>
      <c r="CU166" s="22">
        <v>0.0</v>
      </c>
      <c r="CV166" s="22">
        <v>1.0</v>
      </c>
      <c r="CW166" s="22">
        <v>0.0</v>
      </c>
      <c r="CX166" s="22">
        <v>2.0</v>
      </c>
      <c r="CY166" s="22">
        <v>3.0</v>
      </c>
      <c r="CZ166" s="61">
        <v>1.875</v>
      </c>
      <c r="DA166" s="62" t="s">
        <v>568</v>
      </c>
    </row>
    <row r="167">
      <c r="A167" s="16"/>
      <c r="B167" s="16" t="s">
        <v>365</v>
      </c>
      <c r="C167" s="39" t="s">
        <v>45</v>
      </c>
      <c r="D167" s="16" t="s">
        <v>316</v>
      </c>
      <c r="E167" s="17" t="b">
        <f t="shared" ref="E167:K167" si="836">If(IFERROR(SEARCH(E$1, $D167),0) &gt;= 1, true,false)</f>
        <v>1</v>
      </c>
      <c r="F167" s="17" t="b">
        <f t="shared" si="836"/>
        <v>1</v>
      </c>
      <c r="G167" s="17" t="b">
        <f t="shared" si="836"/>
        <v>0</v>
      </c>
      <c r="H167" s="17" t="b">
        <f t="shared" si="836"/>
        <v>0</v>
      </c>
      <c r="I167" s="17" t="b">
        <f t="shared" si="836"/>
        <v>1</v>
      </c>
      <c r="J167" s="17" t="b">
        <f t="shared" si="836"/>
        <v>1</v>
      </c>
      <c r="K167" s="17" t="b">
        <f t="shared" si="836"/>
        <v>0</v>
      </c>
      <c r="L167" s="18" t="b">
        <v>1</v>
      </c>
      <c r="M167" s="18" t="b">
        <v>0</v>
      </c>
      <c r="N167" s="18" t="b">
        <v>0</v>
      </c>
      <c r="O167" s="18" t="b">
        <v>0</v>
      </c>
      <c r="P167" s="16" t="str">
        <f t="shared" si="7"/>
        <v>Mundaneum </v>
      </c>
      <c r="Q167" s="19">
        <v>9.0</v>
      </c>
      <c r="R167" s="20" t="b">
        <v>0</v>
      </c>
      <c r="S167" s="18" t="b">
        <v>1</v>
      </c>
      <c r="T167" s="29">
        <v>9.0</v>
      </c>
      <c r="U167" s="21">
        <f t="shared" si="8"/>
        <v>0</v>
      </c>
      <c r="V167" s="21">
        <f t="shared" ref="V167:AB167" si="837">if(OR(AW167 = $AO$4, AW167 = $AQ$4), 1, 0)</f>
        <v>1</v>
      </c>
      <c r="W167" s="21">
        <f t="shared" si="837"/>
        <v>0</v>
      </c>
      <c r="X167" s="21">
        <f t="shared" si="837"/>
        <v>0</v>
      </c>
      <c r="Y167" s="21">
        <f t="shared" si="837"/>
        <v>0</v>
      </c>
      <c r="Z167" s="21">
        <f t="shared" si="837"/>
        <v>0</v>
      </c>
      <c r="AA167" s="21">
        <f t="shared" si="837"/>
        <v>1</v>
      </c>
      <c r="AB167" s="21">
        <f t="shared" si="837"/>
        <v>0</v>
      </c>
      <c r="AC167" s="21">
        <f t="shared" si="10"/>
        <v>2</v>
      </c>
      <c r="AD167" s="21">
        <f t="shared" si="11"/>
        <v>1</v>
      </c>
      <c r="AE167" s="21">
        <f t="shared" ref="AE167:AH167" si="838">if(OR(BD167 = $AO$6, BD167 = $AS$6, BD167 = $AT$6, BD167 = $AU$6), 1, 0)</f>
        <v>1</v>
      </c>
      <c r="AF167" s="21">
        <f t="shared" si="838"/>
        <v>0</v>
      </c>
      <c r="AG167" s="21">
        <f t="shared" si="838"/>
        <v>0</v>
      </c>
      <c r="AH167" s="21">
        <f t="shared" si="838"/>
        <v>0</v>
      </c>
      <c r="AI167" s="21">
        <f t="shared" si="13"/>
        <v>1</v>
      </c>
      <c r="AJ167" s="21">
        <f t="shared" si="14"/>
        <v>4</v>
      </c>
      <c r="AK167" s="59">
        <f t="shared" si="15"/>
        <v>2.5</v>
      </c>
      <c r="AL167" s="60" t="str">
        <f t="shared" si="16"/>
        <v>subpar</v>
      </c>
      <c r="AW167" s="22" t="str">
        <f t="shared" ref="AW167:BC167" si="839">IF(IFERROR(SEARCH(E$1, $D167),0) &gt;= 1, E$1,0)</f>
        <v>Geschiedenis en archeologie</v>
      </c>
      <c r="AX167" s="22" t="str">
        <f t="shared" si="839"/>
        <v>Wetenschap en technologie</v>
      </c>
      <c r="AY167" s="22">
        <f t="shared" si="839"/>
        <v>0</v>
      </c>
      <c r="AZ167" s="22">
        <f t="shared" si="839"/>
        <v>0</v>
      </c>
      <c r="BA167" s="22" t="str">
        <f t="shared" si="839"/>
        <v>Architectuur</v>
      </c>
      <c r="BB167" s="22" t="str">
        <f t="shared" si="839"/>
        <v>Beeldende kunst</v>
      </c>
      <c r="BC167" s="22">
        <f t="shared" si="839"/>
        <v>0</v>
      </c>
      <c r="BD167" s="22" t="str">
        <f t="shared" ref="BD167:BG167" si="840">IF(L167 = true, BD$1, 0)</f>
        <v>Shop</v>
      </c>
      <c r="BE167" s="22">
        <f t="shared" si="840"/>
        <v>0</v>
      </c>
      <c r="BF167" s="22">
        <f t="shared" si="840"/>
        <v>0</v>
      </c>
      <c r="BG167" s="22">
        <f t="shared" si="840"/>
        <v>0</v>
      </c>
      <c r="BH167" s="22" t="str">
        <f>IFERROR(__xludf.DUMMYFUNCTION("""COMPUTED_VALUE"""),"Stadhuis Brugge")</f>
        <v>Stadhuis Brugge</v>
      </c>
      <c r="BI167" s="24">
        <f>IFERROR(__xludf.DUMMYFUNCTION("""COMPUTED_VALUE"""),8.0)</f>
        <v>8</v>
      </c>
      <c r="BJ167" s="22" t="b">
        <f>IFERROR(__xludf.DUMMYFUNCTION("""COMPUTED_VALUE"""),FALSE)</f>
        <v>0</v>
      </c>
      <c r="BK167" s="22" t="b">
        <f>IFERROR(__xludf.DUMMYFUNCTION("""COMPUTED_VALUE"""),FALSE)</f>
        <v>0</v>
      </c>
      <c r="BL167" s="22"/>
      <c r="BM167" s="22">
        <f>IFERROR(__xludf.DUMMYFUNCTION("""COMPUTED_VALUE"""),0.0)</f>
        <v>0</v>
      </c>
      <c r="BN167" s="22">
        <f>IFERROR(__xludf.DUMMYFUNCTION("""COMPUTED_VALUE"""),1.0)</f>
        <v>1</v>
      </c>
      <c r="BO167" s="22">
        <f>IFERROR(__xludf.DUMMYFUNCTION("""COMPUTED_VALUE"""),0.0)</f>
        <v>0</v>
      </c>
      <c r="BP167" s="22">
        <f>IFERROR(__xludf.DUMMYFUNCTION("""COMPUTED_VALUE"""),0.0)</f>
        <v>0</v>
      </c>
      <c r="BQ167" s="22">
        <f>IFERROR(__xludf.DUMMYFUNCTION("""COMPUTED_VALUE"""),0.0)</f>
        <v>0</v>
      </c>
      <c r="BR167" s="22">
        <f>IFERROR(__xludf.DUMMYFUNCTION("""COMPUTED_VALUE"""),0.0)</f>
        <v>0</v>
      </c>
      <c r="BS167" s="22">
        <f>IFERROR(__xludf.DUMMYFUNCTION("""COMPUTED_VALUE"""),1.0)</f>
        <v>1</v>
      </c>
      <c r="BT167" s="22">
        <f>IFERROR(__xludf.DUMMYFUNCTION("""COMPUTED_VALUE"""),0.0)</f>
        <v>0</v>
      </c>
      <c r="BU167" s="22">
        <f>IFERROR(__xludf.DUMMYFUNCTION("""COMPUTED_VALUE"""),2.0)</f>
        <v>2</v>
      </c>
      <c r="BV167" s="22">
        <f>IFERROR(__xludf.DUMMYFUNCTION("""COMPUTED_VALUE"""),1.0)</f>
        <v>1</v>
      </c>
      <c r="BW167" s="22">
        <f>IFERROR(__xludf.DUMMYFUNCTION("""COMPUTED_VALUE"""),0.0)</f>
        <v>0</v>
      </c>
      <c r="BX167" s="22">
        <f>IFERROR(__xludf.DUMMYFUNCTION("""COMPUTED_VALUE"""),0.0)</f>
        <v>0</v>
      </c>
      <c r="BY167" s="22">
        <f>IFERROR(__xludf.DUMMYFUNCTION("""COMPUTED_VALUE"""),0.0)</f>
        <v>0</v>
      </c>
      <c r="BZ167" s="22">
        <f>IFERROR(__xludf.DUMMYFUNCTION("""COMPUTED_VALUE"""),0.0)</f>
        <v>0</v>
      </c>
      <c r="CA167" s="22">
        <f>IFERROR(__xludf.DUMMYFUNCTION("""COMPUTED_VALUE"""),0.0)</f>
        <v>0</v>
      </c>
      <c r="CB167" s="22">
        <f>IFERROR(__xludf.DUMMYFUNCTION("""COMPUTED_VALUE"""),3.0)</f>
        <v>3</v>
      </c>
      <c r="CC167" s="61">
        <f>IFERROR(__xludf.DUMMYFUNCTION("""COMPUTED_VALUE"""),1.875)</f>
        <v>1.875</v>
      </c>
      <c r="CD167" s="62" t="str">
        <f>IFERROR(__xludf.DUMMYFUNCTION("""COMPUTED_VALUE"""),"subpar")</f>
        <v>subpar</v>
      </c>
      <c r="CE167" s="22" t="s">
        <v>133</v>
      </c>
      <c r="CF167" s="24">
        <v>8.0</v>
      </c>
      <c r="CG167" s="22" t="b">
        <v>0</v>
      </c>
      <c r="CH167" s="22" t="b">
        <v>0</v>
      </c>
      <c r="CI167" s="22"/>
      <c r="CJ167" s="22">
        <v>0.0</v>
      </c>
      <c r="CK167" s="22">
        <v>1.0</v>
      </c>
      <c r="CL167" s="22">
        <v>0.0</v>
      </c>
      <c r="CM167" s="22">
        <v>0.0</v>
      </c>
      <c r="CN167" s="22">
        <v>0.0</v>
      </c>
      <c r="CO167" s="22">
        <v>0.0</v>
      </c>
      <c r="CP167" s="22">
        <v>1.0</v>
      </c>
      <c r="CQ167" s="22">
        <v>0.0</v>
      </c>
      <c r="CR167" s="22">
        <v>2.0</v>
      </c>
      <c r="CS167" s="22">
        <v>1.0</v>
      </c>
      <c r="CT167" s="22">
        <v>0.0</v>
      </c>
      <c r="CU167" s="22">
        <v>0.0</v>
      </c>
      <c r="CV167" s="22">
        <v>0.0</v>
      </c>
      <c r="CW167" s="22">
        <v>0.0</v>
      </c>
      <c r="CX167" s="22">
        <v>0.0</v>
      </c>
      <c r="CY167" s="22">
        <v>3.0</v>
      </c>
      <c r="CZ167" s="61">
        <v>1.875</v>
      </c>
      <c r="DA167" s="62" t="s">
        <v>568</v>
      </c>
    </row>
    <row r="168">
      <c r="A168" s="16" t="s">
        <v>366</v>
      </c>
      <c r="B168" s="16" t="s">
        <v>367</v>
      </c>
      <c r="C168" s="39" t="s">
        <v>45</v>
      </c>
      <c r="D168" s="16" t="s">
        <v>344</v>
      </c>
      <c r="E168" s="17" t="b">
        <f t="shared" ref="E168:K168" si="841">If(IFERROR(SEARCH(E$1, $D168),0) &gt;= 1, true,false)</f>
        <v>1</v>
      </c>
      <c r="F168" s="17" t="b">
        <f t="shared" si="841"/>
        <v>0</v>
      </c>
      <c r="G168" s="17" t="b">
        <f t="shared" si="841"/>
        <v>0</v>
      </c>
      <c r="H168" s="17" t="b">
        <f t="shared" si="841"/>
        <v>0</v>
      </c>
      <c r="I168" s="17" t="b">
        <f t="shared" si="841"/>
        <v>0</v>
      </c>
      <c r="J168" s="17" t="b">
        <f t="shared" si="841"/>
        <v>0</v>
      </c>
      <c r="K168" s="17" t="b">
        <f t="shared" si="841"/>
        <v>0</v>
      </c>
      <c r="L168" s="18" t="b">
        <v>1</v>
      </c>
      <c r="M168" s="18" t="b">
        <v>0</v>
      </c>
      <c r="N168" s="18" t="b">
        <v>0</v>
      </c>
      <c r="O168" s="18" t="b">
        <v>0</v>
      </c>
      <c r="P168" s="16" t="str">
        <f t="shared" si="7"/>
        <v>Archeologiemuseum</v>
      </c>
      <c r="Q168" s="19">
        <v>0.0</v>
      </c>
      <c r="R168" s="20" t="b">
        <v>1</v>
      </c>
      <c r="S168" s="18" t="b">
        <v>1</v>
      </c>
      <c r="T168" s="21"/>
      <c r="U168" s="21">
        <f t="shared" si="8"/>
        <v>0</v>
      </c>
      <c r="V168" s="21">
        <f t="shared" ref="V168:AB168" si="842">if(OR(AW168 = $AO$4, AW168 = $AQ$4), 1, 0)</f>
        <v>1</v>
      </c>
      <c r="W168" s="21">
        <f t="shared" si="842"/>
        <v>0</v>
      </c>
      <c r="X168" s="21">
        <f t="shared" si="842"/>
        <v>0</v>
      </c>
      <c r="Y168" s="21">
        <f t="shared" si="842"/>
        <v>0</v>
      </c>
      <c r="Z168" s="21">
        <f t="shared" si="842"/>
        <v>0</v>
      </c>
      <c r="AA168" s="21">
        <f t="shared" si="842"/>
        <v>0</v>
      </c>
      <c r="AB168" s="21">
        <f t="shared" si="842"/>
        <v>0</v>
      </c>
      <c r="AC168" s="21">
        <f t="shared" si="10"/>
        <v>1</v>
      </c>
      <c r="AD168" s="21">
        <f t="shared" si="11"/>
        <v>1</v>
      </c>
      <c r="AE168" s="21">
        <f t="shared" ref="AE168:AH168" si="843">if(OR(BD168 = $AO$6, BD168 = $AS$6, BD168 = $AT$6, BD168 = $AU$6), 1, 0)</f>
        <v>1</v>
      </c>
      <c r="AF168" s="21">
        <f t="shared" si="843"/>
        <v>0</v>
      </c>
      <c r="AG168" s="21">
        <f t="shared" si="843"/>
        <v>0</v>
      </c>
      <c r="AH168" s="21">
        <f t="shared" si="843"/>
        <v>0</v>
      </c>
      <c r="AI168" s="21">
        <f t="shared" si="13"/>
        <v>1</v>
      </c>
      <c r="AJ168" s="21">
        <f t="shared" si="14"/>
        <v>3</v>
      </c>
      <c r="AK168" s="59">
        <f t="shared" si="15"/>
        <v>1.875</v>
      </c>
      <c r="AL168" s="60" t="str">
        <f t="shared" si="16"/>
        <v>subpar</v>
      </c>
      <c r="AW168" s="22" t="str">
        <f t="shared" ref="AW168:BC168" si="844">IF(IFERROR(SEARCH(E$1, $D168),0) &gt;= 1, E$1,0)</f>
        <v>Geschiedenis en archeologie</v>
      </c>
      <c r="AX168" s="22">
        <f t="shared" si="844"/>
        <v>0</v>
      </c>
      <c r="AY168" s="22">
        <f t="shared" si="844"/>
        <v>0</v>
      </c>
      <c r="AZ168" s="22">
        <f t="shared" si="844"/>
        <v>0</v>
      </c>
      <c r="BA168" s="22">
        <f t="shared" si="844"/>
        <v>0</v>
      </c>
      <c r="BB168" s="22">
        <f t="shared" si="844"/>
        <v>0</v>
      </c>
      <c r="BC168" s="22">
        <f t="shared" si="844"/>
        <v>0</v>
      </c>
      <c r="BD168" s="22" t="str">
        <f t="shared" ref="BD168:BG168" si="845">IF(L168 = true, BD$1, 0)</f>
        <v>Shop</v>
      </c>
      <c r="BE168" s="22">
        <f t="shared" si="845"/>
        <v>0</v>
      </c>
      <c r="BF168" s="22">
        <f t="shared" si="845"/>
        <v>0</v>
      </c>
      <c r="BG168" s="22">
        <f t="shared" si="845"/>
        <v>0</v>
      </c>
      <c r="BH168" s="22" t="str">
        <f>IFERROR(__xludf.DUMMYFUNCTION("""COMPUTED_VALUE"""),"Talbot House")</f>
        <v>Talbot House</v>
      </c>
      <c r="BI168" s="24">
        <f>IFERROR(__xludf.DUMMYFUNCTION("""COMPUTED_VALUE"""),10.0)</f>
        <v>10</v>
      </c>
      <c r="BJ168" s="22" t="b">
        <f>IFERROR(__xludf.DUMMYFUNCTION("""COMPUTED_VALUE"""),FALSE)</f>
        <v>0</v>
      </c>
      <c r="BK168" s="22" t="b">
        <f>IFERROR(__xludf.DUMMYFUNCTION("""COMPUTED_VALUE"""),TRUE)</f>
        <v>1</v>
      </c>
      <c r="BL168" s="24">
        <f>IFERROR(__xludf.DUMMYFUNCTION("""COMPUTED_VALUE"""),10.0)</f>
        <v>10</v>
      </c>
      <c r="BM168" s="22">
        <f>IFERROR(__xludf.DUMMYFUNCTION("""COMPUTED_VALUE"""),0.0)</f>
        <v>0</v>
      </c>
      <c r="BN168" s="22">
        <f>IFERROR(__xludf.DUMMYFUNCTION("""COMPUTED_VALUE"""),1.0)</f>
        <v>1</v>
      </c>
      <c r="BO168" s="22">
        <f>IFERROR(__xludf.DUMMYFUNCTION("""COMPUTED_VALUE"""),0.0)</f>
        <v>0</v>
      </c>
      <c r="BP168" s="22">
        <f>IFERROR(__xludf.DUMMYFUNCTION("""COMPUTED_VALUE"""),0.0)</f>
        <v>0</v>
      </c>
      <c r="BQ168" s="22">
        <f>IFERROR(__xludf.DUMMYFUNCTION("""COMPUTED_VALUE"""),0.0)</f>
        <v>0</v>
      </c>
      <c r="BR168" s="22">
        <f>IFERROR(__xludf.DUMMYFUNCTION("""COMPUTED_VALUE"""),0.0)</f>
        <v>0</v>
      </c>
      <c r="BS168" s="22">
        <f>IFERROR(__xludf.DUMMYFUNCTION("""COMPUTED_VALUE"""),0.0)</f>
        <v>0</v>
      </c>
      <c r="BT168" s="22">
        <f>IFERROR(__xludf.DUMMYFUNCTION("""COMPUTED_VALUE"""),0.0)</f>
        <v>0</v>
      </c>
      <c r="BU168" s="22">
        <f>IFERROR(__xludf.DUMMYFUNCTION("""COMPUTED_VALUE"""),1.0)</f>
        <v>1</v>
      </c>
      <c r="BV168" s="22">
        <f>IFERROR(__xludf.DUMMYFUNCTION("""COMPUTED_VALUE"""),1.0)</f>
        <v>1</v>
      </c>
      <c r="BW168" s="22">
        <f>IFERROR(__xludf.DUMMYFUNCTION("""COMPUTED_VALUE"""),1.0)</f>
        <v>1</v>
      </c>
      <c r="BX168" s="22">
        <f>IFERROR(__xludf.DUMMYFUNCTION("""COMPUTED_VALUE"""),0.0)</f>
        <v>0</v>
      </c>
      <c r="BY168" s="22">
        <f>IFERROR(__xludf.DUMMYFUNCTION("""COMPUTED_VALUE"""),0.0)</f>
        <v>0</v>
      </c>
      <c r="BZ168" s="22">
        <f>IFERROR(__xludf.DUMMYFUNCTION("""COMPUTED_VALUE"""),0.0)</f>
        <v>0</v>
      </c>
      <c r="CA168" s="22">
        <f>IFERROR(__xludf.DUMMYFUNCTION("""COMPUTED_VALUE"""),1.0)</f>
        <v>1</v>
      </c>
      <c r="CB168" s="22">
        <f>IFERROR(__xludf.DUMMYFUNCTION("""COMPUTED_VALUE"""),3.0)</f>
        <v>3</v>
      </c>
      <c r="CC168" s="61">
        <f>IFERROR(__xludf.DUMMYFUNCTION("""COMPUTED_VALUE"""),1.875)</f>
        <v>1.875</v>
      </c>
      <c r="CD168" s="62" t="str">
        <f>IFERROR(__xludf.DUMMYFUNCTION("""COMPUTED_VALUE"""),"subpar")</f>
        <v>subpar</v>
      </c>
      <c r="CE168" s="22" t="s">
        <v>135</v>
      </c>
      <c r="CF168" s="24">
        <v>10.0</v>
      </c>
      <c r="CG168" s="22" t="b">
        <v>0</v>
      </c>
      <c r="CH168" s="22" t="b">
        <v>1</v>
      </c>
      <c r="CI168" s="24">
        <v>10.0</v>
      </c>
      <c r="CJ168" s="22">
        <v>0.0</v>
      </c>
      <c r="CK168" s="22">
        <v>1.0</v>
      </c>
      <c r="CL168" s="22">
        <v>0.0</v>
      </c>
      <c r="CM168" s="22">
        <v>0.0</v>
      </c>
      <c r="CN168" s="22">
        <v>0.0</v>
      </c>
      <c r="CO168" s="22">
        <v>0.0</v>
      </c>
      <c r="CP168" s="22">
        <v>0.0</v>
      </c>
      <c r="CQ168" s="22">
        <v>0.0</v>
      </c>
      <c r="CR168" s="22">
        <v>1.0</v>
      </c>
      <c r="CS168" s="22">
        <v>1.0</v>
      </c>
      <c r="CT168" s="22">
        <v>1.0</v>
      </c>
      <c r="CU168" s="22">
        <v>0.0</v>
      </c>
      <c r="CV168" s="22">
        <v>0.0</v>
      </c>
      <c r="CW168" s="22">
        <v>0.0</v>
      </c>
      <c r="CX168" s="22">
        <v>1.0</v>
      </c>
      <c r="CY168" s="22">
        <v>3.0</v>
      </c>
      <c r="CZ168" s="61">
        <v>1.875</v>
      </c>
      <c r="DA168" s="62" t="s">
        <v>568</v>
      </c>
    </row>
    <row r="169">
      <c r="A169" s="16" t="s">
        <v>368</v>
      </c>
      <c r="B169" s="16" t="s">
        <v>369</v>
      </c>
      <c r="C169" s="39" t="s">
        <v>45</v>
      </c>
      <c r="D169" s="16" t="s">
        <v>4</v>
      </c>
      <c r="E169" s="17" t="b">
        <f t="shared" ref="E169:K169" si="846">If(IFERROR(SEARCH(E$1, $D169),0) &gt;= 1, true,false)</f>
        <v>1</v>
      </c>
      <c r="F169" s="17" t="b">
        <f t="shared" si="846"/>
        <v>0</v>
      </c>
      <c r="G169" s="17" t="b">
        <f t="shared" si="846"/>
        <v>0</v>
      </c>
      <c r="H169" s="17" t="b">
        <f t="shared" si="846"/>
        <v>0</v>
      </c>
      <c r="I169" s="17" t="b">
        <f t="shared" si="846"/>
        <v>0</v>
      </c>
      <c r="J169" s="17" t="b">
        <f t="shared" si="846"/>
        <v>0</v>
      </c>
      <c r="K169" s="17" t="b">
        <f t="shared" si="846"/>
        <v>0</v>
      </c>
      <c r="L169" s="18" t="b">
        <v>1</v>
      </c>
      <c r="M169" s="18" t="b">
        <v>0</v>
      </c>
      <c r="N169" s="18" t="b">
        <v>0</v>
      </c>
      <c r="O169" s="18" t="b">
        <v>0</v>
      </c>
      <c r="P169" s="16" t="str">
        <f t="shared" si="7"/>
        <v>Folkloremuseum</v>
      </c>
      <c r="Q169" s="19">
        <v>4.0</v>
      </c>
      <c r="R169" s="20" t="b">
        <v>0</v>
      </c>
      <c r="S169" s="18" t="b">
        <v>1</v>
      </c>
      <c r="T169" s="30">
        <v>4.0</v>
      </c>
      <c r="U169" s="21">
        <f t="shared" si="8"/>
        <v>0</v>
      </c>
      <c r="V169" s="21">
        <f t="shared" ref="V169:AB169" si="847">if(OR(AW169 = $AO$4, AW169 = $AQ$4), 1, 0)</f>
        <v>1</v>
      </c>
      <c r="W169" s="21">
        <f t="shared" si="847"/>
        <v>0</v>
      </c>
      <c r="X169" s="21">
        <f t="shared" si="847"/>
        <v>0</v>
      </c>
      <c r="Y169" s="21">
        <f t="shared" si="847"/>
        <v>0</v>
      </c>
      <c r="Z169" s="21">
        <f t="shared" si="847"/>
        <v>0</v>
      </c>
      <c r="AA169" s="21">
        <f t="shared" si="847"/>
        <v>0</v>
      </c>
      <c r="AB169" s="21">
        <f t="shared" si="847"/>
        <v>0</v>
      </c>
      <c r="AC169" s="21">
        <f t="shared" si="10"/>
        <v>1</v>
      </c>
      <c r="AD169" s="21">
        <f t="shared" si="11"/>
        <v>1</v>
      </c>
      <c r="AE169" s="21">
        <f t="shared" ref="AE169:AH169" si="848">if(OR(BD169 = $AO$6, BD169 = $AS$6, BD169 = $AT$6, BD169 = $AU$6), 1, 0)</f>
        <v>1</v>
      </c>
      <c r="AF169" s="21">
        <f t="shared" si="848"/>
        <v>0</v>
      </c>
      <c r="AG169" s="21">
        <f t="shared" si="848"/>
        <v>0</v>
      </c>
      <c r="AH169" s="21">
        <f t="shared" si="848"/>
        <v>0</v>
      </c>
      <c r="AI169" s="21">
        <f t="shared" si="13"/>
        <v>1</v>
      </c>
      <c r="AJ169" s="21">
        <f t="shared" si="14"/>
        <v>3</v>
      </c>
      <c r="AK169" s="59">
        <f t="shared" si="15"/>
        <v>1.875</v>
      </c>
      <c r="AL169" s="60" t="str">
        <f t="shared" si="16"/>
        <v>subpar</v>
      </c>
      <c r="AW169" s="22" t="str">
        <f t="shared" ref="AW169:BC169" si="849">IF(IFERROR(SEARCH(E$1, $D169),0) &gt;= 1, E$1,0)</f>
        <v>Geschiedenis en archeologie</v>
      </c>
      <c r="AX169" s="22">
        <f t="shared" si="849"/>
        <v>0</v>
      </c>
      <c r="AY169" s="22">
        <f t="shared" si="849"/>
        <v>0</v>
      </c>
      <c r="AZ169" s="22">
        <f t="shared" si="849"/>
        <v>0</v>
      </c>
      <c r="BA169" s="22">
        <f t="shared" si="849"/>
        <v>0</v>
      </c>
      <c r="BB169" s="22">
        <f t="shared" si="849"/>
        <v>0</v>
      </c>
      <c r="BC169" s="22">
        <f t="shared" si="849"/>
        <v>0</v>
      </c>
      <c r="BD169" s="22" t="str">
        <f t="shared" ref="BD169:BG169" si="850">IF(L169 = true, BD$1, 0)</f>
        <v>Shop</v>
      </c>
      <c r="BE169" s="22">
        <f t="shared" si="850"/>
        <v>0</v>
      </c>
      <c r="BF169" s="22">
        <f t="shared" si="850"/>
        <v>0</v>
      </c>
      <c r="BG169" s="22">
        <f t="shared" si="850"/>
        <v>0</v>
      </c>
      <c r="BH169" s="22" t="str">
        <f>IFERROR(__xludf.DUMMYFUNCTION("""COMPUTED_VALUE"""),"Westfront Nieuwpoort")</f>
        <v>Westfront Nieuwpoort</v>
      </c>
      <c r="BI169" s="24">
        <f>IFERROR(__xludf.DUMMYFUNCTION("""COMPUTED_VALUE"""),9.5)</f>
        <v>9.5</v>
      </c>
      <c r="BJ169" s="22" t="b">
        <f>IFERROR(__xludf.DUMMYFUNCTION("""COMPUTED_VALUE"""),FALSE)</f>
        <v>0</v>
      </c>
      <c r="BK169" s="22" t="b">
        <f>IFERROR(__xludf.DUMMYFUNCTION("""COMPUTED_VALUE"""),FALSE)</f>
        <v>0</v>
      </c>
      <c r="BL169" s="22"/>
      <c r="BM169" s="22">
        <f>IFERROR(__xludf.DUMMYFUNCTION("""COMPUTED_VALUE"""),0.0)</f>
        <v>0</v>
      </c>
      <c r="BN169" s="22">
        <f>IFERROR(__xludf.DUMMYFUNCTION("""COMPUTED_VALUE"""),1.0)</f>
        <v>1</v>
      </c>
      <c r="BO169" s="22">
        <f>IFERROR(__xludf.DUMMYFUNCTION("""COMPUTED_VALUE"""),0.0)</f>
        <v>0</v>
      </c>
      <c r="BP169" s="22">
        <f>IFERROR(__xludf.DUMMYFUNCTION("""COMPUTED_VALUE"""),0.0)</f>
        <v>0</v>
      </c>
      <c r="BQ169" s="22">
        <f>IFERROR(__xludf.DUMMYFUNCTION("""COMPUTED_VALUE"""),0.0)</f>
        <v>0</v>
      </c>
      <c r="BR169" s="22">
        <f>IFERROR(__xludf.DUMMYFUNCTION("""COMPUTED_VALUE"""),0.0)</f>
        <v>0</v>
      </c>
      <c r="BS169" s="22">
        <f>IFERROR(__xludf.DUMMYFUNCTION("""COMPUTED_VALUE"""),0.0)</f>
        <v>0</v>
      </c>
      <c r="BT169" s="22">
        <f>IFERROR(__xludf.DUMMYFUNCTION("""COMPUTED_VALUE"""),0.0)</f>
        <v>0</v>
      </c>
      <c r="BU169" s="22">
        <f>IFERROR(__xludf.DUMMYFUNCTION("""COMPUTED_VALUE"""),1.0)</f>
        <v>1</v>
      </c>
      <c r="BV169" s="22">
        <f>IFERROR(__xludf.DUMMYFUNCTION("""COMPUTED_VALUE"""),1.0)</f>
        <v>1</v>
      </c>
      <c r="BW169" s="22">
        <f>IFERROR(__xludf.DUMMYFUNCTION("""COMPUTED_VALUE"""),1.0)</f>
        <v>1</v>
      </c>
      <c r="BX169" s="22">
        <f>IFERROR(__xludf.DUMMYFUNCTION("""COMPUTED_VALUE"""),0.0)</f>
        <v>0</v>
      </c>
      <c r="BY169" s="22">
        <f>IFERROR(__xludf.DUMMYFUNCTION("""COMPUTED_VALUE"""),0.0)</f>
        <v>0</v>
      </c>
      <c r="BZ169" s="22">
        <f>IFERROR(__xludf.DUMMYFUNCTION("""COMPUTED_VALUE"""),0.0)</f>
        <v>0</v>
      </c>
      <c r="CA169" s="22">
        <f>IFERROR(__xludf.DUMMYFUNCTION("""COMPUTED_VALUE"""),1.0)</f>
        <v>1</v>
      </c>
      <c r="CB169" s="22">
        <f>IFERROR(__xludf.DUMMYFUNCTION("""COMPUTED_VALUE"""),3.0)</f>
        <v>3</v>
      </c>
      <c r="CC169" s="61">
        <f>IFERROR(__xludf.DUMMYFUNCTION("""COMPUTED_VALUE"""),1.875)</f>
        <v>1.875</v>
      </c>
      <c r="CD169" s="62" t="str">
        <f>IFERROR(__xludf.DUMMYFUNCTION("""COMPUTED_VALUE"""),"subpar")</f>
        <v>subpar</v>
      </c>
      <c r="CE169" s="22" t="s">
        <v>143</v>
      </c>
      <c r="CF169" s="24">
        <v>9.5</v>
      </c>
      <c r="CG169" s="22" t="b">
        <v>0</v>
      </c>
      <c r="CH169" s="22" t="b">
        <v>0</v>
      </c>
      <c r="CI169" s="22"/>
      <c r="CJ169" s="22">
        <v>0.0</v>
      </c>
      <c r="CK169" s="22">
        <v>1.0</v>
      </c>
      <c r="CL169" s="22">
        <v>0.0</v>
      </c>
      <c r="CM169" s="22">
        <v>0.0</v>
      </c>
      <c r="CN169" s="22">
        <v>0.0</v>
      </c>
      <c r="CO169" s="22">
        <v>0.0</v>
      </c>
      <c r="CP169" s="22">
        <v>0.0</v>
      </c>
      <c r="CQ169" s="22">
        <v>0.0</v>
      </c>
      <c r="CR169" s="22">
        <v>1.0</v>
      </c>
      <c r="CS169" s="22">
        <v>1.0</v>
      </c>
      <c r="CT169" s="22">
        <v>1.0</v>
      </c>
      <c r="CU169" s="22">
        <v>0.0</v>
      </c>
      <c r="CV169" s="22">
        <v>0.0</v>
      </c>
      <c r="CW169" s="22">
        <v>0.0</v>
      </c>
      <c r="CX169" s="22">
        <v>1.0</v>
      </c>
      <c r="CY169" s="22">
        <v>3.0</v>
      </c>
      <c r="CZ169" s="61">
        <v>1.875</v>
      </c>
      <c r="DA169" s="62" t="s">
        <v>568</v>
      </c>
    </row>
    <row r="170">
      <c r="A170" s="16" t="s">
        <v>370</v>
      </c>
      <c r="B170" s="16" t="s">
        <v>371</v>
      </c>
      <c r="C170" s="39" t="s">
        <v>45</v>
      </c>
      <c r="D170" s="16" t="s">
        <v>335</v>
      </c>
      <c r="E170" s="17" t="b">
        <f t="shared" ref="E170:K170" si="851">If(IFERROR(SEARCH(E$1, $D170),0) &gt;= 1, true,false)</f>
        <v>0</v>
      </c>
      <c r="F170" s="17" t="b">
        <f t="shared" si="851"/>
        <v>0</v>
      </c>
      <c r="G170" s="17" t="b">
        <f t="shared" si="851"/>
        <v>0</v>
      </c>
      <c r="H170" s="17" t="b">
        <f t="shared" si="851"/>
        <v>0</v>
      </c>
      <c r="I170" s="17" t="b">
        <f t="shared" si="851"/>
        <v>0</v>
      </c>
      <c r="J170" s="17" t="b">
        <f t="shared" si="851"/>
        <v>1</v>
      </c>
      <c r="K170" s="17" t="b">
        <f t="shared" si="851"/>
        <v>0</v>
      </c>
      <c r="L170" s="18" t="b">
        <v>1</v>
      </c>
      <c r="M170" s="18" t="b">
        <v>1</v>
      </c>
      <c r="N170" s="18" t="b">
        <v>0</v>
      </c>
      <c r="O170" s="18" t="b">
        <v>0</v>
      </c>
      <c r="P170" s="16" t="str">
        <f t="shared" si="7"/>
        <v>Fotografiemuseum</v>
      </c>
      <c r="Q170" s="19">
        <v>4.0</v>
      </c>
      <c r="R170" s="18" t="b">
        <v>0</v>
      </c>
      <c r="S170" s="18" t="b">
        <v>1</v>
      </c>
      <c r="T170" s="27">
        <v>8.0</v>
      </c>
      <c r="U170" s="21">
        <f t="shared" si="8"/>
        <v>0</v>
      </c>
      <c r="V170" s="21">
        <f t="shared" ref="V170:AB170" si="852">if(OR(AW170 = $AO$4, AW170 = $AQ$4), 1, 0)</f>
        <v>0</v>
      </c>
      <c r="W170" s="21">
        <f t="shared" si="852"/>
        <v>0</v>
      </c>
      <c r="X170" s="21">
        <f t="shared" si="852"/>
        <v>0</v>
      </c>
      <c r="Y170" s="21">
        <f t="shared" si="852"/>
        <v>0</v>
      </c>
      <c r="Z170" s="21">
        <f t="shared" si="852"/>
        <v>0</v>
      </c>
      <c r="AA170" s="21">
        <f t="shared" si="852"/>
        <v>1</v>
      </c>
      <c r="AB170" s="21">
        <f t="shared" si="852"/>
        <v>0</v>
      </c>
      <c r="AC170" s="21">
        <f t="shared" si="10"/>
        <v>1</v>
      </c>
      <c r="AD170" s="21">
        <f t="shared" si="11"/>
        <v>1</v>
      </c>
      <c r="AE170" s="21">
        <f t="shared" ref="AE170:AH170" si="853">if(OR(BD170 = $AO$6, BD170 = $AS$6, BD170 = $AT$6, BD170 = $AU$6), 1, 0)</f>
        <v>1</v>
      </c>
      <c r="AF170" s="21">
        <f t="shared" si="853"/>
        <v>1</v>
      </c>
      <c r="AG170" s="21">
        <f t="shared" si="853"/>
        <v>0</v>
      </c>
      <c r="AH170" s="21">
        <f t="shared" si="853"/>
        <v>0</v>
      </c>
      <c r="AI170" s="21">
        <f t="shared" si="13"/>
        <v>2</v>
      </c>
      <c r="AJ170" s="21">
        <f t="shared" si="14"/>
        <v>4</v>
      </c>
      <c r="AK170" s="59">
        <f t="shared" si="15"/>
        <v>2.5</v>
      </c>
      <c r="AL170" s="60" t="str">
        <f t="shared" si="16"/>
        <v>subpar</v>
      </c>
      <c r="AW170" s="22">
        <f t="shared" ref="AW170:BC170" si="854">IF(IFERROR(SEARCH(E$1, $D170),0) &gt;= 1, E$1,0)</f>
        <v>0</v>
      </c>
      <c r="AX170" s="22">
        <f t="shared" si="854"/>
        <v>0</v>
      </c>
      <c r="AY170" s="22">
        <f t="shared" si="854"/>
        <v>0</v>
      </c>
      <c r="AZ170" s="22">
        <f t="shared" si="854"/>
        <v>0</v>
      </c>
      <c r="BA170" s="22">
        <f t="shared" si="854"/>
        <v>0</v>
      </c>
      <c r="BB170" s="22" t="str">
        <f t="shared" si="854"/>
        <v>Beeldende kunst</v>
      </c>
      <c r="BC170" s="22">
        <f t="shared" si="854"/>
        <v>0</v>
      </c>
      <c r="BD170" s="22" t="str">
        <f t="shared" ref="BD170:BG170" si="855">IF(L170 = true, BD$1, 0)</f>
        <v>Shop</v>
      </c>
      <c r="BE170" s="22" t="str">
        <f t="shared" si="855"/>
        <v>Café</v>
      </c>
      <c r="BF170" s="22">
        <f t="shared" si="855"/>
        <v>0</v>
      </c>
      <c r="BG170" s="22">
        <f t="shared" si="855"/>
        <v>0</v>
      </c>
      <c r="BH170" s="22" t="str">
        <f>IFERROR(__xludf.DUMMYFUNCTION("""COMPUTED_VALUE"""),"Het Snijders&amp;Rockoxhuis")</f>
        <v>Het Snijders&amp;Rockoxhuis</v>
      </c>
      <c r="BI170" s="24">
        <f>IFERROR(__xludf.DUMMYFUNCTION("""COMPUTED_VALUE"""),10.0)</f>
        <v>10</v>
      </c>
      <c r="BJ170" s="22" t="b">
        <f>IFERROR(__xludf.DUMMYFUNCTION("""COMPUTED_VALUE"""),FALSE)</f>
        <v>0</v>
      </c>
      <c r="BK170" s="22" t="b">
        <f>IFERROR(__xludf.DUMMYFUNCTION("""COMPUTED_VALUE"""),TRUE)</f>
        <v>1</v>
      </c>
      <c r="BL170" s="24">
        <f>IFERROR(__xludf.DUMMYFUNCTION("""COMPUTED_VALUE"""),10.0)</f>
        <v>10</v>
      </c>
      <c r="BM170" s="22">
        <f>IFERROR(__xludf.DUMMYFUNCTION("""COMPUTED_VALUE"""),0.0)</f>
        <v>0</v>
      </c>
      <c r="BN170" s="22">
        <f>IFERROR(__xludf.DUMMYFUNCTION("""COMPUTED_VALUE"""),1.0)</f>
        <v>1</v>
      </c>
      <c r="BO170" s="22">
        <f>IFERROR(__xludf.DUMMYFUNCTION("""COMPUTED_VALUE"""),0.0)</f>
        <v>0</v>
      </c>
      <c r="BP170" s="22">
        <f>IFERROR(__xludf.DUMMYFUNCTION("""COMPUTED_VALUE"""),0.0)</f>
        <v>0</v>
      </c>
      <c r="BQ170" s="22">
        <f>IFERROR(__xludf.DUMMYFUNCTION("""COMPUTED_VALUE"""),0.0)</f>
        <v>0</v>
      </c>
      <c r="BR170" s="22">
        <f>IFERROR(__xludf.DUMMYFUNCTION("""COMPUTED_VALUE"""),0.0)</f>
        <v>0</v>
      </c>
      <c r="BS170" s="22">
        <f>IFERROR(__xludf.DUMMYFUNCTION("""COMPUTED_VALUE"""),0.0)</f>
        <v>0</v>
      </c>
      <c r="BT170" s="22">
        <f>IFERROR(__xludf.DUMMYFUNCTION("""COMPUTED_VALUE"""),0.0)</f>
        <v>0</v>
      </c>
      <c r="BU170" s="22">
        <f>IFERROR(__xludf.DUMMYFUNCTION("""COMPUTED_VALUE"""),1.0)</f>
        <v>1</v>
      </c>
      <c r="BV170" s="22">
        <f>IFERROR(__xludf.DUMMYFUNCTION("""COMPUTED_VALUE"""),1.0)</f>
        <v>1</v>
      </c>
      <c r="BW170" s="22">
        <f>IFERROR(__xludf.DUMMYFUNCTION("""COMPUTED_VALUE"""),1.0)</f>
        <v>1</v>
      </c>
      <c r="BX170" s="22">
        <f>IFERROR(__xludf.DUMMYFUNCTION("""COMPUTED_VALUE"""),0.0)</f>
        <v>0</v>
      </c>
      <c r="BY170" s="22">
        <f>IFERROR(__xludf.DUMMYFUNCTION("""COMPUTED_VALUE"""),0.0)</f>
        <v>0</v>
      </c>
      <c r="BZ170" s="22">
        <f>IFERROR(__xludf.DUMMYFUNCTION("""COMPUTED_VALUE"""),0.0)</f>
        <v>0</v>
      </c>
      <c r="CA170" s="22">
        <f>IFERROR(__xludf.DUMMYFUNCTION("""COMPUTED_VALUE"""),1.0)</f>
        <v>1</v>
      </c>
      <c r="CB170" s="22">
        <f>IFERROR(__xludf.DUMMYFUNCTION("""COMPUTED_VALUE"""),3.0)</f>
        <v>3</v>
      </c>
      <c r="CC170" s="61">
        <f>IFERROR(__xludf.DUMMYFUNCTION("""COMPUTED_VALUE"""),1.875)</f>
        <v>1.875</v>
      </c>
      <c r="CD170" s="62" t="str">
        <f>IFERROR(__xludf.DUMMYFUNCTION("""COMPUTED_VALUE"""),"subpar")</f>
        <v>subpar</v>
      </c>
      <c r="CE170" s="22" t="s">
        <v>164</v>
      </c>
      <c r="CF170" s="24">
        <v>10.0</v>
      </c>
      <c r="CG170" s="22" t="b">
        <v>0</v>
      </c>
      <c r="CH170" s="22" t="b">
        <v>1</v>
      </c>
      <c r="CI170" s="24">
        <v>10.0</v>
      </c>
      <c r="CJ170" s="22">
        <v>0.0</v>
      </c>
      <c r="CK170" s="22">
        <v>1.0</v>
      </c>
      <c r="CL170" s="22">
        <v>0.0</v>
      </c>
      <c r="CM170" s="22">
        <v>0.0</v>
      </c>
      <c r="CN170" s="22">
        <v>0.0</v>
      </c>
      <c r="CO170" s="22">
        <v>0.0</v>
      </c>
      <c r="CP170" s="22">
        <v>0.0</v>
      </c>
      <c r="CQ170" s="22">
        <v>0.0</v>
      </c>
      <c r="CR170" s="22">
        <v>1.0</v>
      </c>
      <c r="CS170" s="22">
        <v>1.0</v>
      </c>
      <c r="CT170" s="22">
        <v>1.0</v>
      </c>
      <c r="CU170" s="22">
        <v>0.0</v>
      </c>
      <c r="CV170" s="22">
        <v>0.0</v>
      </c>
      <c r="CW170" s="22">
        <v>0.0</v>
      </c>
      <c r="CX170" s="22">
        <v>1.0</v>
      </c>
      <c r="CY170" s="22">
        <v>3.0</v>
      </c>
      <c r="CZ170" s="61">
        <v>1.875</v>
      </c>
      <c r="DA170" s="62" t="s">
        <v>568</v>
      </c>
    </row>
    <row r="171">
      <c r="A171" s="16" t="s">
        <v>372</v>
      </c>
      <c r="B171" s="16" t="s">
        <v>373</v>
      </c>
      <c r="C171" s="39" t="s">
        <v>45</v>
      </c>
      <c r="D171" s="16" t="s">
        <v>374</v>
      </c>
      <c r="E171" s="17" t="b">
        <f t="shared" ref="E171:K171" si="856">If(IFERROR(SEARCH(E$1, $D171),0) &gt;= 1, true,false)</f>
        <v>1</v>
      </c>
      <c r="F171" s="17" t="b">
        <f t="shared" si="856"/>
        <v>1</v>
      </c>
      <c r="G171" s="17" t="b">
        <f t="shared" si="856"/>
        <v>0</v>
      </c>
      <c r="H171" s="17" t="b">
        <f t="shared" si="856"/>
        <v>0</v>
      </c>
      <c r="I171" s="17" t="b">
        <f t="shared" si="856"/>
        <v>0</v>
      </c>
      <c r="J171" s="17" t="b">
        <f t="shared" si="856"/>
        <v>0</v>
      </c>
      <c r="K171" s="17" t="b">
        <f t="shared" si="856"/>
        <v>1</v>
      </c>
      <c r="L171" s="18" t="b">
        <v>1</v>
      </c>
      <c r="M171" s="18" t="b">
        <v>1</v>
      </c>
      <c r="N171" s="18" t="b">
        <v>0</v>
      </c>
      <c r="O171" s="18" t="b">
        <v>0</v>
      </c>
      <c r="P171" s="16" t="str">
        <f t="shared" si="7"/>
        <v>Lintweverijmuseum van Komen</v>
      </c>
      <c r="Q171" s="19">
        <v>7.0</v>
      </c>
      <c r="R171" s="18" t="b">
        <v>0</v>
      </c>
      <c r="S171" s="18" t="b">
        <v>1</v>
      </c>
      <c r="T171" s="27">
        <v>7.0</v>
      </c>
      <c r="U171" s="21">
        <f t="shared" si="8"/>
        <v>0</v>
      </c>
      <c r="V171" s="21">
        <f t="shared" ref="V171:AB171" si="857">if(OR(AW171 = $AO$4, AW171 = $AQ$4), 1, 0)</f>
        <v>1</v>
      </c>
      <c r="W171" s="21">
        <f t="shared" si="857"/>
        <v>0</v>
      </c>
      <c r="X171" s="21">
        <f t="shared" si="857"/>
        <v>0</v>
      </c>
      <c r="Y171" s="21">
        <f t="shared" si="857"/>
        <v>0</v>
      </c>
      <c r="Z171" s="21">
        <f t="shared" si="857"/>
        <v>0</v>
      </c>
      <c r="AA171" s="21">
        <f t="shared" si="857"/>
        <v>0</v>
      </c>
      <c r="AB171" s="21">
        <f t="shared" si="857"/>
        <v>0</v>
      </c>
      <c r="AC171" s="21">
        <f t="shared" si="10"/>
        <v>1</v>
      </c>
      <c r="AD171" s="21">
        <f t="shared" si="11"/>
        <v>1</v>
      </c>
      <c r="AE171" s="21">
        <f t="shared" ref="AE171:AH171" si="858">if(OR(BD171 = $AO$6, BD171 = $AS$6, BD171 = $AT$6, BD171 = $AU$6), 1, 0)</f>
        <v>1</v>
      </c>
      <c r="AF171" s="21">
        <f t="shared" si="858"/>
        <v>1</v>
      </c>
      <c r="AG171" s="21">
        <f t="shared" si="858"/>
        <v>0</v>
      </c>
      <c r="AH171" s="21">
        <f t="shared" si="858"/>
        <v>0</v>
      </c>
      <c r="AI171" s="21">
        <f t="shared" si="13"/>
        <v>2</v>
      </c>
      <c r="AJ171" s="21">
        <f t="shared" si="14"/>
        <v>4</v>
      </c>
      <c r="AK171" s="59">
        <f t="shared" si="15"/>
        <v>2.5</v>
      </c>
      <c r="AL171" s="60" t="str">
        <f t="shared" si="16"/>
        <v>subpar</v>
      </c>
      <c r="AW171" s="22" t="str">
        <f t="shared" ref="AW171:BC171" si="859">IF(IFERROR(SEARCH(E$1, $D171),0) &gt;= 1, E$1,0)</f>
        <v>Geschiedenis en archeologie</v>
      </c>
      <c r="AX171" s="22" t="str">
        <f t="shared" si="859"/>
        <v>Wetenschap en technologie</v>
      </c>
      <c r="AY171" s="22">
        <f t="shared" si="859"/>
        <v>0</v>
      </c>
      <c r="AZ171" s="22">
        <f t="shared" si="859"/>
        <v>0</v>
      </c>
      <c r="BA171" s="22">
        <f t="shared" si="859"/>
        <v>0</v>
      </c>
      <c r="BB171" s="22">
        <f t="shared" si="859"/>
        <v>0</v>
      </c>
      <c r="BC171" s="22" t="str">
        <f t="shared" si="859"/>
        <v>Toegepaste kunst en design</v>
      </c>
      <c r="BD171" s="22" t="str">
        <f t="shared" ref="BD171:BG171" si="860">IF(L171 = true, BD$1, 0)</f>
        <v>Shop</v>
      </c>
      <c r="BE171" s="22" t="str">
        <f t="shared" si="860"/>
        <v>Café</v>
      </c>
      <c r="BF171" s="22">
        <f t="shared" si="860"/>
        <v>0</v>
      </c>
      <c r="BG171" s="22">
        <f t="shared" si="860"/>
        <v>0</v>
      </c>
      <c r="BH171" s="22" t="str">
        <f>IFERROR(__xludf.DUMMYFUNCTION("""COMPUTED_VALUE"""),"Kazerne Dossin")</f>
        <v>Kazerne Dossin</v>
      </c>
      <c r="BI171" s="24">
        <f>IFERROR(__xludf.DUMMYFUNCTION("""COMPUTED_VALUE"""),12.0)</f>
        <v>12</v>
      </c>
      <c r="BJ171" s="22" t="b">
        <f>IFERROR(__xludf.DUMMYFUNCTION("""COMPUTED_VALUE"""),FALSE)</f>
        <v>0</v>
      </c>
      <c r="BK171" s="22" t="b">
        <f>IFERROR(__xludf.DUMMYFUNCTION("""COMPUTED_VALUE"""),TRUE)</f>
        <v>1</v>
      </c>
      <c r="BL171" s="24">
        <f>IFERROR(__xludf.DUMMYFUNCTION("""COMPUTED_VALUE"""),10.0)</f>
        <v>10</v>
      </c>
      <c r="BM171" s="22">
        <f>IFERROR(__xludf.DUMMYFUNCTION("""COMPUTED_VALUE"""),0.0)</f>
        <v>0</v>
      </c>
      <c r="BN171" s="22">
        <f>IFERROR(__xludf.DUMMYFUNCTION("""COMPUTED_VALUE"""),1.0)</f>
        <v>1</v>
      </c>
      <c r="BO171" s="22">
        <f>IFERROR(__xludf.DUMMYFUNCTION("""COMPUTED_VALUE"""),0.0)</f>
        <v>0</v>
      </c>
      <c r="BP171" s="22">
        <f>IFERROR(__xludf.DUMMYFUNCTION("""COMPUTED_VALUE"""),0.0)</f>
        <v>0</v>
      </c>
      <c r="BQ171" s="22">
        <f>IFERROR(__xludf.DUMMYFUNCTION("""COMPUTED_VALUE"""),0.0)</f>
        <v>0</v>
      </c>
      <c r="BR171" s="22">
        <f>IFERROR(__xludf.DUMMYFUNCTION("""COMPUTED_VALUE"""),0.0)</f>
        <v>0</v>
      </c>
      <c r="BS171" s="22">
        <f>IFERROR(__xludf.DUMMYFUNCTION("""COMPUTED_VALUE"""),0.0)</f>
        <v>0</v>
      </c>
      <c r="BT171" s="22">
        <f>IFERROR(__xludf.DUMMYFUNCTION("""COMPUTED_VALUE"""),0.0)</f>
        <v>0</v>
      </c>
      <c r="BU171" s="22">
        <f>IFERROR(__xludf.DUMMYFUNCTION("""COMPUTED_VALUE"""),1.0)</f>
        <v>1</v>
      </c>
      <c r="BV171" s="22">
        <f>IFERROR(__xludf.DUMMYFUNCTION("""COMPUTED_VALUE"""),0.0)</f>
        <v>0</v>
      </c>
      <c r="BW171" s="22">
        <f>IFERROR(__xludf.DUMMYFUNCTION("""COMPUTED_VALUE"""),1.0)</f>
        <v>1</v>
      </c>
      <c r="BX171" s="22">
        <f>IFERROR(__xludf.DUMMYFUNCTION("""COMPUTED_VALUE"""),0.0)</f>
        <v>0</v>
      </c>
      <c r="BY171" s="22">
        <f>IFERROR(__xludf.DUMMYFUNCTION("""COMPUTED_VALUE"""),1.0)</f>
        <v>1</v>
      </c>
      <c r="BZ171" s="22">
        <f>IFERROR(__xludf.DUMMYFUNCTION("""COMPUTED_VALUE"""),0.0)</f>
        <v>0</v>
      </c>
      <c r="CA171" s="22">
        <f>IFERROR(__xludf.DUMMYFUNCTION("""COMPUTED_VALUE"""),2.0)</f>
        <v>2</v>
      </c>
      <c r="CB171" s="22">
        <f>IFERROR(__xludf.DUMMYFUNCTION("""COMPUTED_VALUE"""),3.0)</f>
        <v>3</v>
      </c>
      <c r="CC171" s="61">
        <f>IFERROR(__xludf.DUMMYFUNCTION("""COMPUTED_VALUE"""),1.875)</f>
        <v>1.875</v>
      </c>
      <c r="CD171" s="62" t="str">
        <f>IFERROR(__xludf.DUMMYFUNCTION("""COMPUTED_VALUE"""),"subpar")</f>
        <v>subpar</v>
      </c>
      <c r="CE171" s="22" t="s">
        <v>170</v>
      </c>
      <c r="CF171" s="24">
        <v>12.0</v>
      </c>
      <c r="CG171" s="22" t="b">
        <v>0</v>
      </c>
      <c r="CH171" s="22" t="b">
        <v>1</v>
      </c>
      <c r="CI171" s="24">
        <v>10.0</v>
      </c>
      <c r="CJ171" s="22">
        <v>0.0</v>
      </c>
      <c r="CK171" s="22">
        <v>1.0</v>
      </c>
      <c r="CL171" s="22">
        <v>0.0</v>
      </c>
      <c r="CM171" s="22">
        <v>0.0</v>
      </c>
      <c r="CN171" s="22">
        <v>0.0</v>
      </c>
      <c r="CO171" s="22">
        <v>0.0</v>
      </c>
      <c r="CP171" s="22">
        <v>0.0</v>
      </c>
      <c r="CQ171" s="22">
        <v>0.0</v>
      </c>
      <c r="CR171" s="22">
        <v>1.0</v>
      </c>
      <c r="CS171" s="22">
        <v>0.0</v>
      </c>
      <c r="CT171" s="22">
        <v>1.0</v>
      </c>
      <c r="CU171" s="22">
        <v>0.0</v>
      </c>
      <c r="CV171" s="22">
        <v>1.0</v>
      </c>
      <c r="CW171" s="22">
        <v>0.0</v>
      </c>
      <c r="CX171" s="22">
        <v>2.0</v>
      </c>
      <c r="CY171" s="22">
        <v>3.0</v>
      </c>
      <c r="CZ171" s="61">
        <v>1.875</v>
      </c>
      <c r="DA171" s="62" t="s">
        <v>568</v>
      </c>
    </row>
    <row r="172">
      <c r="A172" s="16"/>
      <c r="B172" s="16" t="s">
        <v>375</v>
      </c>
      <c r="C172" s="39" t="s">
        <v>45</v>
      </c>
      <c r="D172" s="36" t="s">
        <v>349</v>
      </c>
      <c r="E172" s="17" t="b">
        <f t="shared" ref="E172:K172" si="861">If(IFERROR(SEARCH(E$1, $D172),0) &gt;= 1, true,false)</f>
        <v>1</v>
      </c>
      <c r="F172" s="17" t="b">
        <f t="shared" si="861"/>
        <v>0</v>
      </c>
      <c r="G172" s="17" t="b">
        <f t="shared" si="861"/>
        <v>0</v>
      </c>
      <c r="H172" s="17" t="b">
        <f t="shared" si="861"/>
        <v>0</v>
      </c>
      <c r="I172" s="17" t="b">
        <f t="shared" si="861"/>
        <v>0</v>
      </c>
      <c r="J172" s="17" t="b">
        <f t="shared" si="861"/>
        <v>1</v>
      </c>
      <c r="K172" s="17" t="b">
        <f t="shared" si="861"/>
        <v>0</v>
      </c>
      <c r="L172" s="18" t="b">
        <v>1</v>
      </c>
      <c r="M172" s="18" t="b">
        <v>0</v>
      </c>
      <c r="N172" s="18" t="b">
        <v>0</v>
      </c>
      <c r="O172" s="18" t="b">
        <v>0</v>
      </c>
      <c r="P172" s="16" t="str">
        <f t="shared" si="7"/>
        <v>Musée des arts de la Marionnette </v>
      </c>
      <c r="Q172" s="19">
        <v>0.0</v>
      </c>
      <c r="R172" s="18" t="b">
        <v>0</v>
      </c>
      <c r="S172" s="18" t="b">
        <v>0</v>
      </c>
      <c r="U172" s="21">
        <f t="shared" si="8"/>
        <v>0</v>
      </c>
      <c r="V172" s="21">
        <f t="shared" ref="V172:AB172" si="862">if(OR(AW172 = $AO$4, AW172 = $AQ$4), 1, 0)</f>
        <v>1</v>
      </c>
      <c r="W172" s="21">
        <f t="shared" si="862"/>
        <v>0</v>
      </c>
      <c r="X172" s="21">
        <f t="shared" si="862"/>
        <v>0</v>
      </c>
      <c r="Y172" s="21">
        <f t="shared" si="862"/>
        <v>0</v>
      </c>
      <c r="Z172" s="21">
        <f t="shared" si="862"/>
        <v>0</v>
      </c>
      <c r="AA172" s="21">
        <f t="shared" si="862"/>
        <v>1</v>
      </c>
      <c r="AB172" s="21">
        <f t="shared" si="862"/>
        <v>0</v>
      </c>
      <c r="AC172" s="21">
        <f t="shared" si="10"/>
        <v>2</v>
      </c>
      <c r="AD172" s="21">
        <f t="shared" si="11"/>
        <v>1</v>
      </c>
      <c r="AE172" s="21">
        <f t="shared" ref="AE172:AH172" si="863">if(OR(BD172 = $AO$6, BD172 = $AS$6, BD172 = $AT$6, BD172 = $AU$6), 1, 0)</f>
        <v>1</v>
      </c>
      <c r="AF172" s="21">
        <f t="shared" si="863"/>
        <v>0</v>
      </c>
      <c r="AG172" s="21">
        <f t="shared" si="863"/>
        <v>0</v>
      </c>
      <c r="AH172" s="21">
        <f t="shared" si="863"/>
        <v>0</v>
      </c>
      <c r="AI172" s="21">
        <f t="shared" si="13"/>
        <v>1</v>
      </c>
      <c r="AJ172" s="21">
        <f t="shared" si="14"/>
        <v>4</v>
      </c>
      <c r="AK172" s="59">
        <f t="shared" si="15"/>
        <v>2.5</v>
      </c>
      <c r="AL172" s="60" t="str">
        <f t="shared" si="16"/>
        <v>subpar</v>
      </c>
      <c r="AW172" s="22" t="str">
        <f t="shared" ref="AW172:BC172" si="864">IF(IFERROR(SEARCH(E$1, $D172),0) &gt;= 1, E$1,0)</f>
        <v>Geschiedenis en archeologie</v>
      </c>
      <c r="AX172" s="22">
        <f t="shared" si="864"/>
        <v>0</v>
      </c>
      <c r="AY172" s="22">
        <f t="shared" si="864"/>
        <v>0</v>
      </c>
      <c r="AZ172" s="22">
        <f t="shared" si="864"/>
        <v>0</v>
      </c>
      <c r="BA172" s="22">
        <f t="shared" si="864"/>
        <v>0</v>
      </c>
      <c r="BB172" s="22" t="str">
        <f t="shared" si="864"/>
        <v>Beeldende kunst</v>
      </c>
      <c r="BC172" s="22">
        <f t="shared" si="864"/>
        <v>0</v>
      </c>
      <c r="BD172" s="22" t="str">
        <f t="shared" ref="BD172:BG172" si="865">IF(L172 = true, BD$1, 0)</f>
        <v>Shop</v>
      </c>
      <c r="BE172" s="22">
        <f t="shared" si="865"/>
        <v>0</v>
      </c>
      <c r="BF172" s="22">
        <f t="shared" si="865"/>
        <v>0</v>
      </c>
      <c r="BG172" s="22">
        <f t="shared" si="865"/>
        <v>0</v>
      </c>
      <c r="BH172" s="22" t="str">
        <f>IFERROR(__xludf.DUMMYFUNCTION("""COMPUTED_VALUE"""),"M HKA | Museum van Hedendaagse Kunst Antwerpen")</f>
        <v>M HKA | Museum van Hedendaagse Kunst Antwerpen</v>
      </c>
      <c r="BI172" s="24">
        <f>IFERROR(__xludf.DUMMYFUNCTION("""COMPUTED_VALUE"""),14.0)</f>
        <v>14</v>
      </c>
      <c r="BJ172" s="22" t="b">
        <f>IFERROR(__xludf.DUMMYFUNCTION("""COMPUTED_VALUE"""),FALSE)</f>
        <v>0</v>
      </c>
      <c r="BK172" s="22" t="b">
        <f>IFERROR(__xludf.DUMMYFUNCTION("""COMPUTED_VALUE"""),TRUE)</f>
        <v>1</v>
      </c>
      <c r="BL172" s="24">
        <f>IFERROR(__xludf.DUMMYFUNCTION("""COMPUTED_VALUE"""),14.0)</f>
        <v>14</v>
      </c>
      <c r="BM172" s="22">
        <f>IFERROR(__xludf.DUMMYFUNCTION("""COMPUTED_VALUE"""),0.0)</f>
        <v>0</v>
      </c>
      <c r="BN172" s="22">
        <f>IFERROR(__xludf.DUMMYFUNCTION("""COMPUTED_VALUE"""),0.0)</f>
        <v>0</v>
      </c>
      <c r="BO172" s="22">
        <f>IFERROR(__xludf.DUMMYFUNCTION("""COMPUTED_VALUE"""),0.0)</f>
        <v>0</v>
      </c>
      <c r="BP172" s="22">
        <f>IFERROR(__xludf.DUMMYFUNCTION("""COMPUTED_VALUE"""),0.0)</f>
        <v>0</v>
      </c>
      <c r="BQ172" s="22">
        <f>IFERROR(__xludf.DUMMYFUNCTION("""COMPUTED_VALUE"""),0.0)</f>
        <v>0</v>
      </c>
      <c r="BR172" s="22">
        <f>IFERROR(__xludf.DUMMYFUNCTION("""COMPUTED_VALUE"""),0.0)</f>
        <v>0</v>
      </c>
      <c r="BS172" s="22">
        <f>IFERROR(__xludf.DUMMYFUNCTION("""COMPUTED_VALUE"""),1.0)</f>
        <v>1</v>
      </c>
      <c r="BT172" s="22">
        <f>IFERROR(__xludf.DUMMYFUNCTION("""COMPUTED_VALUE"""),0.0)</f>
        <v>0</v>
      </c>
      <c r="BU172" s="22">
        <f>IFERROR(__xludf.DUMMYFUNCTION("""COMPUTED_VALUE"""),1.0)</f>
        <v>1</v>
      </c>
      <c r="BV172" s="22">
        <f>IFERROR(__xludf.DUMMYFUNCTION("""COMPUTED_VALUE"""),0.0)</f>
        <v>0</v>
      </c>
      <c r="BW172" s="22">
        <f>IFERROR(__xludf.DUMMYFUNCTION("""COMPUTED_VALUE"""),1.0)</f>
        <v>1</v>
      </c>
      <c r="BX172" s="22">
        <f>IFERROR(__xludf.DUMMYFUNCTION("""COMPUTED_VALUE"""),1.0)</f>
        <v>1</v>
      </c>
      <c r="BY172" s="22">
        <f>IFERROR(__xludf.DUMMYFUNCTION("""COMPUTED_VALUE"""),0.0)</f>
        <v>0</v>
      </c>
      <c r="BZ172" s="22">
        <f>IFERROR(__xludf.DUMMYFUNCTION("""COMPUTED_VALUE"""),0.0)</f>
        <v>0</v>
      </c>
      <c r="CA172" s="22">
        <f>IFERROR(__xludf.DUMMYFUNCTION("""COMPUTED_VALUE"""),2.0)</f>
        <v>2</v>
      </c>
      <c r="CB172" s="22">
        <f>IFERROR(__xludf.DUMMYFUNCTION("""COMPUTED_VALUE"""),3.0)</f>
        <v>3</v>
      </c>
      <c r="CC172" s="61">
        <f>IFERROR(__xludf.DUMMYFUNCTION("""COMPUTED_VALUE"""),1.875)</f>
        <v>1.875</v>
      </c>
      <c r="CD172" s="62" t="str">
        <f>IFERROR(__xludf.DUMMYFUNCTION("""COMPUTED_VALUE"""),"subpar")</f>
        <v>subpar</v>
      </c>
      <c r="CE172" s="22" t="s">
        <v>178</v>
      </c>
      <c r="CF172" s="24">
        <v>14.0</v>
      </c>
      <c r="CG172" s="22" t="b">
        <v>0</v>
      </c>
      <c r="CH172" s="22" t="b">
        <v>1</v>
      </c>
      <c r="CI172" s="24">
        <v>14.0</v>
      </c>
      <c r="CJ172" s="22">
        <v>0.0</v>
      </c>
      <c r="CK172" s="22">
        <v>0.0</v>
      </c>
      <c r="CL172" s="22">
        <v>0.0</v>
      </c>
      <c r="CM172" s="22">
        <v>0.0</v>
      </c>
      <c r="CN172" s="22">
        <v>0.0</v>
      </c>
      <c r="CO172" s="22">
        <v>0.0</v>
      </c>
      <c r="CP172" s="22">
        <v>1.0</v>
      </c>
      <c r="CQ172" s="22">
        <v>0.0</v>
      </c>
      <c r="CR172" s="22">
        <v>1.0</v>
      </c>
      <c r="CS172" s="22">
        <v>0.0</v>
      </c>
      <c r="CT172" s="22">
        <v>1.0</v>
      </c>
      <c r="CU172" s="22">
        <v>1.0</v>
      </c>
      <c r="CV172" s="22">
        <v>0.0</v>
      </c>
      <c r="CW172" s="22">
        <v>0.0</v>
      </c>
      <c r="CX172" s="22">
        <v>2.0</v>
      </c>
      <c r="CY172" s="22">
        <v>3.0</v>
      </c>
      <c r="CZ172" s="61">
        <v>1.875</v>
      </c>
      <c r="DA172" s="62" t="s">
        <v>568</v>
      </c>
    </row>
    <row r="173">
      <c r="A173" s="16" t="s">
        <v>376</v>
      </c>
      <c r="B173" s="16" t="s">
        <v>377</v>
      </c>
      <c r="C173" s="39" t="s">
        <v>45</v>
      </c>
      <c r="D173" s="16" t="s">
        <v>335</v>
      </c>
      <c r="E173" s="17" t="b">
        <f t="shared" ref="E173:K173" si="866">If(IFERROR(SEARCH(E$1, $D173),0) &gt;= 1, true,false)</f>
        <v>0</v>
      </c>
      <c r="F173" s="17" t="b">
        <f t="shared" si="866"/>
        <v>0</v>
      </c>
      <c r="G173" s="17" t="b">
        <f t="shared" si="866"/>
        <v>0</v>
      </c>
      <c r="H173" s="17" t="b">
        <f t="shared" si="866"/>
        <v>0</v>
      </c>
      <c r="I173" s="17" t="b">
        <f t="shared" si="866"/>
        <v>0</v>
      </c>
      <c r="J173" s="17" t="b">
        <f t="shared" si="866"/>
        <v>1</v>
      </c>
      <c r="K173" s="17" t="b">
        <f t="shared" si="866"/>
        <v>0</v>
      </c>
      <c r="L173" s="18" t="b">
        <v>1</v>
      </c>
      <c r="M173" s="18" t="b">
        <v>1</v>
      </c>
      <c r="N173" s="18" t="b">
        <v>0</v>
      </c>
      <c r="O173" s="18" t="b">
        <v>0</v>
      </c>
      <c r="P173" s="16" t="str">
        <f t="shared" si="7"/>
        <v>Museum voor Schone Kunsten van Doornik</v>
      </c>
      <c r="Q173" s="19">
        <v>4.0</v>
      </c>
      <c r="R173" s="18" t="b">
        <v>0</v>
      </c>
      <c r="S173" s="18" t="b">
        <v>1</v>
      </c>
      <c r="T173" s="27">
        <v>4.0</v>
      </c>
      <c r="U173" s="21">
        <f t="shared" si="8"/>
        <v>0</v>
      </c>
      <c r="V173" s="21">
        <f t="shared" ref="V173:AB173" si="867">if(OR(AW173 = $AO$4, AW173 = $AQ$4), 1, 0)</f>
        <v>0</v>
      </c>
      <c r="W173" s="21">
        <f t="shared" si="867"/>
        <v>0</v>
      </c>
      <c r="X173" s="21">
        <f t="shared" si="867"/>
        <v>0</v>
      </c>
      <c r="Y173" s="21">
        <f t="shared" si="867"/>
        <v>0</v>
      </c>
      <c r="Z173" s="21">
        <f t="shared" si="867"/>
        <v>0</v>
      </c>
      <c r="AA173" s="21">
        <f t="shared" si="867"/>
        <v>1</v>
      </c>
      <c r="AB173" s="21">
        <f t="shared" si="867"/>
        <v>0</v>
      </c>
      <c r="AC173" s="21">
        <f t="shared" si="10"/>
        <v>1</v>
      </c>
      <c r="AD173" s="21">
        <f t="shared" si="11"/>
        <v>1</v>
      </c>
      <c r="AE173" s="21">
        <f t="shared" ref="AE173:AH173" si="868">if(OR(BD173 = $AO$6, BD173 = $AS$6, BD173 = $AT$6, BD173 = $AU$6), 1, 0)</f>
        <v>1</v>
      </c>
      <c r="AF173" s="21">
        <f t="shared" si="868"/>
        <v>1</v>
      </c>
      <c r="AG173" s="21">
        <f t="shared" si="868"/>
        <v>0</v>
      </c>
      <c r="AH173" s="21">
        <f t="shared" si="868"/>
        <v>0</v>
      </c>
      <c r="AI173" s="21">
        <f t="shared" si="13"/>
        <v>2</v>
      </c>
      <c r="AJ173" s="21">
        <f t="shared" si="14"/>
        <v>4</v>
      </c>
      <c r="AK173" s="59">
        <f t="shared" si="15"/>
        <v>2.5</v>
      </c>
      <c r="AL173" s="60" t="str">
        <f t="shared" si="16"/>
        <v>subpar</v>
      </c>
      <c r="AW173" s="22">
        <f t="shared" ref="AW173:BC173" si="869">IF(IFERROR(SEARCH(E$1, $D173),0) &gt;= 1, E$1,0)</f>
        <v>0</v>
      </c>
      <c r="AX173" s="22">
        <f t="shared" si="869"/>
        <v>0</v>
      </c>
      <c r="AY173" s="22">
        <f t="shared" si="869"/>
        <v>0</v>
      </c>
      <c r="AZ173" s="22">
        <f t="shared" si="869"/>
        <v>0</v>
      </c>
      <c r="BA173" s="22">
        <f t="shared" si="869"/>
        <v>0</v>
      </c>
      <c r="BB173" s="22" t="str">
        <f t="shared" si="869"/>
        <v>Beeldende kunst</v>
      </c>
      <c r="BC173" s="22">
        <f t="shared" si="869"/>
        <v>0</v>
      </c>
      <c r="BD173" s="22" t="str">
        <f t="shared" ref="BD173:BG173" si="870">IF(L173 = true, BD$1, 0)</f>
        <v>Shop</v>
      </c>
      <c r="BE173" s="22" t="str">
        <f t="shared" si="870"/>
        <v>Café</v>
      </c>
      <c r="BF173" s="22">
        <f t="shared" si="870"/>
        <v>0</v>
      </c>
      <c r="BG173" s="22">
        <f t="shared" si="870"/>
        <v>0</v>
      </c>
      <c r="BH173" s="22" t="str">
        <f>IFERROR(__xludf.DUMMYFUNCTION("""COMPUTED_VALUE"""),"Museum Hof van Busleyden")</f>
        <v>Museum Hof van Busleyden</v>
      </c>
      <c r="BI173" s="24">
        <f>IFERROR(__xludf.DUMMYFUNCTION("""COMPUTED_VALUE"""),15.0)</f>
        <v>15</v>
      </c>
      <c r="BJ173" s="22" t="b">
        <f>IFERROR(__xludf.DUMMYFUNCTION("""COMPUTED_VALUE"""),FALSE)</f>
        <v>0</v>
      </c>
      <c r="BK173" s="22" t="b">
        <f>IFERROR(__xludf.DUMMYFUNCTION("""COMPUTED_VALUE"""),TRUE)</f>
        <v>1</v>
      </c>
      <c r="BL173" s="24">
        <f>IFERROR(__xludf.DUMMYFUNCTION("""COMPUTED_VALUE"""),15.0)</f>
        <v>15</v>
      </c>
      <c r="BM173" s="22">
        <f>IFERROR(__xludf.DUMMYFUNCTION("""COMPUTED_VALUE"""),0.0)</f>
        <v>0</v>
      </c>
      <c r="BN173" s="22">
        <f>IFERROR(__xludf.DUMMYFUNCTION("""COMPUTED_VALUE"""),1.0)</f>
        <v>1</v>
      </c>
      <c r="BO173" s="22">
        <f>IFERROR(__xludf.DUMMYFUNCTION("""COMPUTED_VALUE"""),0.0)</f>
        <v>0</v>
      </c>
      <c r="BP173" s="22">
        <f>IFERROR(__xludf.DUMMYFUNCTION("""COMPUTED_VALUE"""),0.0)</f>
        <v>0</v>
      </c>
      <c r="BQ173" s="22">
        <f>IFERROR(__xludf.DUMMYFUNCTION("""COMPUTED_VALUE"""),0.0)</f>
        <v>0</v>
      </c>
      <c r="BR173" s="22">
        <f>IFERROR(__xludf.DUMMYFUNCTION("""COMPUTED_VALUE"""),0.0)</f>
        <v>0</v>
      </c>
      <c r="BS173" s="22">
        <f>IFERROR(__xludf.DUMMYFUNCTION("""COMPUTED_VALUE"""),0.0)</f>
        <v>0</v>
      </c>
      <c r="BT173" s="22">
        <f>IFERROR(__xludf.DUMMYFUNCTION("""COMPUTED_VALUE"""),0.0)</f>
        <v>0</v>
      </c>
      <c r="BU173" s="22">
        <f>IFERROR(__xludf.DUMMYFUNCTION("""COMPUTED_VALUE"""),1.0)</f>
        <v>1</v>
      </c>
      <c r="BV173" s="22">
        <f>IFERROR(__xludf.DUMMYFUNCTION("""COMPUTED_VALUE"""),0.0)</f>
        <v>0</v>
      </c>
      <c r="BW173" s="22">
        <f>IFERROR(__xludf.DUMMYFUNCTION("""COMPUTED_VALUE"""),1.0)</f>
        <v>1</v>
      </c>
      <c r="BX173" s="22">
        <f>IFERROR(__xludf.DUMMYFUNCTION("""COMPUTED_VALUE"""),1.0)</f>
        <v>1</v>
      </c>
      <c r="BY173" s="22">
        <f>IFERROR(__xludf.DUMMYFUNCTION("""COMPUTED_VALUE"""),0.0)</f>
        <v>0</v>
      </c>
      <c r="BZ173" s="22">
        <f>IFERROR(__xludf.DUMMYFUNCTION("""COMPUTED_VALUE"""),0.0)</f>
        <v>0</v>
      </c>
      <c r="CA173" s="22">
        <f>IFERROR(__xludf.DUMMYFUNCTION("""COMPUTED_VALUE"""),2.0)</f>
        <v>2</v>
      </c>
      <c r="CB173" s="22">
        <f>IFERROR(__xludf.DUMMYFUNCTION("""COMPUTED_VALUE"""),3.0)</f>
        <v>3</v>
      </c>
      <c r="CC173" s="61">
        <f>IFERROR(__xludf.DUMMYFUNCTION("""COMPUTED_VALUE"""),1.875)</f>
        <v>1.875</v>
      </c>
      <c r="CD173" s="62" t="str">
        <f>IFERROR(__xludf.DUMMYFUNCTION("""COMPUTED_VALUE"""),"subpar")</f>
        <v>subpar</v>
      </c>
      <c r="CE173" s="22" t="s">
        <v>190</v>
      </c>
      <c r="CF173" s="24">
        <v>15.0</v>
      </c>
      <c r="CG173" s="22" t="b">
        <v>0</v>
      </c>
      <c r="CH173" s="22" t="b">
        <v>1</v>
      </c>
      <c r="CI173" s="24">
        <v>15.0</v>
      </c>
      <c r="CJ173" s="22">
        <v>0.0</v>
      </c>
      <c r="CK173" s="22">
        <v>1.0</v>
      </c>
      <c r="CL173" s="22">
        <v>0.0</v>
      </c>
      <c r="CM173" s="22">
        <v>0.0</v>
      </c>
      <c r="CN173" s="22">
        <v>0.0</v>
      </c>
      <c r="CO173" s="22">
        <v>0.0</v>
      </c>
      <c r="CP173" s="22">
        <v>0.0</v>
      </c>
      <c r="CQ173" s="22">
        <v>0.0</v>
      </c>
      <c r="CR173" s="22">
        <v>1.0</v>
      </c>
      <c r="CS173" s="22">
        <v>0.0</v>
      </c>
      <c r="CT173" s="22">
        <v>1.0</v>
      </c>
      <c r="CU173" s="22">
        <v>1.0</v>
      </c>
      <c r="CV173" s="22">
        <v>0.0</v>
      </c>
      <c r="CW173" s="22">
        <v>0.0</v>
      </c>
      <c r="CX173" s="22">
        <v>2.0</v>
      </c>
      <c r="CY173" s="22">
        <v>3.0</v>
      </c>
      <c r="CZ173" s="61">
        <v>1.875</v>
      </c>
      <c r="DA173" s="62" t="s">
        <v>568</v>
      </c>
    </row>
    <row r="174">
      <c r="A174" s="16" t="s">
        <v>378</v>
      </c>
      <c r="B174" s="16" t="s">
        <v>379</v>
      </c>
      <c r="C174" s="39" t="s">
        <v>45</v>
      </c>
      <c r="D174" s="16" t="s">
        <v>4</v>
      </c>
      <c r="E174" s="17" t="b">
        <f t="shared" ref="E174:K174" si="871">If(IFERROR(SEARCH(E$1, $D174),0) &gt;= 1, true,false)</f>
        <v>1</v>
      </c>
      <c r="F174" s="17" t="b">
        <f t="shared" si="871"/>
        <v>0</v>
      </c>
      <c r="G174" s="17" t="b">
        <f t="shared" si="871"/>
        <v>0</v>
      </c>
      <c r="H174" s="17" t="b">
        <f t="shared" si="871"/>
        <v>0</v>
      </c>
      <c r="I174" s="17" t="b">
        <f t="shared" si="871"/>
        <v>0</v>
      </c>
      <c r="J174" s="17" t="b">
        <f t="shared" si="871"/>
        <v>0</v>
      </c>
      <c r="K174" s="17" t="b">
        <f t="shared" si="871"/>
        <v>0</v>
      </c>
      <c r="L174" s="18" t="b">
        <v>1</v>
      </c>
      <c r="M174" s="18" t="b">
        <v>0</v>
      </c>
      <c r="N174" s="18" t="b">
        <v>0</v>
      </c>
      <c r="O174" s="18" t="b">
        <v>0</v>
      </c>
      <c r="P174" s="16" t="str">
        <f t="shared" si="7"/>
        <v>Museum voor militaire geschiedenis</v>
      </c>
      <c r="Q174" s="19">
        <v>4.0</v>
      </c>
      <c r="R174" s="18" t="b">
        <v>0</v>
      </c>
      <c r="S174" s="18" t="b">
        <v>1</v>
      </c>
      <c r="T174" s="27">
        <v>4.0</v>
      </c>
      <c r="U174" s="21">
        <f t="shared" si="8"/>
        <v>0</v>
      </c>
      <c r="V174" s="21">
        <f t="shared" ref="V174:AB174" si="872">if(OR(AW174 = $AO$4, AW174 = $AQ$4), 1, 0)</f>
        <v>1</v>
      </c>
      <c r="W174" s="21">
        <f t="shared" si="872"/>
        <v>0</v>
      </c>
      <c r="X174" s="21">
        <f t="shared" si="872"/>
        <v>0</v>
      </c>
      <c r="Y174" s="21">
        <f t="shared" si="872"/>
        <v>0</v>
      </c>
      <c r="Z174" s="21">
        <f t="shared" si="872"/>
        <v>0</v>
      </c>
      <c r="AA174" s="21">
        <f t="shared" si="872"/>
        <v>0</v>
      </c>
      <c r="AB174" s="21">
        <f t="shared" si="872"/>
        <v>0</v>
      </c>
      <c r="AC174" s="21">
        <f t="shared" si="10"/>
        <v>1</v>
      </c>
      <c r="AD174" s="21">
        <f t="shared" si="11"/>
        <v>1</v>
      </c>
      <c r="AE174" s="21">
        <f t="shared" ref="AE174:AH174" si="873">if(OR(BD174 = $AO$6, BD174 = $AS$6, BD174 = $AT$6, BD174 = $AU$6), 1, 0)</f>
        <v>1</v>
      </c>
      <c r="AF174" s="21">
        <f t="shared" si="873"/>
        <v>0</v>
      </c>
      <c r="AG174" s="21">
        <f t="shared" si="873"/>
        <v>0</v>
      </c>
      <c r="AH174" s="21">
        <f t="shared" si="873"/>
        <v>0</v>
      </c>
      <c r="AI174" s="21">
        <f t="shared" si="13"/>
        <v>1</v>
      </c>
      <c r="AJ174" s="21">
        <f t="shared" si="14"/>
        <v>3</v>
      </c>
      <c r="AK174" s="59">
        <f t="shared" si="15"/>
        <v>1.875</v>
      </c>
      <c r="AL174" s="60" t="str">
        <f t="shared" si="16"/>
        <v>subpar</v>
      </c>
      <c r="AW174" s="22" t="str">
        <f t="shared" ref="AW174:BC174" si="874">IF(IFERROR(SEARCH(E$1, $D174),0) &gt;= 1, E$1,0)</f>
        <v>Geschiedenis en archeologie</v>
      </c>
      <c r="AX174" s="22">
        <f t="shared" si="874"/>
        <v>0</v>
      </c>
      <c r="AY174" s="22">
        <f t="shared" si="874"/>
        <v>0</v>
      </c>
      <c r="AZ174" s="22">
        <f t="shared" si="874"/>
        <v>0</v>
      </c>
      <c r="BA174" s="22">
        <f t="shared" si="874"/>
        <v>0</v>
      </c>
      <c r="BB174" s="22">
        <f t="shared" si="874"/>
        <v>0</v>
      </c>
      <c r="BC174" s="22">
        <f t="shared" si="874"/>
        <v>0</v>
      </c>
      <c r="BD174" s="22" t="str">
        <f t="shared" ref="BD174:BG174" si="875">IF(L174 = true, BD$1, 0)</f>
        <v>Shop</v>
      </c>
      <c r="BE174" s="22">
        <f t="shared" si="875"/>
        <v>0</v>
      </c>
      <c r="BF174" s="22">
        <f t="shared" si="875"/>
        <v>0</v>
      </c>
      <c r="BG174" s="22">
        <f t="shared" si="875"/>
        <v>0</v>
      </c>
      <c r="BH174" s="22" t="str">
        <f>IFERROR(__xludf.DUMMYFUNCTION("""COMPUTED_VALUE"""),"Museum Plantin-Moretus")</f>
        <v>Museum Plantin-Moretus</v>
      </c>
      <c r="BI174" s="24">
        <f>IFERROR(__xludf.DUMMYFUNCTION("""COMPUTED_VALUE"""),12.0)</f>
        <v>12</v>
      </c>
      <c r="BJ174" s="22" t="b">
        <f>IFERROR(__xludf.DUMMYFUNCTION("""COMPUTED_VALUE"""),FALSE)</f>
        <v>0</v>
      </c>
      <c r="BK174" s="22" t="b">
        <f>IFERROR(__xludf.DUMMYFUNCTION("""COMPUTED_VALUE"""),TRUE)</f>
        <v>1</v>
      </c>
      <c r="BL174" s="24">
        <f>IFERROR(__xludf.DUMMYFUNCTION("""COMPUTED_VALUE"""),12.0)</f>
        <v>12</v>
      </c>
      <c r="BM174" s="22">
        <f>IFERROR(__xludf.DUMMYFUNCTION("""COMPUTED_VALUE"""),0.0)</f>
        <v>0</v>
      </c>
      <c r="BN174" s="22">
        <f>IFERROR(__xludf.DUMMYFUNCTION("""COMPUTED_VALUE"""),1.0)</f>
        <v>1</v>
      </c>
      <c r="BO174" s="22">
        <f>IFERROR(__xludf.DUMMYFUNCTION("""COMPUTED_VALUE"""),0.0)</f>
        <v>0</v>
      </c>
      <c r="BP174" s="22">
        <f>IFERROR(__xludf.DUMMYFUNCTION("""COMPUTED_VALUE"""),0.0)</f>
        <v>0</v>
      </c>
      <c r="BQ174" s="22">
        <f>IFERROR(__xludf.DUMMYFUNCTION("""COMPUTED_VALUE"""),0.0)</f>
        <v>0</v>
      </c>
      <c r="BR174" s="22">
        <f>IFERROR(__xludf.DUMMYFUNCTION("""COMPUTED_VALUE"""),0.0)</f>
        <v>0</v>
      </c>
      <c r="BS174" s="22">
        <f>IFERROR(__xludf.DUMMYFUNCTION("""COMPUTED_VALUE"""),1.0)</f>
        <v>1</v>
      </c>
      <c r="BT174" s="22">
        <f>IFERROR(__xludf.DUMMYFUNCTION("""COMPUTED_VALUE"""),0.0)</f>
        <v>0</v>
      </c>
      <c r="BU174" s="22">
        <f>IFERROR(__xludf.DUMMYFUNCTION("""COMPUTED_VALUE"""),2.0)</f>
        <v>2</v>
      </c>
      <c r="BV174" s="22">
        <f>IFERROR(__xludf.DUMMYFUNCTION("""COMPUTED_VALUE"""),0.0)</f>
        <v>0</v>
      </c>
      <c r="BW174" s="22">
        <f>IFERROR(__xludf.DUMMYFUNCTION("""COMPUTED_VALUE"""),1.0)</f>
        <v>1</v>
      </c>
      <c r="BX174" s="22">
        <f>IFERROR(__xludf.DUMMYFUNCTION("""COMPUTED_VALUE"""),0.0)</f>
        <v>0</v>
      </c>
      <c r="BY174" s="22">
        <f>IFERROR(__xludf.DUMMYFUNCTION("""COMPUTED_VALUE"""),0.0)</f>
        <v>0</v>
      </c>
      <c r="BZ174" s="22">
        <f>IFERROR(__xludf.DUMMYFUNCTION("""COMPUTED_VALUE"""),0.0)</f>
        <v>0</v>
      </c>
      <c r="CA174" s="22">
        <f>IFERROR(__xludf.DUMMYFUNCTION("""COMPUTED_VALUE"""),1.0)</f>
        <v>1</v>
      </c>
      <c r="CB174" s="22">
        <f>IFERROR(__xludf.DUMMYFUNCTION("""COMPUTED_VALUE"""),3.0)</f>
        <v>3</v>
      </c>
      <c r="CC174" s="61">
        <f>IFERROR(__xludf.DUMMYFUNCTION("""COMPUTED_VALUE"""),1.875)</f>
        <v>1.875</v>
      </c>
      <c r="CD174" s="62" t="str">
        <f>IFERROR(__xludf.DUMMYFUNCTION("""COMPUTED_VALUE"""),"subpar")</f>
        <v>subpar</v>
      </c>
      <c r="CE174" s="22" t="s">
        <v>193</v>
      </c>
      <c r="CF174" s="24">
        <v>12.0</v>
      </c>
      <c r="CG174" s="22" t="b">
        <v>0</v>
      </c>
      <c r="CH174" s="22" t="b">
        <v>1</v>
      </c>
      <c r="CI174" s="24">
        <v>12.0</v>
      </c>
      <c r="CJ174" s="22">
        <v>0.0</v>
      </c>
      <c r="CK174" s="22">
        <v>1.0</v>
      </c>
      <c r="CL174" s="22">
        <v>0.0</v>
      </c>
      <c r="CM174" s="22">
        <v>0.0</v>
      </c>
      <c r="CN174" s="22">
        <v>0.0</v>
      </c>
      <c r="CO174" s="22">
        <v>0.0</v>
      </c>
      <c r="CP174" s="22">
        <v>1.0</v>
      </c>
      <c r="CQ174" s="22">
        <v>0.0</v>
      </c>
      <c r="CR174" s="22">
        <v>2.0</v>
      </c>
      <c r="CS174" s="22">
        <v>0.0</v>
      </c>
      <c r="CT174" s="22">
        <v>1.0</v>
      </c>
      <c r="CU174" s="22">
        <v>0.0</v>
      </c>
      <c r="CV174" s="22">
        <v>0.0</v>
      </c>
      <c r="CW174" s="22">
        <v>0.0</v>
      </c>
      <c r="CX174" s="22">
        <v>1.0</v>
      </c>
      <c r="CY174" s="22">
        <v>3.0</v>
      </c>
      <c r="CZ174" s="61">
        <v>1.875</v>
      </c>
      <c r="DA174" s="62" t="s">
        <v>568</v>
      </c>
    </row>
    <row r="175">
      <c r="A175" s="16" t="s">
        <v>380</v>
      </c>
      <c r="B175" s="16" t="s">
        <v>381</v>
      </c>
      <c r="C175" s="39" t="s">
        <v>45</v>
      </c>
      <c r="D175" s="16" t="s">
        <v>360</v>
      </c>
      <c r="E175" s="17" t="b">
        <f t="shared" ref="E175:K175" si="876">If(IFERROR(SEARCH(E$1, $D175),0) &gt;= 1, true,false)</f>
        <v>0</v>
      </c>
      <c r="F175" s="17" t="b">
        <f t="shared" si="876"/>
        <v>1</v>
      </c>
      <c r="G175" s="17" t="b">
        <f t="shared" si="876"/>
        <v>0</v>
      </c>
      <c r="H175" s="17" t="b">
        <f t="shared" si="876"/>
        <v>0</v>
      </c>
      <c r="I175" s="17" t="b">
        <f t="shared" si="876"/>
        <v>0</v>
      </c>
      <c r="J175" s="17" t="b">
        <f t="shared" si="876"/>
        <v>0</v>
      </c>
      <c r="K175" s="17" t="b">
        <f t="shared" si="876"/>
        <v>0</v>
      </c>
      <c r="L175" s="18" t="b">
        <v>1</v>
      </c>
      <c r="M175" s="18" t="b">
        <v>1</v>
      </c>
      <c r="N175" s="18" t="b">
        <v>0</v>
      </c>
      <c r="O175" s="18" t="b">
        <v>0</v>
      </c>
      <c r="P175" s="16" t="str">
        <f t="shared" si="7"/>
        <v>Natuurhistorisch Museum en Vivarium</v>
      </c>
      <c r="Q175" s="19">
        <v>4.0</v>
      </c>
      <c r="R175" s="18" t="b">
        <v>1</v>
      </c>
      <c r="S175" s="18" t="b">
        <v>1</v>
      </c>
      <c r="T175" s="27">
        <v>4.0</v>
      </c>
      <c r="U175" s="21">
        <f t="shared" si="8"/>
        <v>0</v>
      </c>
      <c r="V175" s="21">
        <f t="shared" ref="V175:AB175" si="877">if(OR(AW175 = $AO$4, AW175 = $AQ$4), 1, 0)</f>
        <v>0</v>
      </c>
      <c r="W175" s="21">
        <f t="shared" si="877"/>
        <v>0</v>
      </c>
      <c r="X175" s="21">
        <f t="shared" si="877"/>
        <v>0</v>
      </c>
      <c r="Y175" s="21">
        <f t="shared" si="877"/>
        <v>0</v>
      </c>
      <c r="Z175" s="21">
        <f t="shared" si="877"/>
        <v>0</v>
      </c>
      <c r="AA175" s="21">
        <f t="shared" si="877"/>
        <v>0</v>
      </c>
      <c r="AB175" s="21">
        <f t="shared" si="877"/>
        <v>0</v>
      </c>
      <c r="AC175" s="21">
        <f t="shared" si="10"/>
        <v>0</v>
      </c>
      <c r="AD175" s="21">
        <f t="shared" si="11"/>
        <v>1</v>
      </c>
      <c r="AE175" s="21">
        <f t="shared" ref="AE175:AH175" si="878">if(OR(BD175 = $AO$6, BD175 = $AS$6, BD175 = $AT$6, BD175 = $AU$6), 1, 0)</f>
        <v>1</v>
      </c>
      <c r="AF175" s="21">
        <f t="shared" si="878"/>
        <v>1</v>
      </c>
      <c r="AG175" s="21">
        <f t="shared" si="878"/>
        <v>0</v>
      </c>
      <c r="AH175" s="21">
        <f t="shared" si="878"/>
        <v>0</v>
      </c>
      <c r="AI175" s="21">
        <f t="shared" si="13"/>
        <v>2</v>
      </c>
      <c r="AJ175" s="21">
        <f t="shared" si="14"/>
        <v>3</v>
      </c>
      <c r="AK175" s="59">
        <f t="shared" si="15"/>
        <v>1.875</v>
      </c>
      <c r="AL175" s="60" t="str">
        <f t="shared" si="16"/>
        <v>subpar</v>
      </c>
      <c r="AW175" s="22">
        <f t="shared" ref="AW175:BC175" si="879">IF(IFERROR(SEARCH(E$1, $D175),0) &gt;= 1, E$1,0)</f>
        <v>0</v>
      </c>
      <c r="AX175" s="22" t="str">
        <f t="shared" si="879"/>
        <v>Wetenschap en technologie</v>
      </c>
      <c r="AY175" s="22">
        <f t="shared" si="879"/>
        <v>0</v>
      </c>
      <c r="AZ175" s="22">
        <f t="shared" si="879"/>
        <v>0</v>
      </c>
      <c r="BA175" s="22">
        <f t="shared" si="879"/>
        <v>0</v>
      </c>
      <c r="BB175" s="22">
        <f t="shared" si="879"/>
        <v>0</v>
      </c>
      <c r="BC175" s="22">
        <f t="shared" si="879"/>
        <v>0</v>
      </c>
      <c r="BD175" s="22" t="str">
        <f t="shared" ref="BD175:BG175" si="880">IF(L175 = true, BD$1, 0)</f>
        <v>Shop</v>
      </c>
      <c r="BE175" s="22" t="str">
        <f t="shared" si="880"/>
        <v>Café</v>
      </c>
      <c r="BF175" s="22">
        <f t="shared" si="880"/>
        <v>0</v>
      </c>
      <c r="BG175" s="22">
        <f t="shared" si="880"/>
        <v>0</v>
      </c>
      <c r="BH175" s="22" t="str">
        <f>IFERROR(__xludf.DUMMYFUNCTION("""COMPUTED_VALUE"""),"Rubenshuis")</f>
        <v>Rubenshuis</v>
      </c>
      <c r="BI175" s="24">
        <f>IFERROR(__xludf.DUMMYFUNCTION("""COMPUTED_VALUE"""),12.0)</f>
        <v>12</v>
      </c>
      <c r="BJ175" s="22" t="b">
        <f>IFERROR(__xludf.DUMMYFUNCTION("""COMPUTED_VALUE"""),FALSE)</f>
        <v>0</v>
      </c>
      <c r="BK175" s="22" t="b">
        <f>IFERROR(__xludf.DUMMYFUNCTION("""COMPUTED_VALUE"""),TRUE)</f>
        <v>1</v>
      </c>
      <c r="BL175" s="24">
        <f>IFERROR(__xludf.DUMMYFUNCTION("""COMPUTED_VALUE"""),12.0)</f>
        <v>12</v>
      </c>
      <c r="BM175" s="22">
        <f>IFERROR(__xludf.DUMMYFUNCTION("""COMPUTED_VALUE"""),0.0)</f>
        <v>0</v>
      </c>
      <c r="BN175" s="22">
        <f>IFERROR(__xludf.DUMMYFUNCTION("""COMPUTED_VALUE"""),1.0)</f>
        <v>1</v>
      </c>
      <c r="BO175" s="22">
        <f>IFERROR(__xludf.DUMMYFUNCTION("""COMPUTED_VALUE"""),0.0)</f>
        <v>0</v>
      </c>
      <c r="BP175" s="22">
        <f>IFERROR(__xludf.DUMMYFUNCTION("""COMPUTED_VALUE"""),0.0)</f>
        <v>0</v>
      </c>
      <c r="BQ175" s="22">
        <f>IFERROR(__xludf.DUMMYFUNCTION("""COMPUTED_VALUE"""),0.0)</f>
        <v>0</v>
      </c>
      <c r="BR175" s="22">
        <f>IFERROR(__xludf.DUMMYFUNCTION("""COMPUTED_VALUE"""),0.0)</f>
        <v>0</v>
      </c>
      <c r="BS175" s="22">
        <f>IFERROR(__xludf.DUMMYFUNCTION("""COMPUTED_VALUE"""),1.0)</f>
        <v>1</v>
      </c>
      <c r="BT175" s="22">
        <f>IFERROR(__xludf.DUMMYFUNCTION("""COMPUTED_VALUE"""),0.0)</f>
        <v>0</v>
      </c>
      <c r="BU175" s="22">
        <f>IFERROR(__xludf.DUMMYFUNCTION("""COMPUTED_VALUE"""),2.0)</f>
        <v>2</v>
      </c>
      <c r="BV175" s="22">
        <f>IFERROR(__xludf.DUMMYFUNCTION("""COMPUTED_VALUE"""),0.0)</f>
        <v>0</v>
      </c>
      <c r="BW175" s="22">
        <f>IFERROR(__xludf.DUMMYFUNCTION("""COMPUTED_VALUE"""),1.0)</f>
        <v>1</v>
      </c>
      <c r="BX175" s="22">
        <f>IFERROR(__xludf.DUMMYFUNCTION("""COMPUTED_VALUE"""),0.0)</f>
        <v>0</v>
      </c>
      <c r="BY175" s="22">
        <f>IFERROR(__xludf.DUMMYFUNCTION("""COMPUTED_VALUE"""),0.0)</f>
        <v>0</v>
      </c>
      <c r="BZ175" s="22">
        <f>IFERROR(__xludf.DUMMYFUNCTION("""COMPUTED_VALUE"""),0.0)</f>
        <v>0</v>
      </c>
      <c r="CA175" s="22">
        <f>IFERROR(__xludf.DUMMYFUNCTION("""COMPUTED_VALUE"""),1.0)</f>
        <v>1</v>
      </c>
      <c r="CB175" s="22">
        <f>IFERROR(__xludf.DUMMYFUNCTION("""COMPUTED_VALUE"""),3.0)</f>
        <v>3</v>
      </c>
      <c r="CC175" s="61">
        <f>IFERROR(__xludf.DUMMYFUNCTION("""COMPUTED_VALUE"""),1.875)</f>
        <v>1.875</v>
      </c>
      <c r="CD175" s="62" t="str">
        <f>IFERROR(__xludf.DUMMYFUNCTION("""COMPUTED_VALUE"""),"subpar")</f>
        <v>subpar</v>
      </c>
      <c r="CE175" s="22" t="s">
        <v>203</v>
      </c>
      <c r="CF175" s="24">
        <v>12.0</v>
      </c>
      <c r="CG175" s="22" t="b">
        <v>0</v>
      </c>
      <c r="CH175" s="22" t="b">
        <v>1</v>
      </c>
      <c r="CI175" s="24">
        <v>12.0</v>
      </c>
      <c r="CJ175" s="22">
        <v>0.0</v>
      </c>
      <c r="CK175" s="22">
        <v>1.0</v>
      </c>
      <c r="CL175" s="22">
        <v>0.0</v>
      </c>
      <c r="CM175" s="22">
        <v>0.0</v>
      </c>
      <c r="CN175" s="22">
        <v>0.0</v>
      </c>
      <c r="CO175" s="22">
        <v>0.0</v>
      </c>
      <c r="CP175" s="22">
        <v>1.0</v>
      </c>
      <c r="CQ175" s="22">
        <v>0.0</v>
      </c>
      <c r="CR175" s="22">
        <v>2.0</v>
      </c>
      <c r="CS175" s="22">
        <v>0.0</v>
      </c>
      <c r="CT175" s="22">
        <v>1.0</v>
      </c>
      <c r="CU175" s="22">
        <v>0.0</v>
      </c>
      <c r="CV175" s="22">
        <v>0.0</v>
      </c>
      <c r="CW175" s="22">
        <v>0.0</v>
      </c>
      <c r="CX175" s="22">
        <v>1.0</v>
      </c>
      <c r="CY175" s="22">
        <v>3.0</v>
      </c>
      <c r="CZ175" s="61">
        <v>1.875</v>
      </c>
      <c r="DA175" s="62" t="s">
        <v>568</v>
      </c>
    </row>
    <row r="176">
      <c r="A176" s="16" t="s">
        <v>382</v>
      </c>
      <c r="B176" s="16" t="s">
        <v>383</v>
      </c>
      <c r="C176" s="39" t="s">
        <v>45</v>
      </c>
      <c r="D176" s="16" t="s">
        <v>4</v>
      </c>
      <c r="E176" s="17" t="b">
        <f t="shared" ref="E176:K176" si="881">If(IFERROR(SEARCH(E$1, $D176),0) &gt;= 1, true,false)</f>
        <v>1</v>
      </c>
      <c r="F176" s="17" t="b">
        <f t="shared" si="881"/>
        <v>0</v>
      </c>
      <c r="G176" s="17" t="b">
        <f t="shared" si="881"/>
        <v>0</v>
      </c>
      <c r="H176" s="17" t="b">
        <f t="shared" si="881"/>
        <v>0</v>
      </c>
      <c r="I176" s="17" t="b">
        <f t="shared" si="881"/>
        <v>0</v>
      </c>
      <c r="J176" s="17" t="b">
        <f t="shared" si="881"/>
        <v>0</v>
      </c>
      <c r="K176" s="17" t="b">
        <f t="shared" si="881"/>
        <v>0</v>
      </c>
      <c r="L176" s="18" t="b">
        <v>1</v>
      </c>
      <c r="M176" s="18" t="b">
        <v>0</v>
      </c>
      <c r="N176" s="18" t="b">
        <v>0</v>
      </c>
      <c r="O176" s="18" t="b">
        <v>0</v>
      </c>
      <c r="P176" s="16" t="str">
        <f t="shared" si="7"/>
        <v>Doudoumuseum</v>
      </c>
      <c r="Q176" s="19">
        <v>9.0</v>
      </c>
      <c r="R176" s="18" t="b">
        <v>0</v>
      </c>
      <c r="S176" s="18" t="b">
        <v>0</v>
      </c>
      <c r="T176" s="16"/>
      <c r="U176" s="21">
        <f t="shared" si="8"/>
        <v>0</v>
      </c>
      <c r="V176" s="21">
        <f t="shared" ref="V176:AB176" si="882">if(OR(AW176 = $AO$4, AW176 = $AQ$4), 1, 0)</f>
        <v>1</v>
      </c>
      <c r="W176" s="21">
        <f t="shared" si="882"/>
        <v>0</v>
      </c>
      <c r="X176" s="21">
        <f t="shared" si="882"/>
        <v>0</v>
      </c>
      <c r="Y176" s="21">
        <f t="shared" si="882"/>
        <v>0</v>
      </c>
      <c r="Z176" s="21">
        <f t="shared" si="882"/>
        <v>0</v>
      </c>
      <c r="AA176" s="21">
        <f t="shared" si="882"/>
        <v>0</v>
      </c>
      <c r="AB176" s="21">
        <f t="shared" si="882"/>
        <v>0</v>
      </c>
      <c r="AC176" s="21">
        <f t="shared" si="10"/>
        <v>1</v>
      </c>
      <c r="AD176" s="21">
        <f t="shared" si="11"/>
        <v>1</v>
      </c>
      <c r="AE176" s="21">
        <f t="shared" ref="AE176:AH176" si="883">if(OR(BD176 = $AO$6, BD176 = $AS$6, BD176 = $AT$6, BD176 = $AU$6), 1, 0)</f>
        <v>1</v>
      </c>
      <c r="AF176" s="21">
        <f t="shared" si="883"/>
        <v>0</v>
      </c>
      <c r="AG176" s="21">
        <f t="shared" si="883"/>
        <v>0</v>
      </c>
      <c r="AH176" s="21">
        <f t="shared" si="883"/>
        <v>0</v>
      </c>
      <c r="AI176" s="21">
        <f t="shared" si="13"/>
        <v>1</v>
      </c>
      <c r="AJ176" s="21">
        <f t="shared" si="14"/>
        <v>3</v>
      </c>
      <c r="AK176" s="59">
        <f t="shared" si="15"/>
        <v>1.875</v>
      </c>
      <c r="AL176" s="60" t="str">
        <f t="shared" si="16"/>
        <v>subpar</v>
      </c>
      <c r="AW176" s="22" t="str">
        <f t="shared" ref="AW176:BC176" si="884">IF(IFERROR(SEARCH(E$1, $D176),0) &gt;= 1, E$1,0)</f>
        <v>Geschiedenis en archeologie</v>
      </c>
      <c r="AX176" s="22">
        <f t="shared" si="884"/>
        <v>0</v>
      </c>
      <c r="AY176" s="22">
        <f t="shared" si="884"/>
        <v>0</v>
      </c>
      <c r="AZ176" s="22">
        <f t="shared" si="884"/>
        <v>0</v>
      </c>
      <c r="BA176" s="22">
        <f t="shared" si="884"/>
        <v>0</v>
      </c>
      <c r="BB176" s="22">
        <f t="shared" si="884"/>
        <v>0</v>
      </c>
      <c r="BC176" s="22">
        <f t="shared" si="884"/>
        <v>0</v>
      </c>
      <c r="BD176" s="22" t="str">
        <f t="shared" ref="BD176:BG176" si="885">IF(L176 = true, BD$1, 0)</f>
        <v>Shop</v>
      </c>
      <c r="BE176" s="22">
        <f t="shared" si="885"/>
        <v>0</v>
      </c>
      <c r="BF176" s="22">
        <f t="shared" si="885"/>
        <v>0</v>
      </c>
      <c r="BG176" s="22">
        <f t="shared" si="885"/>
        <v>0</v>
      </c>
      <c r="BH176" s="22" t="str">
        <f>IFERROR(__xludf.DUMMYFUNCTION("""COMPUTED_VALUE"""),"Het steen, The Antwerp Story")</f>
        <v>Het steen, The Antwerp Story</v>
      </c>
      <c r="BI176" s="24">
        <f>IFERROR(__xludf.DUMMYFUNCTION("""COMPUTED_VALUE"""),7.0)</f>
        <v>7</v>
      </c>
      <c r="BJ176" s="22" t="b">
        <f>IFERROR(__xludf.DUMMYFUNCTION("""COMPUTED_VALUE"""),FALSE)</f>
        <v>0</v>
      </c>
      <c r="BK176" s="22" t="b">
        <f>IFERROR(__xludf.DUMMYFUNCTION("""COMPUTED_VALUE"""),TRUE)</f>
        <v>1</v>
      </c>
      <c r="BL176" s="24">
        <f>IFERROR(__xludf.DUMMYFUNCTION("""COMPUTED_VALUE"""),7.0)</f>
        <v>7</v>
      </c>
      <c r="BM176" s="22">
        <f>IFERROR(__xludf.DUMMYFUNCTION("""COMPUTED_VALUE"""),0.0)</f>
        <v>0</v>
      </c>
      <c r="BN176" s="22">
        <f>IFERROR(__xludf.DUMMYFUNCTION("""COMPUTED_VALUE"""),1.0)</f>
        <v>1</v>
      </c>
      <c r="BO176" s="22">
        <f>IFERROR(__xludf.DUMMYFUNCTION("""COMPUTED_VALUE"""),0.0)</f>
        <v>0</v>
      </c>
      <c r="BP176" s="22">
        <f>IFERROR(__xludf.DUMMYFUNCTION("""COMPUTED_VALUE"""),0.0)</f>
        <v>0</v>
      </c>
      <c r="BQ176" s="22">
        <f>IFERROR(__xludf.DUMMYFUNCTION("""COMPUTED_VALUE"""),0.0)</f>
        <v>0</v>
      </c>
      <c r="BR176" s="22">
        <f>IFERROR(__xludf.DUMMYFUNCTION("""COMPUTED_VALUE"""),0.0)</f>
        <v>0</v>
      </c>
      <c r="BS176" s="22">
        <f>IFERROR(__xludf.DUMMYFUNCTION("""COMPUTED_VALUE"""),0.0)</f>
        <v>0</v>
      </c>
      <c r="BT176" s="22">
        <f>IFERROR(__xludf.DUMMYFUNCTION("""COMPUTED_VALUE"""),0.0)</f>
        <v>0</v>
      </c>
      <c r="BU176" s="22">
        <f>IFERROR(__xludf.DUMMYFUNCTION("""COMPUTED_VALUE"""),1.0)</f>
        <v>1</v>
      </c>
      <c r="BV176" s="22">
        <f>IFERROR(__xludf.DUMMYFUNCTION("""COMPUTED_VALUE"""),1.0)</f>
        <v>1</v>
      </c>
      <c r="BW176" s="22">
        <f>IFERROR(__xludf.DUMMYFUNCTION("""COMPUTED_VALUE"""),1.0)</f>
        <v>1</v>
      </c>
      <c r="BX176" s="22">
        <f>IFERROR(__xludf.DUMMYFUNCTION("""COMPUTED_VALUE"""),0.0)</f>
        <v>0</v>
      </c>
      <c r="BY176" s="22">
        <f>IFERROR(__xludf.DUMMYFUNCTION("""COMPUTED_VALUE"""),0.0)</f>
        <v>0</v>
      </c>
      <c r="BZ176" s="22">
        <f>IFERROR(__xludf.DUMMYFUNCTION("""COMPUTED_VALUE"""),0.0)</f>
        <v>0</v>
      </c>
      <c r="CA176" s="22">
        <f>IFERROR(__xludf.DUMMYFUNCTION("""COMPUTED_VALUE"""),1.0)</f>
        <v>1</v>
      </c>
      <c r="CB176" s="22">
        <f>IFERROR(__xludf.DUMMYFUNCTION("""COMPUTED_VALUE"""),3.0)</f>
        <v>3</v>
      </c>
      <c r="CC176" s="61">
        <f>IFERROR(__xludf.DUMMYFUNCTION("""COMPUTED_VALUE"""),1.875)</f>
        <v>1.875</v>
      </c>
      <c r="CD176" s="62" t="str">
        <f>IFERROR(__xludf.DUMMYFUNCTION("""COMPUTED_VALUE"""),"subpar")</f>
        <v>subpar</v>
      </c>
      <c r="CE176" s="22" t="s">
        <v>219</v>
      </c>
      <c r="CF176" s="24">
        <v>7.0</v>
      </c>
      <c r="CG176" s="22" t="b">
        <v>0</v>
      </c>
      <c r="CH176" s="22" t="b">
        <v>1</v>
      </c>
      <c r="CI176" s="24">
        <v>7.0</v>
      </c>
      <c r="CJ176" s="22">
        <v>0.0</v>
      </c>
      <c r="CK176" s="22">
        <v>1.0</v>
      </c>
      <c r="CL176" s="22">
        <v>0.0</v>
      </c>
      <c r="CM176" s="22">
        <v>0.0</v>
      </c>
      <c r="CN176" s="22">
        <v>0.0</v>
      </c>
      <c r="CO176" s="22">
        <v>0.0</v>
      </c>
      <c r="CP176" s="22">
        <v>0.0</v>
      </c>
      <c r="CQ176" s="22">
        <v>0.0</v>
      </c>
      <c r="CR176" s="22">
        <v>1.0</v>
      </c>
      <c r="CS176" s="22">
        <v>1.0</v>
      </c>
      <c r="CT176" s="22">
        <v>1.0</v>
      </c>
      <c r="CU176" s="22">
        <v>0.0</v>
      </c>
      <c r="CV176" s="22">
        <v>0.0</v>
      </c>
      <c r="CW176" s="22">
        <v>0.0</v>
      </c>
      <c r="CX176" s="22">
        <v>1.0</v>
      </c>
      <c r="CY176" s="22">
        <v>3.0</v>
      </c>
      <c r="CZ176" s="61">
        <v>1.875</v>
      </c>
      <c r="DA176" s="62" t="s">
        <v>568</v>
      </c>
    </row>
    <row r="177">
      <c r="A177" s="16" t="s">
        <v>384</v>
      </c>
      <c r="B177" s="16" t="s">
        <v>385</v>
      </c>
      <c r="C177" s="39" t="s">
        <v>45</v>
      </c>
      <c r="D177" s="16" t="s">
        <v>344</v>
      </c>
      <c r="E177" s="17" t="b">
        <f t="shared" ref="E177:K177" si="886">If(IFERROR(SEARCH(E$1, $D177),0) &gt;= 1, true,false)</f>
        <v>1</v>
      </c>
      <c r="F177" s="17" t="b">
        <f t="shared" si="886"/>
        <v>0</v>
      </c>
      <c r="G177" s="17" t="b">
        <f t="shared" si="886"/>
        <v>0</v>
      </c>
      <c r="H177" s="17" t="b">
        <f t="shared" si="886"/>
        <v>0</v>
      </c>
      <c r="I177" s="17" t="b">
        <f t="shared" si="886"/>
        <v>0</v>
      </c>
      <c r="J177" s="17" t="b">
        <f t="shared" si="886"/>
        <v>0</v>
      </c>
      <c r="K177" s="17" t="b">
        <f t="shared" si="886"/>
        <v>0</v>
      </c>
      <c r="L177" s="18" t="b">
        <v>1</v>
      </c>
      <c r="M177" s="18" t="b">
        <v>1</v>
      </c>
      <c r="N177" s="18" t="b">
        <v>1</v>
      </c>
      <c r="O177" s="18" t="b">
        <v>1</v>
      </c>
      <c r="P177" s="16" t="str">
        <f t="shared" si="7"/>
        <v>Internationaal Museum van het Carnaval en het Masker</v>
      </c>
      <c r="Q177" s="19">
        <v>8.0</v>
      </c>
      <c r="R177" s="18" t="b">
        <v>0</v>
      </c>
      <c r="S177" s="18" t="b">
        <v>1</v>
      </c>
      <c r="T177" s="30">
        <v>8.0</v>
      </c>
      <c r="U177" s="21">
        <f t="shared" si="8"/>
        <v>0</v>
      </c>
      <c r="V177" s="21">
        <f t="shared" ref="V177:AB177" si="887">if(OR(AW177 = $AO$4, AW177 = $AQ$4), 1, 0)</f>
        <v>1</v>
      </c>
      <c r="W177" s="21">
        <f t="shared" si="887"/>
        <v>0</v>
      </c>
      <c r="X177" s="21">
        <f t="shared" si="887"/>
        <v>0</v>
      </c>
      <c r="Y177" s="21">
        <f t="shared" si="887"/>
        <v>0</v>
      </c>
      <c r="Z177" s="21">
        <f t="shared" si="887"/>
        <v>0</v>
      </c>
      <c r="AA177" s="21">
        <f t="shared" si="887"/>
        <v>0</v>
      </c>
      <c r="AB177" s="21">
        <f t="shared" si="887"/>
        <v>0</v>
      </c>
      <c r="AC177" s="21">
        <f t="shared" si="10"/>
        <v>1</v>
      </c>
      <c r="AD177" s="21">
        <f t="shared" si="11"/>
        <v>1</v>
      </c>
      <c r="AE177" s="21">
        <f t="shared" ref="AE177:AH177" si="888">if(OR(BD177 = $AO$6, BD177 = $AS$6, BD177 = $AT$6, BD177 = $AU$6), 1, 0)</f>
        <v>1</v>
      </c>
      <c r="AF177" s="21">
        <f t="shared" si="888"/>
        <v>1</v>
      </c>
      <c r="AG177" s="21">
        <f t="shared" si="888"/>
        <v>1</v>
      </c>
      <c r="AH177" s="21">
        <f t="shared" si="888"/>
        <v>1</v>
      </c>
      <c r="AI177" s="21">
        <f t="shared" si="13"/>
        <v>4</v>
      </c>
      <c r="AJ177" s="21">
        <f t="shared" si="14"/>
        <v>6</v>
      </c>
      <c r="AK177" s="59">
        <f t="shared" si="15"/>
        <v>3.75</v>
      </c>
      <c r="AL177" s="60" t="str">
        <f t="shared" si="16"/>
        <v>good</v>
      </c>
      <c r="AW177" s="22" t="str">
        <f t="shared" ref="AW177:BC177" si="889">IF(IFERROR(SEARCH(E$1, $D177),0) &gt;= 1, E$1,0)</f>
        <v>Geschiedenis en archeologie</v>
      </c>
      <c r="AX177" s="22">
        <f t="shared" si="889"/>
        <v>0</v>
      </c>
      <c r="AY177" s="22">
        <f t="shared" si="889"/>
        <v>0</v>
      </c>
      <c r="AZ177" s="22">
        <f t="shared" si="889"/>
        <v>0</v>
      </c>
      <c r="BA177" s="22">
        <f t="shared" si="889"/>
        <v>0</v>
      </c>
      <c r="BB177" s="22">
        <f t="shared" si="889"/>
        <v>0</v>
      </c>
      <c r="BC177" s="22">
        <f t="shared" si="889"/>
        <v>0</v>
      </c>
      <c r="BD177" s="22" t="str">
        <f t="shared" ref="BD177:BG177" si="890">IF(L177 = true, BD$1, 0)</f>
        <v>Shop</v>
      </c>
      <c r="BE177" s="22" t="str">
        <f t="shared" si="890"/>
        <v>Café</v>
      </c>
      <c r="BF177" s="22" t="str">
        <f t="shared" si="890"/>
        <v>Parking</v>
      </c>
      <c r="BG177" s="22" t="str">
        <f t="shared" si="890"/>
        <v>Restaurant</v>
      </c>
      <c r="BH177" s="22" t="str">
        <f>IFERROR(__xludf.DUMMYFUNCTION("""COMPUTED_VALUE"""),"Wellington Museum")</f>
        <v>Wellington Museum</v>
      </c>
      <c r="BI177" s="24">
        <f>IFERROR(__xludf.DUMMYFUNCTION("""COMPUTED_VALUE"""),10.0)</f>
        <v>10</v>
      </c>
      <c r="BJ177" s="22" t="b">
        <f>IFERROR(__xludf.DUMMYFUNCTION("""COMPUTED_VALUE"""),FALSE)</f>
        <v>0</v>
      </c>
      <c r="BK177" s="22" t="b">
        <f>IFERROR(__xludf.DUMMYFUNCTION("""COMPUTED_VALUE"""),TRUE)</f>
        <v>1</v>
      </c>
      <c r="BL177" s="24">
        <f>IFERROR(__xludf.DUMMYFUNCTION("""COMPUTED_VALUE"""),8.0)</f>
        <v>8</v>
      </c>
      <c r="BM177" s="22">
        <f>IFERROR(__xludf.DUMMYFUNCTION("""COMPUTED_VALUE"""),0.0)</f>
        <v>0</v>
      </c>
      <c r="BN177" s="22">
        <f>IFERROR(__xludf.DUMMYFUNCTION("""COMPUTED_VALUE"""),1.0)</f>
        <v>1</v>
      </c>
      <c r="BO177" s="22">
        <f>IFERROR(__xludf.DUMMYFUNCTION("""COMPUTED_VALUE"""),0.0)</f>
        <v>0</v>
      </c>
      <c r="BP177" s="22">
        <f>IFERROR(__xludf.DUMMYFUNCTION("""COMPUTED_VALUE"""),0.0)</f>
        <v>0</v>
      </c>
      <c r="BQ177" s="22">
        <f>IFERROR(__xludf.DUMMYFUNCTION("""COMPUTED_VALUE"""),0.0)</f>
        <v>0</v>
      </c>
      <c r="BR177" s="22">
        <f>IFERROR(__xludf.DUMMYFUNCTION("""COMPUTED_VALUE"""),0.0)</f>
        <v>0</v>
      </c>
      <c r="BS177" s="22">
        <f>IFERROR(__xludf.DUMMYFUNCTION("""COMPUTED_VALUE"""),0.0)</f>
        <v>0</v>
      </c>
      <c r="BT177" s="22">
        <f>IFERROR(__xludf.DUMMYFUNCTION("""COMPUTED_VALUE"""),0.0)</f>
        <v>0</v>
      </c>
      <c r="BU177" s="22">
        <f>IFERROR(__xludf.DUMMYFUNCTION("""COMPUTED_VALUE"""),1.0)</f>
        <v>1</v>
      </c>
      <c r="BV177" s="22">
        <f>IFERROR(__xludf.DUMMYFUNCTION("""COMPUTED_VALUE"""),1.0)</f>
        <v>1</v>
      </c>
      <c r="BW177" s="22">
        <f>IFERROR(__xludf.DUMMYFUNCTION("""COMPUTED_VALUE"""),1.0)</f>
        <v>1</v>
      </c>
      <c r="BX177" s="22">
        <f>IFERROR(__xludf.DUMMYFUNCTION("""COMPUTED_VALUE"""),0.0)</f>
        <v>0</v>
      </c>
      <c r="BY177" s="22">
        <f>IFERROR(__xludf.DUMMYFUNCTION("""COMPUTED_VALUE"""),0.0)</f>
        <v>0</v>
      </c>
      <c r="BZ177" s="22">
        <f>IFERROR(__xludf.DUMMYFUNCTION("""COMPUTED_VALUE"""),0.0)</f>
        <v>0</v>
      </c>
      <c r="CA177" s="22">
        <f>IFERROR(__xludf.DUMMYFUNCTION("""COMPUTED_VALUE"""),1.0)</f>
        <v>1</v>
      </c>
      <c r="CB177" s="22">
        <f>IFERROR(__xludf.DUMMYFUNCTION("""COMPUTED_VALUE"""),3.0)</f>
        <v>3</v>
      </c>
      <c r="CC177" s="61">
        <f>IFERROR(__xludf.DUMMYFUNCTION("""COMPUTED_VALUE"""),1.875)</f>
        <v>1.875</v>
      </c>
      <c r="CD177" s="62" t="str">
        <f>IFERROR(__xludf.DUMMYFUNCTION("""COMPUTED_VALUE"""),"subpar")</f>
        <v>subpar</v>
      </c>
      <c r="CE177" s="22" t="s">
        <v>228</v>
      </c>
      <c r="CF177" s="24">
        <v>10.0</v>
      </c>
      <c r="CG177" s="22" t="b">
        <v>0</v>
      </c>
      <c r="CH177" s="22" t="b">
        <v>1</v>
      </c>
      <c r="CI177" s="24">
        <v>8.0</v>
      </c>
      <c r="CJ177" s="22">
        <v>0.0</v>
      </c>
      <c r="CK177" s="22">
        <v>1.0</v>
      </c>
      <c r="CL177" s="22">
        <v>0.0</v>
      </c>
      <c r="CM177" s="22">
        <v>0.0</v>
      </c>
      <c r="CN177" s="22">
        <v>0.0</v>
      </c>
      <c r="CO177" s="22">
        <v>0.0</v>
      </c>
      <c r="CP177" s="22">
        <v>0.0</v>
      </c>
      <c r="CQ177" s="22">
        <v>0.0</v>
      </c>
      <c r="CR177" s="22">
        <v>1.0</v>
      </c>
      <c r="CS177" s="22">
        <v>1.0</v>
      </c>
      <c r="CT177" s="22">
        <v>1.0</v>
      </c>
      <c r="CU177" s="22">
        <v>0.0</v>
      </c>
      <c r="CV177" s="22">
        <v>0.0</v>
      </c>
      <c r="CW177" s="22">
        <v>0.0</v>
      </c>
      <c r="CX177" s="22">
        <v>1.0</v>
      </c>
      <c r="CY177" s="22">
        <v>3.0</v>
      </c>
      <c r="CZ177" s="61">
        <v>1.875</v>
      </c>
      <c r="DA177" s="62" t="s">
        <v>568</v>
      </c>
    </row>
    <row r="178">
      <c r="A178" s="16" t="s">
        <v>386</v>
      </c>
      <c r="B178" s="16" t="s">
        <v>387</v>
      </c>
      <c r="C178" s="39" t="s">
        <v>45</v>
      </c>
      <c r="D178" s="16" t="s">
        <v>349</v>
      </c>
      <c r="E178" s="17" t="b">
        <f t="shared" ref="E178:K178" si="891">If(IFERROR(SEARCH(E$1, $D178),0) &gt;= 1, true,false)</f>
        <v>1</v>
      </c>
      <c r="F178" s="17" t="b">
        <f t="shared" si="891"/>
        <v>0</v>
      </c>
      <c r="G178" s="17" t="b">
        <f t="shared" si="891"/>
        <v>0</v>
      </c>
      <c r="H178" s="17" t="b">
        <f t="shared" si="891"/>
        <v>0</v>
      </c>
      <c r="I178" s="17" t="b">
        <f t="shared" si="891"/>
        <v>0</v>
      </c>
      <c r="J178" s="17" t="b">
        <f t="shared" si="891"/>
        <v>1</v>
      </c>
      <c r="K178" s="17" t="b">
        <f t="shared" si="891"/>
        <v>0</v>
      </c>
      <c r="L178" s="18" t="b">
        <v>1</v>
      </c>
      <c r="M178" s="18" t="b">
        <v>1</v>
      </c>
      <c r="N178" s="18" t="b">
        <v>0</v>
      </c>
      <c r="O178" s="18" t="b">
        <v>1</v>
      </c>
      <c r="P178" s="16" t="str">
        <f t="shared" si="7"/>
        <v>Koninklijk Museum van Mariemont</v>
      </c>
      <c r="Q178" s="19">
        <v>9.0</v>
      </c>
      <c r="R178" s="18" t="b">
        <v>1</v>
      </c>
      <c r="S178" s="18" t="b">
        <v>1</v>
      </c>
      <c r="T178" s="30">
        <v>9.0</v>
      </c>
      <c r="U178" s="21">
        <f t="shared" si="8"/>
        <v>0</v>
      </c>
      <c r="V178" s="21">
        <f t="shared" ref="V178:AB178" si="892">if(OR(AW178 = $AO$4, AW178 = $AQ$4), 1, 0)</f>
        <v>1</v>
      </c>
      <c r="W178" s="21">
        <f t="shared" si="892"/>
        <v>0</v>
      </c>
      <c r="X178" s="21">
        <f t="shared" si="892"/>
        <v>0</v>
      </c>
      <c r="Y178" s="21">
        <f t="shared" si="892"/>
        <v>0</v>
      </c>
      <c r="Z178" s="21">
        <f t="shared" si="892"/>
        <v>0</v>
      </c>
      <c r="AA178" s="21">
        <f t="shared" si="892"/>
        <v>1</v>
      </c>
      <c r="AB178" s="21">
        <f t="shared" si="892"/>
        <v>0</v>
      </c>
      <c r="AC178" s="21">
        <f t="shared" si="10"/>
        <v>2</v>
      </c>
      <c r="AD178" s="21">
        <f t="shared" si="11"/>
        <v>1</v>
      </c>
      <c r="AE178" s="21">
        <f t="shared" ref="AE178:AH178" si="893">if(OR(BD178 = $AO$6, BD178 = $AS$6, BD178 = $AT$6, BD178 = $AU$6), 1, 0)</f>
        <v>1</v>
      </c>
      <c r="AF178" s="21">
        <f t="shared" si="893"/>
        <v>1</v>
      </c>
      <c r="AG178" s="21">
        <f t="shared" si="893"/>
        <v>0</v>
      </c>
      <c r="AH178" s="21">
        <f t="shared" si="893"/>
        <v>1</v>
      </c>
      <c r="AI178" s="21">
        <f t="shared" si="13"/>
        <v>3</v>
      </c>
      <c r="AJ178" s="21">
        <f t="shared" si="14"/>
        <v>6</v>
      </c>
      <c r="AK178" s="59">
        <f t="shared" si="15"/>
        <v>3.75</v>
      </c>
      <c r="AL178" s="60" t="str">
        <f t="shared" si="16"/>
        <v>good</v>
      </c>
      <c r="AW178" s="22" t="str">
        <f t="shared" ref="AW178:BC178" si="894">IF(IFERROR(SEARCH(E$1, $D178),0) &gt;= 1, E$1,0)</f>
        <v>Geschiedenis en archeologie</v>
      </c>
      <c r="AX178" s="22">
        <f t="shared" si="894"/>
        <v>0</v>
      </c>
      <c r="AY178" s="22">
        <f t="shared" si="894"/>
        <v>0</v>
      </c>
      <c r="AZ178" s="22">
        <f t="shared" si="894"/>
        <v>0</v>
      </c>
      <c r="BA178" s="22">
        <f t="shared" si="894"/>
        <v>0</v>
      </c>
      <c r="BB178" s="22" t="str">
        <f t="shared" si="894"/>
        <v>Beeldende kunst</v>
      </c>
      <c r="BC178" s="22">
        <f t="shared" si="894"/>
        <v>0</v>
      </c>
      <c r="BD178" s="22" t="str">
        <f t="shared" ref="BD178:BG178" si="895">IF(L178 = true, BD$1, 0)</f>
        <v>Shop</v>
      </c>
      <c r="BE178" s="22" t="str">
        <f t="shared" si="895"/>
        <v>Café</v>
      </c>
      <c r="BF178" s="22">
        <f t="shared" si="895"/>
        <v>0</v>
      </c>
      <c r="BG178" s="22" t="str">
        <f t="shared" si="895"/>
        <v>Restaurant</v>
      </c>
      <c r="BH178" s="22" t="str">
        <f>IFERROR(__xludf.DUMMYFUNCTION("""COMPUTED_VALUE"""),"M Leuven")</f>
        <v>M Leuven</v>
      </c>
      <c r="BI178" s="24">
        <f>IFERROR(__xludf.DUMMYFUNCTION("""COMPUTED_VALUE"""),12.0)</f>
        <v>12</v>
      </c>
      <c r="BJ178" s="22" t="b">
        <f>IFERROR(__xludf.DUMMYFUNCTION("""COMPUTED_VALUE"""),FALSE)</f>
        <v>0</v>
      </c>
      <c r="BK178" s="22" t="b">
        <f>IFERROR(__xludf.DUMMYFUNCTION("""COMPUTED_VALUE"""),TRUE)</f>
        <v>1</v>
      </c>
      <c r="BL178" s="24">
        <f>IFERROR(__xludf.DUMMYFUNCTION("""COMPUTED_VALUE"""),12.0)</f>
        <v>12</v>
      </c>
      <c r="BM178" s="22">
        <f>IFERROR(__xludf.DUMMYFUNCTION("""COMPUTED_VALUE"""),0.0)</f>
        <v>0</v>
      </c>
      <c r="BN178" s="22">
        <f>IFERROR(__xludf.DUMMYFUNCTION("""COMPUTED_VALUE"""),1.0)</f>
        <v>1</v>
      </c>
      <c r="BO178" s="22">
        <f>IFERROR(__xludf.DUMMYFUNCTION("""COMPUTED_VALUE"""),0.0)</f>
        <v>0</v>
      </c>
      <c r="BP178" s="22">
        <f>IFERROR(__xludf.DUMMYFUNCTION("""COMPUTED_VALUE"""),0.0)</f>
        <v>0</v>
      </c>
      <c r="BQ178" s="22">
        <f>IFERROR(__xludf.DUMMYFUNCTION("""COMPUTED_VALUE"""),0.0)</f>
        <v>0</v>
      </c>
      <c r="BR178" s="22">
        <f>IFERROR(__xludf.DUMMYFUNCTION("""COMPUTED_VALUE"""),0.0)</f>
        <v>0</v>
      </c>
      <c r="BS178" s="22">
        <f>IFERROR(__xludf.DUMMYFUNCTION("""COMPUTED_VALUE"""),1.0)</f>
        <v>1</v>
      </c>
      <c r="BT178" s="22">
        <f>IFERROR(__xludf.DUMMYFUNCTION("""COMPUTED_VALUE"""),0.0)</f>
        <v>0</v>
      </c>
      <c r="BU178" s="22">
        <f>IFERROR(__xludf.DUMMYFUNCTION("""COMPUTED_VALUE"""),2.0)</f>
        <v>2</v>
      </c>
      <c r="BV178" s="22">
        <f>IFERROR(__xludf.DUMMYFUNCTION("""COMPUTED_VALUE"""),0.0)</f>
        <v>0</v>
      </c>
      <c r="BW178" s="22">
        <f>IFERROR(__xludf.DUMMYFUNCTION("""COMPUTED_VALUE"""),1.0)</f>
        <v>1</v>
      </c>
      <c r="BX178" s="22">
        <f>IFERROR(__xludf.DUMMYFUNCTION("""COMPUTED_VALUE"""),0.0)</f>
        <v>0</v>
      </c>
      <c r="BY178" s="22">
        <f>IFERROR(__xludf.DUMMYFUNCTION("""COMPUTED_VALUE"""),0.0)</f>
        <v>0</v>
      </c>
      <c r="BZ178" s="22">
        <f>IFERROR(__xludf.DUMMYFUNCTION("""COMPUTED_VALUE"""),0.0)</f>
        <v>0</v>
      </c>
      <c r="CA178" s="22">
        <f>IFERROR(__xludf.DUMMYFUNCTION("""COMPUTED_VALUE"""),1.0)</f>
        <v>1</v>
      </c>
      <c r="CB178" s="22">
        <f>IFERROR(__xludf.DUMMYFUNCTION("""COMPUTED_VALUE"""),3.0)</f>
        <v>3</v>
      </c>
      <c r="CC178" s="61">
        <f>IFERROR(__xludf.DUMMYFUNCTION("""COMPUTED_VALUE"""),1.875)</f>
        <v>1.875</v>
      </c>
      <c r="CD178" s="62" t="str">
        <f>IFERROR(__xludf.DUMMYFUNCTION("""COMPUTED_VALUE"""),"subpar")</f>
        <v>subpar</v>
      </c>
      <c r="CE178" s="22" t="s">
        <v>241</v>
      </c>
      <c r="CF178" s="24">
        <v>12.0</v>
      </c>
      <c r="CG178" s="22" t="b">
        <v>0</v>
      </c>
      <c r="CH178" s="22" t="b">
        <v>1</v>
      </c>
      <c r="CI178" s="24">
        <v>12.0</v>
      </c>
      <c r="CJ178" s="22">
        <v>0.0</v>
      </c>
      <c r="CK178" s="22">
        <v>1.0</v>
      </c>
      <c r="CL178" s="22">
        <v>0.0</v>
      </c>
      <c r="CM178" s="22">
        <v>0.0</v>
      </c>
      <c r="CN178" s="22">
        <v>0.0</v>
      </c>
      <c r="CO178" s="22">
        <v>0.0</v>
      </c>
      <c r="CP178" s="22">
        <v>1.0</v>
      </c>
      <c r="CQ178" s="22">
        <v>0.0</v>
      </c>
      <c r="CR178" s="22">
        <v>2.0</v>
      </c>
      <c r="CS178" s="22">
        <v>0.0</v>
      </c>
      <c r="CT178" s="22">
        <v>1.0</v>
      </c>
      <c r="CU178" s="22">
        <v>0.0</v>
      </c>
      <c r="CV178" s="22">
        <v>0.0</v>
      </c>
      <c r="CW178" s="22">
        <v>0.0</v>
      </c>
      <c r="CX178" s="22">
        <v>1.0</v>
      </c>
      <c r="CY178" s="22">
        <v>3.0</v>
      </c>
      <c r="CZ178" s="61">
        <v>1.875</v>
      </c>
      <c r="DA178" s="62" t="s">
        <v>568</v>
      </c>
    </row>
    <row r="179">
      <c r="A179" s="16"/>
      <c r="B179" s="16" t="s">
        <v>388</v>
      </c>
      <c r="C179" s="39" t="s">
        <v>45</v>
      </c>
      <c r="D179" s="16" t="s">
        <v>344</v>
      </c>
      <c r="E179" s="17" t="b">
        <f t="shared" ref="E179:K179" si="896">If(IFERROR(SEARCH(E$1, $D179),0) &gt;= 1, true,false)</f>
        <v>1</v>
      </c>
      <c r="F179" s="17" t="b">
        <f t="shared" si="896"/>
        <v>0</v>
      </c>
      <c r="G179" s="17" t="b">
        <f t="shared" si="896"/>
        <v>0</v>
      </c>
      <c r="H179" s="17" t="b">
        <f t="shared" si="896"/>
        <v>0</v>
      </c>
      <c r="I179" s="17" t="b">
        <f t="shared" si="896"/>
        <v>0</v>
      </c>
      <c r="J179" s="17" t="b">
        <f t="shared" si="896"/>
        <v>0</v>
      </c>
      <c r="K179" s="17" t="b">
        <f t="shared" si="896"/>
        <v>0</v>
      </c>
      <c r="L179" s="18" t="b">
        <v>1</v>
      </c>
      <c r="M179" s="18" t="b">
        <v>1</v>
      </c>
      <c r="N179" s="18" t="b">
        <v>0</v>
      </c>
      <c r="O179" s="18" t="b">
        <v>1</v>
      </c>
      <c r="P179" s="16" t="str">
        <f t="shared" si="7"/>
        <v>Plugstreet 14-18 experience </v>
      </c>
      <c r="Q179" s="19">
        <v>5.0</v>
      </c>
      <c r="R179" s="18" t="b">
        <v>0</v>
      </c>
      <c r="S179" s="18" t="b">
        <v>0</v>
      </c>
      <c r="T179" s="35">
        <v>5.0</v>
      </c>
      <c r="U179" s="21">
        <f t="shared" si="8"/>
        <v>0</v>
      </c>
      <c r="V179" s="21">
        <f t="shared" ref="V179:AB179" si="897">if(OR(AW179 = $AO$4, AW179 = $AQ$4), 1, 0)</f>
        <v>1</v>
      </c>
      <c r="W179" s="21">
        <f t="shared" si="897"/>
        <v>0</v>
      </c>
      <c r="X179" s="21">
        <f t="shared" si="897"/>
        <v>0</v>
      </c>
      <c r="Y179" s="21">
        <f t="shared" si="897"/>
        <v>0</v>
      </c>
      <c r="Z179" s="21">
        <f t="shared" si="897"/>
        <v>0</v>
      </c>
      <c r="AA179" s="21">
        <f t="shared" si="897"/>
        <v>0</v>
      </c>
      <c r="AB179" s="21">
        <f t="shared" si="897"/>
        <v>0</v>
      </c>
      <c r="AC179" s="21">
        <f t="shared" si="10"/>
        <v>1</v>
      </c>
      <c r="AD179" s="21">
        <f t="shared" si="11"/>
        <v>1</v>
      </c>
      <c r="AE179" s="21">
        <f t="shared" ref="AE179:AH179" si="898">if(OR(BD179 = $AO$6, BD179 = $AS$6, BD179 = $AT$6, BD179 = $AU$6), 1, 0)</f>
        <v>1</v>
      </c>
      <c r="AF179" s="21">
        <f t="shared" si="898"/>
        <v>1</v>
      </c>
      <c r="AG179" s="21">
        <f t="shared" si="898"/>
        <v>0</v>
      </c>
      <c r="AH179" s="21">
        <f t="shared" si="898"/>
        <v>1</v>
      </c>
      <c r="AI179" s="21">
        <f t="shared" si="13"/>
        <v>3</v>
      </c>
      <c r="AJ179" s="21">
        <f t="shared" si="14"/>
        <v>5</v>
      </c>
      <c r="AK179" s="59">
        <f t="shared" si="15"/>
        <v>3.125</v>
      </c>
      <c r="AL179" s="60" t="str">
        <f t="shared" si="16"/>
        <v>good</v>
      </c>
      <c r="AW179" s="22" t="str">
        <f t="shared" ref="AW179:BC179" si="899">IF(IFERROR(SEARCH(E$1, $D179),0) &gt;= 1, E$1,0)</f>
        <v>Geschiedenis en archeologie</v>
      </c>
      <c r="AX179" s="22">
        <f t="shared" si="899"/>
        <v>0</v>
      </c>
      <c r="AY179" s="22">
        <f t="shared" si="899"/>
        <v>0</v>
      </c>
      <c r="AZ179" s="22">
        <f t="shared" si="899"/>
        <v>0</v>
      </c>
      <c r="BA179" s="22">
        <f t="shared" si="899"/>
        <v>0</v>
      </c>
      <c r="BB179" s="22">
        <f t="shared" si="899"/>
        <v>0</v>
      </c>
      <c r="BC179" s="22">
        <f t="shared" si="899"/>
        <v>0</v>
      </c>
      <c r="BD179" s="22" t="str">
        <f t="shared" ref="BD179:BG179" si="900">IF(L179 = true, BD$1, 0)</f>
        <v>Shop</v>
      </c>
      <c r="BE179" s="22" t="str">
        <f t="shared" si="900"/>
        <v>Café</v>
      </c>
      <c r="BF179" s="22">
        <f t="shared" si="900"/>
        <v>0</v>
      </c>
      <c r="BG179" s="22" t="str">
        <f t="shared" si="900"/>
        <v>Restaurant</v>
      </c>
      <c r="BH179" s="22" t="str">
        <f>IFERROR(__xludf.DUMMYFUNCTION("""COMPUTED_VALUE"""),"Museum den AST")</f>
        <v>Museum den AST</v>
      </c>
      <c r="BI179" s="24">
        <f>IFERROR(__xludf.DUMMYFUNCTION("""COMPUTED_VALUE"""),5.0)</f>
        <v>5</v>
      </c>
      <c r="BJ179" s="22" t="b">
        <f>IFERROR(__xludf.DUMMYFUNCTION("""COMPUTED_VALUE"""),FALSE)</f>
        <v>0</v>
      </c>
      <c r="BK179" s="22" t="b">
        <f>IFERROR(__xludf.DUMMYFUNCTION("""COMPUTED_VALUE"""),TRUE)</f>
        <v>1</v>
      </c>
      <c r="BL179" s="24">
        <f>IFERROR(__xludf.DUMMYFUNCTION("""COMPUTED_VALUE"""),5.0)</f>
        <v>5</v>
      </c>
      <c r="BM179" s="22">
        <f>IFERROR(__xludf.DUMMYFUNCTION("""COMPUTED_VALUE"""),0.0)</f>
        <v>0</v>
      </c>
      <c r="BN179" s="22">
        <f>IFERROR(__xludf.DUMMYFUNCTION("""COMPUTED_VALUE"""),1.0)</f>
        <v>1</v>
      </c>
      <c r="BO179" s="22">
        <f>IFERROR(__xludf.DUMMYFUNCTION("""COMPUTED_VALUE"""),0.0)</f>
        <v>0</v>
      </c>
      <c r="BP179" s="22">
        <f>IFERROR(__xludf.DUMMYFUNCTION("""COMPUTED_VALUE"""),0.0)</f>
        <v>0</v>
      </c>
      <c r="BQ179" s="22">
        <f>IFERROR(__xludf.DUMMYFUNCTION("""COMPUTED_VALUE"""),0.0)</f>
        <v>0</v>
      </c>
      <c r="BR179" s="22">
        <f>IFERROR(__xludf.DUMMYFUNCTION("""COMPUTED_VALUE"""),0.0)</f>
        <v>0</v>
      </c>
      <c r="BS179" s="22">
        <f>IFERROR(__xludf.DUMMYFUNCTION("""COMPUTED_VALUE"""),1.0)</f>
        <v>1</v>
      </c>
      <c r="BT179" s="22">
        <f>IFERROR(__xludf.DUMMYFUNCTION("""COMPUTED_VALUE"""),0.0)</f>
        <v>0</v>
      </c>
      <c r="BU179" s="22">
        <f>IFERROR(__xludf.DUMMYFUNCTION("""COMPUTED_VALUE"""),2.0)</f>
        <v>2</v>
      </c>
      <c r="BV179" s="22">
        <f>IFERROR(__xludf.DUMMYFUNCTION("""COMPUTED_VALUE"""),1.0)</f>
        <v>1</v>
      </c>
      <c r="BW179" s="22">
        <f>IFERROR(__xludf.DUMMYFUNCTION("""COMPUTED_VALUE"""),0.0)</f>
        <v>0</v>
      </c>
      <c r="BX179" s="22">
        <f>IFERROR(__xludf.DUMMYFUNCTION("""COMPUTED_VALUE"""),0.0)</f>
        <v>0</v>
      </c>
      <c r="BY179" s="22">
        <f>IFERROR(__xludf.DUMMYFUNCTION("""COMPUTED_VALUE"""),0.0)</f>
        <v>0</v>
      </c>
      <c r="BZ179" s="22">
        <f>IFERROR(__xludf.DUMMYFUNCTION("""COMPUTED_VALUE"""),0.0)</f>
        <v>0</v>
      </c>
      <c r="CA179" s="22">
        <f>IFERROR(__xludf.DUMMYFUNCTION("""COMPUTED_VALUE"""),0.0)</f>
        <v>0</v>
      </c>
      <c r="CB179" s="22">
        <f>IFERROR(__xludf.DUMMYFUNCTION("""COMPUTED_VALUE"""),3.0)</f>
        <v>3</v>
      </c>
      <c r="CC179" s="61">
        <f>IFERROR(__xludf.DUMMYFUNCTION("""COMPUTED_VALUE"""),1.875)</f>
        <v>1.875</v>
      </c>
      <c r="CD179" s="62" t="str">
        <f>IFERROR(__xludf.DUMMYFUNCTION("""COMPUTED_VALUE"""),"subpar")</f>
        <v>subpar</v>
      </c>
      <c r="CE179" s="22" t="s">
        <v>244</v>
      </c>
      <c r="CF179" s="24">
        <v>5.0</v>
      </c>
      <c r="CG179" s="22" t="b">
        <v>0</v>
      </c>
      <c r="CH179" s="22" t="b">
        <v>1</v>
      </c>
      <c r="CI179" s="24">
        <v>5.0</v>
      </c>
      <c r="CJ179" s="22">
        <v>0.0</v>
      </c>
      <c r="CK179" s="22">
        <v>1.0</v>
      </c>
      <c r="CL179" s="22">
        <v>0.0</v>
      </c>
      <c r="CM179" s="22">
        <v>0.0</v>
      </c>
      <c r="CN179" s="22">
        <v>0.0</v>
      </c>
      <c r="CO179" s="22">
        <v>0.0</v>
      </c>
      <c r="CP179" s="22">
        <v>1.0</v>
      </c>
      <c r="CQ179" s="22">
        <v>0.0</v>
      </c>
      <c r="CR179" s="22">
        <v>2.0</v>
      </c>
      <c r="CS179" s="22">
        <v>1.0</v>
      </c>
      <c r="CT179" s="22">
        <v>0.0</v>
      </c>
      <c r="CU179" s="22">
        <v>0.0</v>
      </c>
      <c r="CV179" s="22">
        <v>0.0</v>
      </c>
      <c r="CW179" s="22">
        <v>0.0</v>
      </c>
      <c r="CX179" s="22">
        <v>0.0</v>
      </c>
      <c r="CY179" s="22">
        <v>3.0</v>
      </c>
      <c r="CZ179" s="61">
        <v>1.875</v>
      </c>
      <c r="DA179" s="62" t="s">
        <v>568</v>
      </c>
    </row>
    <row r="180">
      <c r="A180" s="16"/>
      <c r="B180" s="16" t="s">
        <v>389</v>
      </c>
      <c r="C180" s="39" t="s">
        <v>45</v>
      </c>
      <c r="D180" s="16" t="s">
        <v>344</v>
      </c>
      <c r="E180" s="17" t="b">
        <f t="shared" ref="E180:K180" si="901">If(IFERROR(SEARCH(E$1, $D180),0) &gt;= 1, true,false)</f>
        <v>1</v>
      </c>
      <c r="F180" s="17" t="b">
        <f t="shared" si="901"/>
        <v>0</v>
      </c>
      <c r="G180" s="17" t="b">
        <f t="shared" si="901"/>
        <v>0</v>
      </c>
      <c r="H180" s="17" t="b">
        <f t="shared" si="901"/>
        <v>0</v>
      </c>
      <c r="I180" s="17" t="b">
        <f t="shared" si="901"/>
        <v>0</v>
      </c>
      <c r="J180" s="17" t="b">
        <f t="shared" si="901"/>
        <v>0</v>
      </c>
      <c r="K180" s="17" t="b">
        <f t="shared" si="901"/>
        <v>0</v>
      </c>
      <c r="L180" s="18" t="b">
        <v>1</v>
      </c>
      <c r="M180" s="18" t="b">
        <v>0</v>
      </c>
      <c r="N180" s="18" t="b">
        <v>0</v>
      </c>
      <c r="O180" s="18" t="b">
        <v>0</v>
      </c>
      <c r="P180" s="16" t="str">
        <f t="shared" si="7"/>
        <v>Silex’s </v>
      </c>
      <c r="Q180" s="19">
        <v>6.0</v>
      </c>
      <c r="R180" s="18" t="b">
        <v>0</v>
      </c>
      <c r="S180" s="18" t="b">
        <v>0</v>
      </c>
      <c r="T180" s="33"/>
      <c r="U180" s="21">
        <f t="shared" si="8"/>
        <v>0</v>
      </c>
      <c r="V180" s="21">
        <f t="shared" ref="V180:AB180" si="902">if(OR(AW180 = $AO$4, AW180 = $AQ$4), 1, 0)</f>
        <v>1</v>
      </c>
      <c r="W180" s="21">
        <f t="shared" si="902"/>
        <v>0</v>
      </c>
      <c r="X180" s="21">
        <f t="shared" si="902"/>
        <v>0</v>
      </c>
      <c r="Y180" s="21">
        <f t="shared" si="902"/>
        <v>0</v>
      </c>
      <c r="Z180" s="21">
        <f t="shared" si="902"/>
        <v>0</v>
      </c>
      <c r="AA180" s="21">
        <f t="shared" si="902"/>
        <v>0</v>
      </c>
      <c r="AB180" s="21">
        <f t="shared" si="902"/>
        <v>0</v>
      </c>
      <c r="AC180" s="21">
        <f t="shared" si="10"/>
        <v>1</v>
      </c>
      <c r="AD180" s="21">
        <f t="shared" si="11"/>
        <v>1</v>
      </c>
      <c r="AE180" s="21">
        <f t="shared" ref="AE180:AH180" si="903">if(OR(BD180 = $AO$6, BD180 = $AS$6, BD180 = $AT$6, BD180 = $AU$6), 1, 0)</f>
        <v>1</v>
      </c>
      <c r="AF180" s="21">
        <f t="shared" si="903"/>
        <v>0</v>
      </c>
      <c r="AG180" s="21">
        <f t="shared" si="903"/>
        <v>0</v>
      </c>
      <c r="AH180" s="21">
        <f t="shared" si="903"/>
        <v>0</v>
      </c>
      <c r="AI180" s="21">
        <f t="shared" si="13"/>
        <v>1</v>
      </c>
      <c r="AJ180" s="21">
        <f t="shared" si="14"/>
        <v>3</v>
      </c>
      <c r="AK180" s="59">
        <f t="shared" si="15"/>
        <v>1.875</v>
      </c>
      <c r="AL180" s="60" t="str">
        <f t="shared" si="16"/>
        <v>subpar</v>
      </c>
      <c r="AW180" s="22" t="str">
        <f t="shared" ref="AW180:BC180" si="904">IF(IFERROR(SEARCH(E$1, $D180),0) &gt;= 1, E$1,0)</f>
        <v>Geschiedenis en archeologie</v>
      </c>
      <c r="AX180" s="22">
        <f t="shared" si="904"/>
        <v>0</v>
      </c>
      <c r="AY180" s="22">
        <f t="shared" si="904"/>
        <v>0</v>
      </c>
      <c r="AZ180" s="22">
        <f t="shared" si="904"/>
        <v>0</v>
      </c>
      <c r="BA180" s="22">
        <f t="shared" si="904"/>
        <v>0</v>
      </c>
      <c r="BB180" s="22">
        <f t="shared" si="904"/>
        <v>0</v>
      </c>
      <c r="BC180" s="22">
        <f t="shared" si="904"/>
        <v>0</v>
      </c>
      <c r="BD180" s="22" t="str">
        <f t="shared" ref="BD180:BG180" si="905">IF(L180 = true, BD$1, 0)</f>
        <v>Shop</v>
      </c>
      <c r="BE180" s="22">
        <f t="shared" si="905"/>
        <v>0</v>
      </c>
      <c r="BF180" s="22">
        <f t="shared" si="905"/>
        <v>0</v>
      </c>
      <c r="BG180" s="22">
        <f t="shared" si="905"/>
        <v>0</v>
      </c>
      <c r="BH180" s="22" t="str">
        <f>IFERROR(__xludf.DUMMYFUNCTION("""COMPUTED_VALUE"""),"Plantentuin Meise")</f>
        <v>Plantentuin Meise</v>
      </c>
      <c r="BI180" s="24">
        <f>IFERROR(__xludf.DUMMYFUNCTION("""COMPUTED_VALUE"""),15.0)</f>
        <v>15</v>
      </c>
      <c r="BJ180" s="22" t="b">
        <f>IFERROR(__xludf.DUMMYFUNCTION("""COMPUTED_VALUE"""),FALSE)</f>
        <v>0</v>
      </c>
      <c r="BK180" s="22" t="b">
        <f>IFERROR(__xludf.DUMMYFUNCTION("""COMPUTED_VALUE"""),FALSE)</f>
        <v>0</v>
      </c>
      <c r="BL180" s="22"/>
      <c r="BM180" s="22">
        <f>IFERROR(__xludf.DUMMYFUNCTION("""COMPUTED_VALUE"""),0.0)</f>
        <v>0</v>
      </c>
      <c r="BN180" s="22">
        <f>IFERROR(__xludf.DUMMYFUNCTION("""COMPUTED_VALUE"""),0.0)</f>
        <v>0</v>
      </c>
      <c r="BO180" s="22">
        <f>IFERROR(__xludf.DUMMYFUNCTION("""COMPUTED_VALUE"""),0.0)</f>
        <v>0</v>
      </c>
      <c r="BP180" s="22">
        <f>IFERROR(__xludf.DUMMYFUNCTION("""COMPUTED_VALUE"""),0.0)</f>
        <v>0</v>
      </c>
      <c r="BQ180" s="22">
        <f>IFERROR(__xludf.DUMMYFUNCTION("""COMPUTED_VALUE"""),0.0)</f>
        <v>0</v>
      </c>
      <c r="BR180" s="22">
        <f>IFERROR(__xludf.DUMMYFUNCTION("""COMPUTED_VALUE"""),0.0)</f>
        <v>0</v>
      </c>
      <c r="BS180" s="22">
        <f>IFERROR(__xludf.DUMMYFUNCTION("""COMPUTED_VALUE"""),0.0)</f>
        <v>0</v>
      </c>
      <c r="BT180" s="22">
        <f>IFERROR(__xludf.DUMMYFUNCTION("""COMPUTED_VALUE"""),0.0)</f>
        <v>0</v>
      </c>
      <c r="BU180" s="22">
        <f>IFERROR(__xludf.DUMMYFUNCTION("""COMPUTED_VALUE"""),0.0)</f>
        <v>0</v>
      </c>
      <c r="BV180" s="22">
        <f>IFERROR(__xludf.DUMMYFUNCTION("""COMPUTED_VALUE"""),0.0)</f>
        <v>0</v>
      </c>
      <c r="BW180" s="22">
        <f>IFERROR(__xludf.DUMMYFUNCTION("""COMPUTED_VALUE"""),1.0)</f>
        <v>1</v>
      </c>
      <c r="BX180" s="22">
        <f>IFERROR(__xludf.DUMMYFUNCTION("""COMPUTED_VALUE"""),0.0)</f>
        <v>0</v>
      </c>
      <c r="BY180" s="22">
        <f>IFERROR(__xludf.DUMMYFUNCTION("""COMPUTED_VALUE"""),1.0)</f>
        <v>1</v>
      </c>
      <c r="BZ180" s="22">
        <f>IFERROR(__xludf.DUMMYFUNCTION("""COMPUTED_VALUE"""),1.0)</f>
        <v>1</v>
      </c>
      <c r="CA180" s="22">
        <f>IFERROR(__xludf.DUMMYFUNCTION("""COMPUTED_VALUE"""),3.0)</f>
        <v>3</v>
      </c>
      <c r="CB180" s="22">
        <f>IFERROR(__xludf.DUMMYFUNCTION("""COMPUTED_VALUE"""),3.0)</f>
        <v>3</v>
      </c>
      <c r="CC180" s="61">
        <f>IFERROR(__xludf.DUMMYFUNCTION("""COMPUTED_VALUE"""),1.875)</f>
        <v>1.875</v>
      </c>
      <c r="CD180" s="62" t="str">
        <f>IFERROR(__xludf.DUMMYFUNCTION("""COMPUTED_VALUE"""),"subpar")</f>
        <v>subpar</v>
      </c>
      <c r="CE180" s="22" t="s">
        <v>249</v>
      </c>
      <c r="CF180" s="24">
        <v>15.0</v>
      </c>
      <c r="CG180" s="22" t="b">
        <v>0</v>
      </c>
      <c r="CH180" s="22" t="b">
        <v>0</v>
      </c>
      <c r="CI180" s="22"/>
      <c r="CJ180" s="22">
        <v>0.0</v>
      </c>
      <c r="CK180" s="22">
        <v>0.0</v>
      </c>
      <c r="CL180" s="22">
        <v>0.0</v>
      </c>
      <c r="CM180" s="22">
        <v>0.0</v>
      </c>
      <c r="CN180" s="22">
        <v>0.0</v>
      </c>
      <c r="CO180" s="22">
        <v>0.0</v>
      </c>
      <c r="CP180" s="22">
        <v>0.0</v>
      </c>
      <c r="CQ180" s="22">
        <v>0.0</v>
      </c>
      <c r="CR180" s="22">
        <v>0.0</v>
      </c>
      <c r="CS180" s="22">
        <v>0.0</v>
      </c>
      <c r="CT180" s="22">
        <v>1.0</v>
      </c>
      <c r="CU180" s="22">
        <v>0.0</v>
      </c>
      <c r="CV180" s="22">
        <v>1.0</v>
      </c>
      <c r="CW180" s="22">
        <v>1.0</v>
      </c>
      <c r="CX180" s="22">
        <v>3.0</v>
      </c>
      <c r="CY180" s="22">
        <v>3.0</v>
      </c>
      <c r="CZ180" s="61">
        <v>1.875</v>
      </c>
      <c r="DA180" s="62" t="s">
        <v>568</v>
      </c>
    </row>
    <row r="181">
      <c r="A181" s="16" t="s">
        <v>390</v>
      </c>
      <c r="B181" s="16" t="s">
        <v>391</v>
      </c>
      <c r="C181" s="39" t="s">
        <v>45</v>
      </c>
      <c r="D181" s="16" t="s">
        <v>392</v>
      </c>
      <c r="E181" s="17" t="b">
        <f t="shared" ref="E181:K181" si="906">If(IFERROR(SEARCH(E$1, $D181),0) &gt;= 1, true,false)</f>
        <v>0</v>
      </c>
      <c r="F181" s="17" t="b">
        <f t="shared" si="906"/>
        <v>0</v>
      </c>
      <c r="G181" s="17" t="b">
        <f t="shared" si="906"/>
        <v>1</v>
      </c>
      <c r="H181" s="17" t="b">
        <f t="shared" si="906"/>
        <v>0</v>
      </c>
      <c r="I181" s="17" t="b">
        <f t="shared" si="906"/>
        <v>0</v>
      </c>
      <c r="J181" s="17" t="b">
        <f t="shared" si="906"/>
        <v>1</v>
      </c>
      <c r="K181" s="17" t="b">
        <f t="shared" si="906"/>
        <v>1</v>
      </c>
      <c r="L181" s="18" t="b">
        <v>1</v>
      </c>
      <c r="M181" s="18" t="b">
        <v>0</v>
      </c>
      <c r="N181" s="18" t="b">
        <v>0</v>
      </c>
      <c r="O181" s="18" t="b">
        <v>0</v>
      </c>
      <c r="P181" s="16" t="str">
        <f t="shared" si="7"/>
        <v>TAMAT | Museum voor Wandtapijten en Textielkunsten van de Federatie Wallonië-Brussel</v>
      </c>
      <c r="Q181" s="19">
        <v>7.0</v>
      </c>
      <c r="R181" s="18" t="b">
        <v>0</v>
      </c>
      <c r="S181" s="18" t="b">
        <v>0</v>
      </c>
      <c r="T181" s="32"/>
      <c r="U181" s="21">
        <f t="shared" si="8"/>
        <v>0</v>
      </c>
      <c r="V181" s="21">
        <f t="shared" ref="V181:AB181" si="907">if(OR(AW181 = $AO$4, AW181 = $AQ$4), 1, 0)</f>
        <v>0</v>
      </c>
      <c r="W181" s="21">
        <f t="shared" si="907"/>
        <v>0</v>
      </c>
      <c r="X181" s="21">
        <f t="shared" si="907"/>
        <v>0</v>
      </c>
      <c r="Y181" s="21">
        <f t="shared" si="907"/>
        <v>0</v>
      </c>
      <c r="Z181" s="21">
        <f t="shared" si="907"/>
        <v>0</v>
      </c>
      <c r="AA181" s="21">
        <f t="shared" si="907"/>
        <v>1</v>
      </c>
      <c r="AB181" s="21">
        <f t="shared" si="907"/>
        <v>0</v>
      </c>
      <c r="AC181" s="21">
        <f t="shared" si="10"/>
        <v>1</v>
      </c>
      <c r="AD181" s="21">
        <f t="shared" si="11"/>
        <v>1</v>
      </c>
      <c r="AE181" s="21">
        <f t="shared" ref="AE181:AH181" si="908">if(OR(BD181 = $AO$6, BD181 = $AS$6, BD181 = $AT$6, BD181 = $AU$6), 1, 0)</f>
        <v>1</v>
      </c>
      <c r="AF181" s="21">
        <f t="shared" si="908"/>
        <v>0</v>
      </c>
      <c r="AG181" s="21">
        <f t="shared" si="908"/>
        <v>0</v>
      </c>
      <c r="AH181" s="21">
        <f t="shared" si="908"/>
        <v>0</v>
      </c>
      <c r="AI181" s="21">
        <f t="shared" si="13"/>
        <v>1</v>
      </c>
      <c r="AJ181" s="21">
        <f t="shared" si="14"/>
        <v>3</v>
      </c>
      <c r="AK181" s="59">
        <f t="shared" si="15"/>
        <v>1.875</v>
      </c>
      <c r="AL181" s="60" t="str">
        <f t="shared" si="16"/>
        <v>subpar</v>
      </c>
      <c r="AW181" s="22">
        <f t="shared" ref="AW181:BC181" si="909">IF(IFERROR(SEARCH(E$1, $D181),0) &gt;= 1, E$1,0)</f>
        <v>0</v>
      </c>
      <c r="AX181" s="22">
        <f t="shared" si="909"/>
        <v>0</v>
      </c>
      <c r="AY181" s="22" t="str">
        <f t="shared" si="909"/>
        <v>Mode</v>
      </c>
      <c r="AZ181" s="22">
        <f t="shared" si="909"/>
        <v>0</v>
      </c>
      <c r="BA181" s="22">
        <f t="shared" si="909"/>
        <v>0</v>
      </c>
      <c r="BB181" s="22" t="str">
        <f t="shared" si="909"/>
        <v>Beeldende kunst</v>
      </c>
      <c r="BC181" s="22" t="str">
        <f t="shared" si="909"/>
        <v>Toegepaste kunst en design</v>
      </c>
      <c r="BD181" s="22" t="str">
        <f t="shared" ref="BD181:BG181" si="910">IF(L181 = true, BD$1, 0)</f>
        <v>Shop</v>
      </c>
      <c r="BE181" s="22">
        <f t="shared" si="910"/>
        <v>0</v>
      </c>
      <c r="BF181" s="22">
        <f t="shared" si="910"/>
        <v>0</v>
      </c>
      <c r="BG181" s="22">
        <f t="shared" si="910"/>
        <v>0</v>
      </c>
      <c r="BH181" s="22" t="str">
        <f>IFERROR(__xludf.DUMMYFUNCTION("""COMPUTED_VALUE"""),"LABIOMISTA")</f>
        <v>LABIOMISTA</v>
      </c>
      <c r="BI181" s="24">
        <f>IFERROR(__xludf.DUMMYFUNCTION("""COMPUTED_VALUE"""),14.0)</f>
        <v>14</v>
      </c>
      <c r="BJ181" s="22" t="b">
        <f>IFERROR(__xludf.DUMMYFUNCTION("""COMPUTED_VALUE"""),TRUE)</f>
        <v>1</v>
      </c>
      <c r="BK181" s="22" t="b">
        <f>IFERROR(__xludf.DUMMYFUNCTION("""COMPUTED_VALUE"""),FALSE)</f>
        <v>0</v>
      </c>
      <c r="BL181" s="22"/>
      <c r="BM181" s="22">
        <f>IFERROR(__xludf.DUMMYFUNCTION("""COMPUTED_VALUE"""),0.0)</f>
        <v>0</v>
      </c>
      <c r="BN181" s="22">
        <f>IFERROR(__xludf.DUMMYFUNCTION("""COMPUTED_VALUE"""),0.0)</f>
        <v>0</v>
      </c>
      <c r="BO181" s="22">
        <f>IFERROR(__xludf.DUMMYFUNCTION("""COMPUTED_VALUE"""),0.0)</f>
        <v>0</v>
      </c>
      <c r="BP181" s="22">
        <f>IFERROR(__xludf.DUMMYFUNCTION("""COMPUTED_VALUE"""),0.0)</f>
        <v>0</v>
      </c>
      <c r="BQ181" s="22">
        <f>IFERROR(__xludf.DUMMYFUNCTION("""COMPUTED_VALUE"""),0.0)</f>
        <v>0</v>
      </c>
      <c r="BR181" s="22">
        <f>IFERROR(__xludf.DUMMYFUNCTION("""COMPUTED_VALUE"""),0.0)</f>
        <v>0</v>
      </c>
      <c r="BS181" s="22">
        <f>IFERROR(__xludf.DUMMYFUNCTION("""COMPUTED_VALUE"""),1.0)</f>
        <v>1</v>
      </c>
      <c r="BT181" s="22">
        <f>IFERROR(__xludf.DUMMYFUNCTION("""COMPUTED_VALUE"""),0.0)</f>
        <v>0</v>
      </c>
      <c r="BU181" s="22">
        <f>IFERROR(__xludf.DUMMYFUNCTION("""COMPUTED_VALUE"""),1.0)</f>
        <v>1</v>
      </c>
      <c r="BV181" s="22">
        <f>IFERROR(__xludf.DUMMYFUNCTION("""COMPUTED_VALUE"""),0.0)</f>
        <v>0</v>
      </c>
      <c r="BW181" s="22">
        <f>IFERROR(__xludf.DUMMYFUNCTION("""COMPUTED_VALUE"""),1.0)</f>
        <v>1</v>
      </c>
      <c r="BX181" s="22">
        <f>IFERROR(__xludf.DUMMYFUNCTION("""COMPUTED_VALUE"""),1.0)</f>
        <v>1</v>
      </c>
      <c r="BY181" s="22">
        <f>IFERROR(__xludf.DUMMYFUNCTION("""COMPUTED_VALUE"""),0.0)</f>
        <v>0</v>
      </c>
      <c r="BZ181" s="22">
        <f>IFERROR(__xludf.DUMMYFUNCTION("""COMPUTED_VALUE"""),0.0)</f>
        <v>0</v>
      </c>
      <c r="CA181" s="22">
        <f>IFERROR(__xludf.DUMMYFUNCTION("""COMPUTED_VALUE"""),2.0)</f>
        <v>2</v>
      </c>
      <c r="CB181" s="22">
        <f>IFERROR(__xludf.DUMMYFUNCTION("""COMPUTED_VALUE"""),3.0)</f>
        <v>3</v>
      </c>
      <c r="CC181" s="61">
        <f>IFERROR(__xludf.DUMMYFUNCTION("""COMPUTED_VALUE"""),1.875)</f>
        <v>1.875</v>
      </c>
      <c r="CD181" s="62" t="str">
        <f>IFERROR(__xludf.DUMMYFUNCTION("""COMPUTED_VALUE"""),"subpar")</f>
        <v>subpar</v>
      </c>
      <c r="CE181" s="22" t="s">
        <v>268</v>
      </c>
      <c r="CF181" s="24">
        <v>14.0</v>
      </c>
      <c r="CG181" s="22" t="b">
        <v>1</v>
      </c>
      <c r="CH181" s="22" t="b">
        <v>0</v>
      </c>
      <c r="CI181" s="22"/>
      <c r="CJ181" s="22">
        <v>0.0</v>
      </c>
      <c r="CK181" s="22">
        <v>0.0</v>
      </c>
      <c r="CL181" s="22">
        <v>0.0</v>
      </c>
      <c r="CM181" s="22">
        <v>0.0</v>
      </c>
      <c r="CN181" s="22">
        <v>0.0</v>
      </c>
      <c r="CO181" s="22">
        <v>0.0</v>
      </c>
      <c r="CP181" s="22">
        <v>1.0</v>
      </c>
      <c r="CQ181" s="22">
        <v>0.0</v>
      </c>
      <c r="CR181" s="22">
        <v>1.0</v>
      </c>
      <c r="CS181" s="22">
        <v>0.0</v>
      </c>
      <c r="CT181" s="22">
        <v>1.0</v>
      </c>
      <c r="CU181" s="22">
        <v>1.0</v>
      </c>
      <c r="CV181" s="22">
        <v>0.0</v>
      </c>
      <c r="CW181" s="22">
        <v>0.0</v>
      </c>
      <c r="CX181" s="22">
        <v>2.0</v>
      </c>
      <c r="CY181" s="22">
        <v>3.0</v>
      </c>
      <c r="CZ181" s="61">
        <v>1.875</v>
      </c>
      <c r="DA181" s="62" t="s">
        <v>568</v>
      </c>
    </row>
    <row r="182">
      <c r="A182" s="16"/>
      <c r="B182" s="16" t="s">
        <v>393</v>
      </c>
      <c r="C182" s="39" t="s">
        <v>48</v>
      </c>
      <c r="D182" s="16" t="s">
        <v>4</v>
      </c>
      <c r="E182" s="17" t="b">
        <f t="shared" ref="E182:K182" si="911">If(IFERROR(SEARCH(E$1, $D182),0) &gt;= 1, true,false)</f>
        <v>1</v>
      </c>
      <c r="F182" s="17" t="b">
        <f t="shared" si="911"/>
        <v>0</v>
      </c>
      <c r="G182" s="17" t="b">
        <f t="shared" si="911"/>
        <v>0</v>
      </c>
      <c r="H182" s="17" t="b">
        <f t="shared" si="911"/>
        <v>0</v>
      </c>
      <c r="I182" s="17" t="b">
        <f t="shared" si="911"/>
        <v>0</v>
      </c>
      <c r="J182" s="17" t="b">
        <f t="shared" si="911"/>
        <v>0</v>
      </c>
      <c r="K182" s="17" t="b">
        <f t="shared" si="911"/>
        <v>0</v>
      </c>
      <c r="L182" s="18" t="b">
        <v>0</v>
      </c>
      <c r="M182" s="18" t="b">
        <v>1</v>
      </c>
      <c r="N182" s="18" t="b">
        <v>0</v>
      </c>
      <c r="O182" s="18" t="b">
        <v>0</v>
      </c>
      <c r="P182" s="16" t="str">
        <f t="shared" si="7"/>
        <v>Bastogne Barracks</v>
      </c>
      <c r="Q182" s="19">
        <v>12.0</v>
      </c>
      <c r="R182" s="18" t="b">
        <v>0</v>
      </c>
      <c r="S182" s="18" t="b">
        <v>0</v>
      </c>
      <c r="T182" s="33"/>
      <c r="U182" s="21">
        <f t="shared" si="8"/>
        <v>0</v>
      </c>
      <c r="V182" s="21">
        <f t="shared" ref="V182:AB182" si="912">if(OR(AW182 = $AO$4, AW182 = $AQ$4), 1, 0)</f>
        <v>1</v>
      </c>
      <c r="W182" s="21">
        <f t="shared" si="912"/>
        <v>0</v>
      </c>
      <c r="X182" s="21">
        <f t="shared" si="912"/>
        <v>0</v>
      </c>
      <c r="Y182" s="21">
        <f t="shared" si="912"/>
        <v>0</v>
      </c>
      <c r="Z182" s="21">
        <f t="shared" si="912"/>
        <v>0</v>
      </c>
      <c r="AA182" s="21">
        <f t="shared" si="912"/>
        <v>0</v>
      </c>
      <c r="AB182" s="21">
        <f t="shared" si="912"/>
        <v>0</v>
      </c>
      <c r="AC182" s="21">
        <f t="shared" si="10"/>
        <v>1</v>
      </c>
      <c r="AD182" s="21">
        <f t="shared" si="11"/>
        <v>0</v>
      </c>
      <c r="AE182" s="21">
        <f t="shared" ref="AE182:AH182" si="913">if(OR(BD182 = $AO$6, BD182 = $AS$6, BD182 = $AT$6, BD182 = $AU$6), 1, 0)</f>
        <v>0</v>
      </c>
      <c r="AF182" s="21">
        <f t="shared" si="913"/>
        <v>1</v>
      </c>
      <c r="AG182" s="21">
        <f t="shared" si="913"/>
        <v>0</v>
      </c>
      <c r="AH182" s="21">
        <f t="shared" si="913"/>
        <v>0</v>
      </c>
      <c r="AI182" s="21">
        <f t="shared" si="13"/>
        <v>1</v>
      </c>
      <c r="AJ182" s="21">
        <f t="shared" si="14"/>
        <v>2</v>
      </c>
      <c r="AK182" s="59">
        <f t="shared" si="15"/>
        <v>1.25</v>
      </c>
      <c r="AL182" s="60" t="str">
        <f t="shared" si="16"/>
        <v>subpar</v>
      </c>
      <c r="AW182" s="22" t="str">
        <f t="shared" ref="AW182:BC182" si="914">IF(IFERROR(SEARCH(E$1, $D182),0) &gt;= 1, E$1,0)</f>
        <v>Geschiedenis en archeologie</v>
      </c>
      <c r="AX182" s="22">
        <f t="shared" si="914"/>
        <v>0</v>
      </c>
      <c r="AY182" s="22">
        <f t="shared" si="914"/>
        <v>0</v>
      </c>
      <c r="AZ182" s="22">
        <f t="shared" si="914"/>
        <v>0</v>
      </c>
      <c r="BA182" s="22">
        <f t="shared" si="914"/>
        <v>0</v>
      </c>
      <c r="BB182" s="22">
        <f t="shared" si="914"/>
        <v>0</v>
      </c>
      <c r="BC182" s="22">
        <f t="shared" si="914"/>
        <v>0</v>
      </c>
      <c r="BD182" s="22">
        <f t="shared" ref="BD182:BG182" si="915">IF(L182 = true, BD$1, 0)</f>
        <v>0</v>
      </c>
      <c r="BE182" s="22" t="str">
        <f t="shared" si="915"/>
        <v>Café</v>
      </c>
      <c r="BF182" s="22">
        <f t="shared" si="915"/>
        <v>0</v>
      </c>
      <c r="BG182" s="22">
        <f t="shared" si="915"/>
        <v>0</v>
      </c>
      <c r="BH182" s="22" t="str">
        <f>IFERROR(__xludf.DUMMYFUNCTION("""COMPUTED_VALUE"""),"RAM | Regionaal Archeologisch Museum")</f>
        <v>RAM | Regionaal Archeologisch Museum</v>
      </c>
      <c r="BI182" s="24">
        <f>IFERROR(__xludf.DUMMYFUNCTION("""COMPUTED_VALUE"""),6.0)</f>
        <v>6</v>
      </c>
      <c r="BJ182" s="22" t="b">
        <f>IFERROR(__xludf.DUMMYFUNCTION("""COMPUTED_VALUE"""),FALSE)</f>
        <v>0</v>
      </c>
      <c r="BK182" s="22" t="b">
        <f>IFERROR(__xludf.DUMMYFUNCTION("""COMPUTED_VALUE"""),FALSE)</f>
        <v>0</v>
      </c>
      <c r="BL182" s="22"/>
      <c r="BM182" s="22">
        <f>IFERROR(__xludf.DUMMYFUNCTION("""COMPUTED_VALUE"""),0.0)</f>
        <v>0</v>
      </c>
      <c r="BN182" s="22">
        <f>IFERROR(__xludf.DUMMYFUNCTION("""COMPUTED_VALUE"""),1.0)</f>
        <v>1</v>
      </c>
      <c r="BO182" s="22">
        <f>IFERROR(__xludf.DUMMYFUNCTION("""COMPUTED_VALUE"""),0.0)</f>
        <v>0</v>
      </c>
      <c r="BP182" s="22">
        <f>IFERROR(__xludf.DUMMYFUNCTION("""COMPUTED_VALUE"""),0.0)</f>
        <v>0</v>
      </c>
      <c r="BQ182" s="22">
        <f>IFERROR(__xludf.DUMMYFUNCTION("""COMPUTED_VALUE"""),0.0)</f>
        <v>0</v>
      </c>
      <c r="BR182" s="22">
        <f>IFERROR(__xludf.DUMMYFUNCTION("""COMPUTED_VALUE"""),0.0)</f>
        <v>0</v>
      </c>
      <c r="BS182" s="22">
        <f>IFERROR(__xludf.DUMMYFUNCTION("""COMPUTED_VALUE"""),0.0)</f>
        <v>0</v>
      </c>
      <c r="BT182" s="22">
        <f>IFERROR(__xludf.DUMMYFUNCTION("""COMPUTED_VALUE"""),0.0)</f>
        <v>0</v>
      </c>
      <c r="BU182" s="22">
        <f>IFERROR(__xludf.DUMMYFUNCTION("""COMPUTED_VALUE"""),1.0)</f>
        <v>1</v>
      </c>
      <c r="BV182" s="22">
        <f>IFERROR(__xludf.DUMMYFUNCTION("""COMPUTED_VALUE"""),1.0)</f>
        <v>1</v>
      </c>
      <c r="BW182" s="22">
        <f>IFERROR(__xludf.DUMMYFUNCTION("""COMPUTED_VALUE"""),1.0)</f>
        <v>1</v>
      </c>
      <c r="BX182" s="22">
        <f>IFERROR(__xludf.DUMMYFUNCTION("""COMPUTED_VALUE"""),0.0)</f>
        <v>0</v>
      </c>
      <c r="BY182" s="22">
        <f>IFERROR(__xludf.DUMMYFUNCTION("""COMPUTED_VALUE"""),0.0)</f>
        <v>0</v>
      </c>
      <c r="BZ182" s="22">
        <f>IFERROR(__xludf.DUMMYFUNCTION("""COMPUTED_VALUE"""),0.0)</f>
        <v>0</v>
      </c>
      <c r="CA182" s="22">
        <f>IFERROR(__xludf.DUMMYFUNCTION("""COMPUTED_VALUE"""),1.0)</f>
        <v>1</v>
      </c>
      <c r="CB182" s="22">
        <f>IFERROR(__xludf.DUMMYFUNCTION("""COMPUTED_VALUE"""),3.0)</f>
        <v>3</v>
      </c>
      <c r="CC182" s="61">
        <f>IFERROR(__xludf.DUMMYFUNCTION("""COMPUTED_VALUE"""),1.875)</f>
        <v>1.875</v>
      </c>
      <c r="CD182" s="62" t="str">
        <f>IFERROR(__xludf.DUMMYFUNCTION("""COMPUTED_VALUE"""),"subpar")</f>
        <v>subpar</v>
      </c>
      <c r="CE182" s="22" t="s">
        <v>275</v>
      </c>
      <c r="CF182" s="24">
        <v>6.0</v>
      </c>
      <c r="CG182" s="22" t="b">
        <v>0</v>
      </c>
      <c r="CH182" s="22" t="b">
        <v>0</v>
      </c>
      <c r="CI182" s="22"/>
      <c r="CJ182" s="22">
        <v>0.0</v>
      </c>
      <c r="CK182" s="22">
        <v>1.0</v>
      </c>
      <c r="CL182" s="22">
        <v>0.0</v>
      </c>
      <c r="CM182" s="22">
        <v>0.0</v>
      </c>
      <c r="CN182" s="22">
        <v>0.0</v>
      </c>
      <c r="CO182" s="22">
        <v>0.0</v>
      </c>
      <c r="CP182" s="22">
        <v>0.0</v>
      </c>
      <c r="CQ182" s="22">
        <v>0.0</v>
      </c>
      <c r="CR182" s="22">
        <v>1.0</v>
      </c>
      <c r="CS182" s="22">
        <v>1.0</v>
      </c>
      <c r="CT182" s="22">
        <v>1.0</v>
      </c>
      <c r="CU182" s="22">
        <v>0.0</v>
      </c>
      <c r="CV182" s="22">
        <v>0.0</v>
      </c>
      <c r="CW182" s="22">
        <v>0.0</v>
      </c>
      <c r="CX182" s="22">
        <v>1.0</v>
      </c>
      <c r="CY182" s="22">
        <v>3.0</v>
      </c>
      <c r="CZ182" s="61">
        <v>1.875</v>
      </c>
      <c r="DA182" s="62" t="s">
        <v>568</v>
      </c>
    </row>
    <row r="183">
      <c r="A183" s="16"/>
      <c r="B183" s="16" t="s">
        <v>394</v>
      </c>
      <c r="C183" s="39" t="s">
        <v>48</v>
      </c>
      <c r="D183" s="16" t="s">
        <v>198</v>
      </c>
      <c r="E183" s="17" t="b">
        <f t="shared" ref="E183:K183" si="916">If(IFERROR(SEARCH(E$1, $D183),0) &gt;= 1, true,false)</f>
        <v>1</v>
      </c>
      <c r="F183" s="17" t="b">
        <f t="shared" si="916"/>
        <v>0</v>
      </c>
      <c r="G183" s="17" t="b">
        <f t="shared" si="916"/>
        <v>0</v>
      </c>
      <c r="H183" s="17" t="b">
        <f t="shared" si="916"/>
        <v>0</v>
      </c>
      <c r="I183" s="17" t="b">
        <f t="shared" si="916"/>
        <v>1</v>
      </c>
      <c r="J183" s="17" t="b">
        <f t="shared" si="916"/>
        <v>1</v>
      </c>
      <c r="K183" s="17" t="b">
        <f t="shared" si="916"/>
        <v>0</v>
      </c>
      <c r="L183" s="18" t="b">
        <v>1</v>
      </c>
      <c r="M183" s="18" t="b">
        <v>0</v>
      </c>
      <c r="N183" s="18" t="b">
        <v>0</v>
      </c>
      <c r="O183" s="18" t="b">
        <v>0</v>
      </c>
      <c r="P183" s="16" t="str">
        <f t="shared" si="7"/>
        <v>DHAM | Durbuy History &amp; Art Museum</v>
      </c>
      <c r="Q183" s="19">
        <v>6.0</v>
      </c>
      <c r="R183" s="18" t="b">
        <v>0</v>
      </c>
      <c r="S183" s="18" t="b">
        <v>1</v>
      </c>
      <c r="T183" s="35">
        <v>6.0</v>
      </c>
      <c r="U183" s="21">
        <f t="shared" si="8"/>
        <v>0</v>
      </c>
      <c r="V183" s="21">
        <f t="shared" ref="V183:AB183" si="917">if(OR(AW183 = $AO$4, AW183 = $AQ$4), 1, 0)</f>
        <v>1</v>
      </c>
      <c r="W183" s="21">
        <f t="shared" si="917"/>
        <v>0</v>
      </c>
      <c r="X183" s="21">
        <f t="shared" si="917"/>
        <v>0</v>
      </c>
      <c r="Y183" s="21">
        <f t="shared" si="917"/>
        <v>0</v>
      </c>
      <c r="Z183" s="21">
        <f t="shared" si="917"/>
        <v>0</v>
      </c>
      <c r="AA183" s="21">
        <f t="shared" si="917"/>
        <v>1</v>
      </c>
      <c r="AB183" s="21">
        <f t="shared" si="917"/>
        <v>0</v>
      </c>
      <c r="AC183" s="21">
        <f t="shared" si="10"/>
        <v>2</v>
      </c>
      <c r="AD183" s="21">
        <f t="shared" si="11"/>
        <v>1</v>
      </c>
      <c r="AE183" s="21">
        <f t="shared" ref="AE183:AH183" si="918">if(OR(BD183 = $AO$6, BD183 = $AS$6, BD183 = $AT$6, BD183 = $AU$6), 1, 0)</f>
        <v>1</v>
      </c>
      <c r="AF183" s="21">
        <f t="shared" si="918"/>
        <v>0</v>
      </c>
      <c r="AG183" s="21">
        <f t="shared" si="918"/>
        <v>0</v>
      </c>
      <c r="AH183" s="21">
        <f t="shared" si="918"/>
        <v>0</v>
      </c>
      <c r="AI183" s="21">
        <f t="shared" si="13"/>
        <v>1</v>
      </c>
      <c r="AJ183" s="21">
        <f t="shared" si="14"/>
        <v>4</v>
      </c>
      <c r="AK183" s="59">
        <f t="shared" si="15"/>
        <v>2.5</v>
      </c>
      <c r="AL183" s="60" t="str">
        <f t="shared" si="16"/>
        <v>subpar</v>
      </c>
      <c r="AW183" s="22" t="str">
        <f t="shared" ref="AW183:BC183" si="919">IF(IFERROR(SEARCH(E$1, $D183),0) &gt;= 1, E$1,0)</f>
        <v>Geschiedenis en archeologie</v>
      </c>
      <c r="AX183" s="22">
        <f t="shared" si="919"/>
        <v>0</v>
      </c>
      <c r="AY183" s="22">
        <f t="shared" si="919"/>
        <v>0</v>
      </c>
      <c r="AZ183" s="22">
        <f t="shared" si="919"/>
        <v>0</v>
      </c>
      <c r="BA183" s="22" t="str">
        <f t="shared" si="919"/>
        <v>Architectuur</v>
      </c>
      <c r="BB183" s="22" t="str">
        <f t="shared" si="919"/>
        <v>Beeldende kunst</v>
      </c>
      <c r="BC183" s="22">
        <f t="shared" si="919"/>
        <v>0</v>
      </c>
      <c r="BD183" s="22" t="str">
        <f t="shared" ref="BD183:BG183" si="920">IF(L183 = true, BD$1, 0)</f>
        <v>Shop</v>
      </c>
      <c r="BE183" s="22">
        <f t="shared" si="920"/>
        <v>0</v>
      </c>
      <c r="BF183" s="22">
        <f t="shared" si="920"/>
        <v>0</v>
      </c>
      <c r="BG183" s="22">
        <f t="shared" si="920"/>
        <v>0</v>
      </c>
      <c r="BH183" s="22" t="str">
        <f>IFERROR(__xludf.DUMMYFUNCTION("""COMPUTED_VALUE"""),"Archeoforum van Luik")</f>
        <v>Archeoforum van Luik</v>
      </c>
      <c r="BI183" s="24">
        <f>IFERROR(__xludf.DUMMYFUNCTION("""COMPUTED_VALUE"""),6.0)</f>
        <v>6</v>
      </c>
      <c r="BJ183" s="22" t="b">
        <f>IFERROR(__xludf.DUMMYFUNCTION("""COMPUTED_VALUE"""),FALSE)</f>
        <v>0</v>
      </c>
      <c r="BK183" s="22" t="b">
        <f>IFERROR(__xludf.DUMMYFUNCTION("""COMPUTED_VALUE"""),FALSE)</f>
        <v>0</v>
      </c>
      <c r="BL183" s="22"/>
      <c r="BM183" s="22">
        <f>IFERROR(__xludf.DUMMYFUNCTION("""COMPUTED_VALUE"""),0.0)</f>
        <v>0</v>
      </c>
      <c r="BN183" s="22">
        <f>IFERROR(__xludf.DUMMYFUNCTION("""COMPUTED_VALUE"""),1.0)</f>
        <v>1</v>
      </c>
      <c r="BO183" s="22">
        <f>IFERROR(__xludf.DUMMYFUNCTION("""COMPUTED_VALUE"""),0.0)</f>
        <v>0</v>
      </c>
      <c r="BP183" s="22">
        <f>IFERROR(__xludf.DUMMYFUNCTION("""COMPUTED_VALUE"""),0.0)</f>
        <v>0</v>
      </c>
      <c r="BQ183" s="22">
        <f>IFERROR(__xludf.DUMMYFUNCTION("""COMPUTED_VALUE"""),0.0)</f>
        <v>0</v>
      </c>
      <c r="BR183" s="22">
        <f>IFERROR(__xludf.DUMMYFUNCTION("""COMPUTED_VALUE"""),0.0)</f>
        <v>0</v>
      </c>
      <c r="BS183" s="22">
        <f>IFERROR(__xludf.DUMMYFUNCTION("""COMPUTED_VALUE"""),0.0)</f>
        <v>0</v>
      </c>
      <c r="BT183" s="22">
        <f>IFERROR(__xludf.DUMMYFUNCTION("""COMPUTED_VALUE"""),0.0)</f>
        <v>0</v>
      </c>
      <c r="BU183" s="22">
        <f>IFERROR(__xludf.DUMMYFUNCTION("""COMPUTED_VALUE"""),1.0)</f>
        <v>1</v>
      </c>
      <c r="BV183" s="22">
        <f>IFERROR(__xludf.DUMMYFUNCTION("""COMPUTED_VALUE"""),1.0)</f>
        <v>1</v>
      </c>
      <c r="BW183" s="22">
        <f>IFERROR(__xludf.DUMMYFUNCTION("""COMPUTED_VALUE"""),1.0)</f>
        <v>1</v>
      </c>
      <c r="BX183" s="22">
        <f>IFERROR(__xludf.DUMMYFUNCTION("""COMPUTED_VALUE"""),0.0)</f>
        <v>0</v>
      </c>
      <c r="BY183" s="22">
        <f>IFERROR(__xludf.DUMMYFUNCTION("""COMPUTED_VALUE"""),0.0)</f>
        <v>0</v>
      </c>
      <c r="BZ183" s="22">
        <f>IFERROR(__xludf.DUMMYFUNCTION("""COMPUTED_VALUE"""),0.0)</f>
        <v>0</v>
      </c>
      <c r="CA183" s="22">
        <f>IFERROR(__xludf.DUMMYFUNCTION("""COMPUTED_VALUE"""),1.0)</f>
        <v>1</v>
      </c>
      <c r="CB183" s="22">
        <f>IFERROR(__xludf.DUMMYFUNCTION("""COMPUTED_VALUE"""),3.0)</f>
        <v>3</v>
      </c>
      <c r="CC183" s="61">
        <f>IFERROR(__xludf.DUMMYFUNCTION("""COMPUTED_VALUE"""),1.875)</f>
        <v>1.875</v>
      </c>
      <c r="CD183" s="62" t="str">
        <f>IFERROR(__xludf.DUMMYFUNCTION("""COMPUTED_VALUE"""),"subpar")</f>
        <v>subpar</v>
      </c>
      <c r="CE183" s="22" t="s">
        <v>286</v>
      </c>
      <c r="CF183" s="24">
        <v>6.0</v>
      </c>
      <c r="CG183" s="22" t="b">
        <v>0</v>
      </c>
      <c r="CH183" s="22" t="b">
        <v>0</v>
      </c>
      <c r="CI183" s="22"/>
      <c r="CJ183" s="22">
        <v>0.0</v>
      </c>
      <c r="CK183" s="22">
        <v>1.0</v>
      </c>
      <c r="CL183" s="22">
        <v>0.0</v>
      </c>
      <c r="CM183" s="22">
        <v>0.0</v>
      </c>
      <c r="CN183" s="22">
        <v>0.0</v>
      </c>
      <c r="CO183" s="22">
        <v>0.0</v>
      </c>
      <c r="CP183" s="22">
        <v>0.0</v>
      </c>
      <c r="CQ183" s="22">
        <v>0.0</v>
      </c>
      <c r="CR183" s="22">
        <v>1.0</v>
      </c>
      <c r="CS183" s="22">
        <v>1.0</v>
      </c>
      <c r="CT183" s="22">
        <v>1.0</v>
      </c>
      <c r="CU183" s="22">
        <v>0.0</v>
      </c>
      <c r="CV183" s="22">
        <v>0.0</v>
      </c>
      <c r="CW183" s="22">
        <v>0.0</v>
      </c>
      <c r="CX183" s="22">
        <v>1.0</v>
      </c>
      <c r="CY183" s="22">
        <v>3.0</v>
      </c>
      <c r="CZ183" s="61">
        <v>1.875</v>
      </c>
      <c r="DA183" s="62" t="s">
        <v>568</v>
      </c>
    </row>
    <row r="184">
      <c r="A184" s="16"/>
      <c r="B184" s="16" t="s">
        <v>395</v>
      </c>
      <c r="C184" s="39" t="s">
        <v>48</v>
      </c>
      <c r="D184" s="16" t="s">
        <v>396</v>
      </c>
      <c r="E184" s="17" t="b">
        <f t="shared" ref="E184:K184" si="921">If(IFERROR(SEARCH(E$1, $D184),0) &gt;= 1, true,false)</f>
        <v>1</v>
      </c>
      <c r="F184" s="17" t="b">
        <f t="shared" si="921"/>
        <v>0</v>
      </c>
      <c r="G184" s="17" t="b">
        <f t="shared" si="921"/>
        <v>1</v>
      </c>
      <c r="H184" s="17" t="b">
        <f t="shared" si="921"/>
        <v>0</v>
      </c>
      <c r="I184" s="17" t="b">
        <f t="shared" si="921"/>
        <v>1</v>
      </c>
      <c r="J184" s="17" t="b">
        <f t="shared" si="921"/>
        <v>1</v>
      </c>
      <c r="K184" s="17" t="b">
        <f t="shared" si="921"/>
        <v>1</v>
      </c>
      <c r="L184" s="18" t="b">
        <v>1</v>
      </c>
      <c r="M184" s="18" t="b">
        <v>0</v>
      </c>
      <c r="N184" s="18" t="b">
        <v>0</v>
      </c>
      <c r="O184" s="18" t="b">
        <v>0</v>
      </c>
      <c r="P184" s="16" t="str">
        <f t="shared" si="7"/>
        <v>FAM | Famenne &amp; Art Museum</v>
      </c>
      <c r="Q184" s="19">
        <v>5.0</v>
      </c>
      <c r="R184" s="18" t="b">
        <v>0</v>
      </c>
      <c r="S184" s="18" t="b">
        <v>1</v>
      </c>
      <c r="T184" s="31">
        <v>5.0</v>
      </c>
      <c r="U184" s="21">
        <f t="shared" si="8"/>
        <v>0</v>
      </c>
      <c r="V184" s="21">
        <f t="shared" ref="V184:AB184" si="922">if(OR(AW184 = $AO$4, AW184 = $AQ$4), 1, 0)</f>
        <v>1</v>
      </c>
      <c r="W184" s="21">
        <f t="shared" si="922"/>
        <v>0</v>
      </c>
      <c r="X184" s="21">
        <f t="shared" si="922"/>
        <v>0</v>
      </c>
      <c r="Y184" s="21">
        <f t="shared" si="922"/>
        <v>0</v>
      </c>
      <c r="Z184" s="21">
        <f t="shared" si="922"/>
        <v>0</v>
      </c>
      <c r="AA184" s="21">
        <f t="shared" si="922"/>
        <v>1</v>
      </c>
      <c r="AB184" s="21">
        <f t="shared" si="922"/>
        <v>0</v>
      </c>
      <c r="AC184" s="21">
        <f t="shared" si="10"/>
        <v>2</v>
      </c>
      <c r="AD184" s="21">
        <f t="shared" si="11"/>
        <v>1</v>
      </c>
      <c r="AE184" s="21">
        <f t="shared" ref="AE184:AH184" si="923">if(OR(BD184 = $AO$6, BD184 = $AS$6, BD184 = $AT$6, BD184 = $AU$6), 1, 0)</f>
        <v>1</v>
      </c>
      <c r="AF184" s="21">
        <f t="shared" si="923"/>
        <v>0</v>
      </c>
      <c r="AG184" s="21">
        <f t="shared" si="923"/>
        <v>0</v>
      </c>
      <c r="AH184" s="21">
        <f t="shared" si="923"/>
        <v>0</v>
      </c>
      <c r="AI184" s="21">
        <f t="shared" si="13"/>
        <v>1</v>
      </c>
      <c r="AJ184" s="21">
        <f t="shared" si="14"/>
        <v>4</v>
      </c>
      <c r="AK184" s="59">
        <f t="shared" si="15"/>
        <v>2.5</v>
      </c>
      <c r="AL184" s="60" t="str">
        <f t="shared" si="16"/>
        <v>subpar</v>
      </c>
      <c r="AW184" s="22" t="str">
        <f t="shared" ref="AW184:BC184" si="924">IF(IFERROR(SEARCH(E$1, $D184),0) &gt;= 1, E$1,0)</f>
        <v>Geschiedenis en archeologie</v>
      </c>
      <c r="AX184" s="22">
        <f t="shared" si="924"/>
        <v>0</v>
      </c>
      <c r="AY184" s="22" t="str">
        <f t="shared" si="924"/>
        <v>Mode</v>
      </c>
      <c r="AZ184" s="22">
        <f t="shared" si="924"/>
        <v>0</v>
      </c>
      <c r="BA184" s="22" t="str">
        <f t="shared" si="924"/>
        <v>Architectuur</v>
      </c>
      <c r="BB184" s="22" t="str">
        <f t="shared" si="924"/>
        <v>Beeldende kunst</v>
      </c>
      <c r="BC184" s="22" t="str">
        <f t="shared" si="924"/>
        <v>Toegepaste kunst en design</v>
      </c>
      <c r="BD184" s="22" t="str">
        <f t="shared" ref="BD184:BG184" si="925">IF(L184 = true, BD$1, 0)</f>
        <v>Shop</v>
      </c>
      <c r="BE184" s="22">
        <f t="shared" si="925"/>
        <v>0</v>
      </c>
      <c r="BF184" s="22">
        <f t="shared" si="925"/>
        <v>0</v>
      </c>
      <c r="BG184" s="22">
        <f t="shared" si="925"/>
        <v>0</v>
      </c>
      <c r="BH184" s="22" t="str">
        <f>IFERROR(__xludf.DUMMYFUNCTION("""COMPUTED_VALUE"""),"Bos en Watermuseum “P. Noé”")</f>
        <v>Bos en Watermuseum “P. Noé”</v>
      </c>
      <c r="BI184" s="24">
        <f>IFERROR(__xludf.DUMMYFUNCTION("""COMPUTED_VALUE"""),7.0)</f>
        <v>7</v>
      </c>
      <c r="BJ184" s="22" t="b">
        <f>IFERROR(__xludf.DUMMYFUNCTION("""COMPUTED_VALUE"""),FALSE)</f>
        <v>0</v>
      </c>
      <c r="BK184" s="22" t="b">
        <f>IFERROR(__xludf.DUMMYFUNCTION("""COMPUTED_VALUE"""),FALSE)</f>
        <v>0</v>
      </c>
      <c r="BL184" s="22"/>
      <c r="BM184" s="22">
        <f>IFERROR(__xludf.DUMMYFUNCTION("""COMPUTED_VALUE"""),0.0)</f>
        <v>0</v>
      </c>
      <c r="BN184" s="22">
        <f>IFERROR(__xludf.DUMMYFUNCTION("""COMPUTED_VALUE"""),0.0)</f>
        <v>0</v>
      </c>
      <c r="BO184" s="22">
        <f>IFERROR(__xludf.DUMMYFUNCTION("""COMPUTED_VALUE"""),0.0)</f>
        <v>0</v>
      </c>
      <c r="BP184" s="22">
        <f>IFERROR(__xludf.DUMMYFUNCTION("""COMPUTED_VALUE"""),0.0)</f>
        <v>0</v>
      </c>
      <c r="BQ184" s="22">
        <f>IFERROR(__xludf.DUMMYFUNCTION("""COMPUTED_VALUE"""),0.0)</f>
        <v>0</v>
      </c>
      <c r="BR184" s="22">
        <f>IFERROR(__xludf.DUMMYFUNCTION("""COMPUTED_VALUE"""),0.0)</f>
        <v>0</v>
      </c>
      <c r="BS184" s="22">
        <f>IFERROR(__xludf.DUMMYFUNCTION("""COMPUTED_VALUE"""),0.0)</f>
        <v>0</v>
      </c>
      <c r="BT184" s="22">
        <f>IFERROR(__xludf.DUMMYFUNCTION("""COMPUTED_VALUE"""),0.0)</f>
        <v>0</v>
      </c>
      <c r="BU184" s="22">
        <f>IFERROR(__xludf.DUMMYFUNCTION("""COMPUTED_VALUE"""),0.0)</f>
        <v>0</v>
      </c>
      <c r="BV184" s="22">
        <f>IFERROR(__xludf.DUMMYFUNCTION("""COMPUTED_VALUE"""),1.0)</f>
        <v>1</v>
      </c>
      <c r="BW184" s="22">
        <f>IFERROR(__xludf.DUMMYFUNCTION("""COMPUTED_VALUE"""),1.0)</f>
        <v>1</v>
      </c>
      <c r="BX184" s="22">
        <f>IFERROR(__xludf.DUMMYFUNCTION("""COMPUTED_VALUE"""),1.0)</f>
        <v>1</v>
      </c>
      <c r="BY184" s="22">
        <f>IFERROR(__xludf.DUMMYFUNCTION("""COMPUTED_VALUE"""),0.0)</f>
        <v>0</v>
      </c>
      <c r="BZ184" s="22">
        <f>IFERROR(__xludf.DUMMYFUNCTION("""COMPUTED_VALUE"""),0.0)</f>
        <v>0</v>
      </c>
      <c r="CA184" s="22">
        <f>IFERROR(__xludf.DUMMYFUNCTION("""COMPUTED_VALUE"""),2.0)</f>
        <v>2</v>
      </c>
      <c r="CB184" s="22">
        <f>IFERROR(__xludf.DUMMYFUNCTION("""COMPUTED_VALUE"""),3.0)</f>
        <v>3</v>
      </c>
      <c r="CC184" s="61">
        <f>IFERROR(__xludf.DUMMYFUNCTION("""COMPUTED_VALUE"""),1.875)</f>
        <v>1.875</v>
      </c>
      <c r="CD184" s="62" t="str">
        <f>IFERROR(__xludf.DUMMYFUNCTION("""COMPUTED_VALUE"""),"subpar")</f>
        <v>subpar</v>
      </c>
      <c r="CE184" s="22" t="s">
        <v>293</v>
      </c>
      <c r="CF184" s="24">
        <v>7.0</v>
      </c>
      <c r="CG184" s="22" t="b">
        <v>0</v>
      </c>
      <c r="CH184" s="22" t="b">
        <v>0</v>
      </c>
      <c r="CI184" s="22"/>
      <c r="CJ184" s="22">
        <v>0.0</v>
      </c>
      <c r="CK184" s="22">
        <v>0.0</v>
      </c>
      <c r="CL184" s="22">
        <v>0.0</v>
      </c>
      <c r="CM184" s="22">
        <v>0.0</v>
      </c>
      <c r="CN184" s="22">
        <v>0.0</v>
      </c>
      <c r="CO184" s="22">
        <v>0.0</v>
      </c>
      <c r="CP184" s="22">
        <v>0.0</v>
      </c>
      <c r="CQ184" s="22">
        <v>0.0</v>
      </c>
      <c r="CR184" s="22">
        <v>0.0</v>
      </c>
      <c r="CS184" s="22">
        <v>1.0</v>
      </c>
      <c r="CT184" s="22">
        <v>1.0</v>
      </c>
      <c r="CU184" s="22">
        <v>1.0</v>
      </c>
      <c r="CV184" s="22">
        <v>0.0</v>
      </c>
      <c r="CW184" s="22">
        <v>0.0</v>
      </c>
      <c r="CX184" s="22">
        <v>2.0</v>
      </c>
      <c r="CY184" s="22">
        <v>3.0</v>
      </c>
      <c r="CZ184" s="61">
        <v>1.875</v>
      </c>
      <c r="DA184" s="62" t="s">
        <v>568</v>
      </c>
    </row>
    <row r="185">
      <c r="A185" s="16" t="s">
        <v>397</v>
      </c>
      <c r="B185" s="16" t="s">
        <v>398</v>
      </c>
      <c r="C185" s="39" t="s">
        <v>48</v>
      </c>
      <c r="D185" s="16" t="s">
        <v>344</v>
      </c>
      <c r="E185" s="17" t="b">
        <f t="shared" ref="E185:K185" si="926">If(IFERROR(SEARCH(E$1, $D185),0) &gt;= 1, true,false)</f>
        <v>1</v>
      </c>
      <c r="F185" s="17" t="b">
        <f t="shared" si="926"/>
        <v>0</v>
      </c>
      <c r="G185" s="17" t="b">
        <f t="shared" si="926"/>
        <v>0</v>
      </c>
      <c r="H185" s="17" t="b">
        <f t="shared" si="926"/>
        <v>0</v>
      </c>
      <c r="I185" s="17" t="b">
        <f t="shared" si="926"/>
        <v>0</v>
      </c>
      <c r="J185" s="17" t="b">
        <f t="shared" si="926"/>
        <v>0</v>
      </c>
      <c r="K185" s="17" t="b">
        <f t="shared" si="926"/>
        <v>0</v>
      </c>
      <c r="L185" s="18" t="b">
        <v>1</v>
      </c>
      <c r="M185" s="18" t="b">
        <v>0</v>
      </c>
      <c r="N185" s="18" t="b">
        <v>1</v>
      </c>
      <c r="O185" s="18" t="b">
        <v>1</v>
      </c>
      <c r="P185" s="16" t="str">
        <f t="shared" si="7"/>
        <v>Megalietenhuis</v>
      </c>
      <c r="Q185" s="19">
        <v>4.0</v>
      </c>
      <c r="R185" s="18" t="b">
        <v>0</v>
      </c>
      <c r="S185" s="18" t="b">
        <v>1</v>
      </c>
      <c r="T185" s="35">
        <v>4.0</v>
      </c>
      <c r="U185" s="21">
        <f t="shared" si="8"/>
        <v>0</v>
      </c>
      <c r="V185" s="21">
        <f t="shared" ref="V185:AB185" si="927">if(OR(AW185 = $AO$4, AW185 = $AQ$4), 1, 0)</f>
        <v>1</v>
      </c>
      <c r="W185" s="21">
        <f t="shared" si="927"/>
        <v>0</v>
      </c>
      <c r="X185" s="21">
        <f t="shared" si="927"/>
        <v>0</v>
      </c>
      <c r="Y185" s="21">
        <f t="shared" si="927"/>
        <v>0</v>
      </c>
      <c r="Z185" s="21">
        <f t="shared" si="927"/>
        <v>0</v>
      </c>
      <c r="AA185" s="21">
        <f t="shared" si="927"/>
        <v>0</v>
      </c>
      <c r="AB185" s="21">
        <f t="shared" si="927"/>
        <v>0</v>
      </c>
      <c r="AC185" s="21">
        <f t="shared" si="10"/>
        <v>1</v>
      </c>
      <c r="AD185" s="21">
        <f t="shared" si="11"/>
        <v>1</v>
      </c>
      <c r="AE185" s="21">
        <f t="shared" ref="AE185:AH185" si="928">if(OR(BD185 = $AO$6, BD185 = $AS$6, BD185 = $AT$6, BD185 = $AU$6), 1, 0)</f>
        <v>1</v>
      </c>
      <c r="AF185" s="21">
        <f t="shared" si="928"/>
        <v>0</v>
      </c>
      <c r="AG185" s="21">
        <f t="shared" si="928"/>
        <v>1</v>
      </c>
      <c r="AH185" s="21">
        <f t="shared" si="928"/>
        <v>1</v>
      </c>
      <c r="AI185" s="21">
        <f t="shared" si="13"/>
        <v>3</v>
      </c>
      <c r="AJ185" s="21">
        <f t="shared" si="14"/>
        <v>5</v>
      </c>
      <c r="AK185" s="59">
        <f t="shared" si="15"/>
        <v>3.125</v>
      </c>
      <c r="AL185" s="60" t="str">
        <f t="shared" si="16"/>
        <v>good</v>
      </c>
      <c r="AW185" s="22" t="str">
        <f t="shared" ref="AW185:BC185" si="929">IF(IFERROR(SEARCH(E$1, $D185),0) &gt;= 1, E$1,0)</f>
        <v>Geschiedenis en archeologie</v>
      </c>
      <c r="AX185" s="22">
        <f t="shared" si="929"/>
        <v>0</v>
      </c>
      <c r="AY185" s="22">
        <f t="shared" si="929"/>
        <v>0</v>
      </c>
      <c r="AZ185" s="22">
        <f t="shared" si="929"/>
        <v>0</v>
      </c>
      <c r="BA185" s="22">
        <f t="shared" si="929"/>
        <v>0</v>
      </c>
      <c r="BB185" s="22">
        <f t="shared" si="929"/>
        <v>0</v>
      </c>
      <c r="BC185" s="22">
        <f t="shared" si="929"/>
        <v>0</v>
      </c>
      <c r="BD185" s="22" t="str">
        <f t="shared" ref="BD185:BG185" si="930">IF(L185 = true, BD$1, 0)</f>
        <v>Shop</v>
      </c>
      <c r="BE185" s="22">
        <f t="shared" si="930"/>
        <v>0</v>
      </c>
      <c r="BF185" s="22" t="str">
        <f t="shared" si="930"/>
        <v>Parking</v>
      </c>
      <c r="BG185" s="22" t="str">
        <f t="shared" si="930"/>
        <v>Restaurant</v>
      </c>
      <c r="BH185" s="22" t="str">
        <f>IFERROR(__xludf.DUMMYFUNCTION("""COMPUTED_VALUE"""),"Musea van de Kuurstad")</f>
        <v>Musea van de Kuurstad</v>
      </c>
      <c r="BI185" s="24">
        <f>IFERROR(__xludf.DUMMYFUNCTION("""COMPUTED_VALUE"""),5.0)</f>
        <v>5</v>
      </c>
      <c r="BJ185" s="22" t="b">
        <f>IFERROR(__xludf.DUMMYFUNCTION("""COMPUTED_VALUE"""),FALSE)</f>
        <v>0</v>
      </c>
      <c r="BK185" s="22" t="b">
        <f>IFERROR(__xludf.DUMMYFUNCTION("""COMPUTED_VALUE"""),FALSE)</f>
        <v>0</v>
      </c>
      <c r="BL185" s="22"/>
      <c r="BM185" s="22">
        <f>IFERROR(__xludf.DUMMYFUNCTION("""COMPUTED_VALUE"""),0.0)</f>
        <v>0</v>
      </c>
      <c r="BN185" s="22">
        <f>IFERROR(__xludf.DUMMYFUNCTION("""COMPUTED_VALUE"""),1.0)</f>
        <v>1</v>
      </c>
      <c r="BO185" s="22">
        <f>IFERROR(__xludf.DUMMYFUNCTION("""COMPUTED_VALUE"""),0.0)</f>
        <v>0</v>
      </c>
      <c r="BP185" s="22">
        <f>IFERROR(__xludf.DUMMYFUNCTION("""COMPUTED_VALUE"""),0.0)</f>
        <v>0</v>
      </c>
      <c r="BQ185" s="22">
        <f>IFERROR(__xludf.DUMMYFUNCTION("""COMPUTED_VALUE"""),0.0)</f>
        <v>0</v>
      </c>
      <c r="BR185" s="22">
        <f>IFERROR(__xludf.DUMMYFUNCTION("""COMPUTED_VALUE"""),0.0)</f>
        <v>0</v>
      </c>
      <c r="BS185" s="22">
        <f>IFERROR(__xludf.DUMMYFUNCTION("""COMPUTED_VALUE"""),0.0)</f>
        <v>0</v>
      </c>
      <c r="BT185" s="22">
        <f>IFERROR(__xludf.DUMMYFUNCTION("""COMPUTED_VALUE"""),0.0)</f>
        <v>0</v>
      </c>
      <c r="BU185" s="22">
        <f>IFERROR(__xludf.DUMMYFUNCTION("""COMPUTED_VALUE"""),1.0)</f>
        <v>1</v>
      </c>
      <c r="BV185" s="22">
        <f>IFERROR(__xludf.DUMMYFUNCTION("""COMPUTED_VALUE"""),1.0)</f>
        <v>1</v>
      </c>
      <c r="BW185" s="22">
        <f>IFERROR(__xludf.DUMMYFUNCTION("""COMPUTED_VALUE"""),1.0)</f>
        <v>1</v>
      </c>
      <c r="BX185" s="22">
        <f>IFERROR(__xludf.DUMMYFUNCTION("""COMPUTED_VALUE"""),0.0)</f>
        <v>0</v>
      </c>
      <c r="BY185" s="22">
        <f>IFERROR(__xludf.DUMMYFUNCTION("""COMPUTED_VALUE"""),0.0)</f>
        <v>0</v>
      </c>
      <c r="BZ185" s="22">
        <f>IFERROR(__xludf.DUMMYFUNCTION("""COMPUTED_VALUE"""),0.0)</f>
        <v>0</v>
      </c>
      <c r="CA185" s="22">
        <f>IFERROR(__xludf.DUMMYFUNCTION("""COMPUTED_VALUE"""),1.0)</f>
        <v>1</v>
      </c>
      <c r="CB185" s="22">
        <f>IFERROR(__xludf.DUMMYFUNCTION("""COMPUTED_VALUE"""),3.0)</f>
        <v>3</v>
      </c>
      <c r="CC185" s="61">
        <f>IFERROR(__xludf.DUMMYFUNCTION("""COMPUTED_VALUE"""),1.875)</f>
        <v>1.875</v>
      </c>
      <c r="CD185" s="62" t="str">
        <f>IFERROR(__xludf.DUMMYFUNCTION("""COMPUTED_VALUE"""),"subpar")</f>
        <v>subpar</v>
      </c>
      <c r="CE185" s="22" t="s">
        <v>303</v>
      </c>
      <c r="CF185" s="24">
        <v>5.0</v>
      </c>
      <c r="CG185" s="22" t="b">
        <v>0</v>
      </c>
      <c r="CH185" s="22" t="b">
        <v>0</v>
      </c>
      <c r="CI185" s="22"/>
      <c r="CJ185" s="22">
        <v>0.0</v>
      </c>
      <c r="CK185" s="22">
        <v>1.0</v>
      </c>
      <c r="CL185" s="22">
        <v>0.0</v>
      </c>
      <c r="CM185" s="22">
        <v>0.0</v>
      </c>
      <c r="CN185" s="22">
        <v>0.0</v>
      </c>
      <c r="CO185" s="22">
        <v>0.0</v>
      </c>
      <c r="CP185" s="22">
        <v>0.0</v>
      </c>
      <c r="CQ185" s="22">
        <v>0.0</v>
      </c>
      <c r="CR185" s="22">
        <v>1.0</v>
      </c>
      <c r="CS185" s="22">
        <v>1.0</v>
      </c>
      <c r="CT185" s="22">
        <v>1.0</v>
      </c>
      <c r="CU185" s="22">
        <v>0.0</v>
      </c>
      <c r="CV185" s="22">
        <v>0.0</v>
      </c>
      <c r="CW185" s="22">
        <v>0.0</v>
      </c>
      <c r="CX185" s="22">
        <v>1.0</v>
      </c>
      <c r="CY185" s="22">
        <v>3.0</v>
      </c>
      <c r="CZ185" s="61">
        <v>1.875</v>
      </c>
      <c r="DA185" s="62" t="s">
        <v>568</v>
      </c>
    </row>
    <row r="186">
      <c r="A186" s="16"/>
      <c r="B186" s="16" t="s">
        <v>399</v>
      </c>
      <c r="C186" s="39" t="s">
        <v>48</v>
      </c>
      <c r="D186" s="16" t="s">
        <v>9</v>
      </c>
      <c r="E186" s="17" t="b">
        <f t="shared" ref="E186:K186" si="931">If(IFERROR(SEARCH(E$1, $D186),0) &gt;= 1, true,false)</f>
        <v>0</v>
      </c>
      <c r="F186" s="17" t="b">
        <f t="shared" si="931"/>
        <v>0</v>
      </c>
      <c r="G186" s="17" t="b">
        <f t="shared" si="931"/>
        <v>0</v>
      </c>
      <c r="H186" s="17" t="b">
        <f t="shared" si="931"/>
        <v>0</v>
      </c>
      <c r="I186" s="17" t="b">
        <f t="shared" si="931"/>
        <v>0</v>
      </c>
      <c r="J186" s="17" t="b">
        <f t="shared" si="931"/>
        <v>1</v>
      </c>
      <c r="K186" s="17" t="b">
        <f t="shared" si="931"/>
        <v>0</v>
      </c>
      <c r="L186" s="18" t="b">
        <v>1</v>
      </c>
      <c r="M186" s="18" t="b">
        <v>0</v>
      </c>
      <c r="N186" s="18" t="b">
        <v>0</v>
      </c>
      <c r="O186" s="18" t="b">
        <v>1</v>
      </c>
      <c r="P186" s="16" t="str">
        <f t="shared" si="7"/>
        <v>Mudia</v>
      </c>
      <c r="Q186" s="19">
        <v>15.5</v>
      </c>
      <c r="R186" s="18" t="b">
        <v>0</v>
      </c>
      <c r="S186" s="18" t="b">
        <v>0</v>
      </c>
      <c r="T186" s="33"/>
      <c r="U186" s="21">
        <f t="shared" si="8"/>
        <v>0</v>
      </c>
      <c r="V186" s="21">
        <f t="shared" ref="V186:AB186" si="932">if(OR(AW186 = $AO$4, AW186 = $AQ$4), 1, 0)</f>
        <v>0</v>
      </c>
      <c r="W186" s="21">
        <f t="shared" si="932"/>
        <v>0</v>
      </c>
      <c r="X186" s="21">
        <f t="shared" si="932"/>
        <v>0</v>
      </c>
      <c r="Y186" s="21">
        <f t="shared" si="932"/>
        <v>0</v>
      </c>
      <c r="Z186" s="21">
        <f t="shared" si="932"/>
        <v>0</v>
      </c>
      <c r="AA186" s="21">
        <f t="shared" si="932"/>
        <v>1</v>
      </c>
      <c r="AB186" s="21">
        <f t="shared" si="932"/>
        <v>0</v>
      </c>
      <c r="AC186" s="21">
        <f t="shared" si="10"/>
        <v>1</v>
      </c>
      <c r="AD186" s="21">
        <f t="shared" si="11"/>
        <v>0</v>
      </c>
      <c r="AE186" s="21">
        <f t="shared" ref="AE186:AH186" si="933">if(OR(BD186 = $AO$6, BD186 = $AS$6, BD186 = $AT$6, BD186 = $AU$6), 1, 0)</f>
        <v>1</v>
      </c>
      <c r="AF186" s="21">
        <f t="shared" si="933"/>
        <v>0</v>
      </c>
      <c r="AG186" s="21">
        <f t="shared" si="933"/>
        <v>0</v>
      </c>
      <c r="AH186" s="21">
        <f t="shared" si="933"/>
        <v>1</v>
      </c>
      <c r="AI186" s="21">
        <f t="shared" si="13"/>
        <v>2</v>
      </c>
      <c r="AJ186" s="21">
        <f t="shared" si="14"/>
        <v>3</v>
      </c>
      <c r="AK186" s="59">
        <f t="shared" si="15"/>
        <v>1.875</v>
      </c>
      <c r="AL186" s="60" t="str">
        <f t="shared" si="16"/>
        <v>subpar</v>
      </c>
      <c r="AW186" s="22">
        <f t="shared" ref="AW186:BC186" si="934">IF(IFERROR(SEARCH(E$1, $D186),0) &gt;= 1, E$1,0)</f>
        <v>0</v>
      </c>
      <c r="AX186" s="22">
        <f t="shared" si="934"/>
        <v>0</v>
      </c>
      <c r="AY186" s="22">
        <f t="shared" si="934"/>
        <v>0</v>
      </c>
      <c r="AZ186" s="22">
        <f t="shared" si="934"/>
        <v>0</v>
      </c>
      <c r="BA186" s="22">
        <f t="shared" si="934"/>
        <v>0</v>
      </c>
      <c r="BB186" s="22" t="str">
        <f t="shared" si="934"/>
        <v>Beeldende kunst</v>
      </c>
      <c r="BC186" s="22">
        <f t="shared" si="934"/>
        <v>0</v>
      </c>
      <c r="BD186" s="22" t="str">
        <f t="shared" ref="BD186:BG186" si="935">IF(L186 = true, BD$1, 0)</f>
        <v>Shop</v>
      </c>
      <c r="BE186" s="22">
        <f t="shared" si="935"/>
        <v>0</v>
      </c>
      <c r="BF186" s="22">
        <f t="shared" si="935"/>
        <v>0</v>
      </c>
      <c r="BG186" s="22" t="str">
        <f t="shared" si="935"/>
        <v>Restaurant</v>
      </c>
      <c r="BH186" s="22" t="str">
        <f>IFERROR(__xludf.DUMMYFUNCTION("""COMPUTED_VALUE"""),"WaterHouse")</f>
        <v>WaterHouse</v>
      </c>
      <c r="BI186" s="24">
        <f>IFERROR(__xludf.DUMMYFUNCTION("""COMPUTED_VALUE"""),10.0)</f>
        <v>10</v>
      </c>
      <c r="BJ186" s="22" t="b">
        <f>IFERROR(__xludf.DUMMYFUNCTION("""COMPUTED_VALUE"""),TRUE)</f>
        <v>1</v>
      </c>
      <c r="BK186" s="22" t="b">
        <f>IFERROR(__xludf.DUMMYFUNCTION("""COMPUTED_VALUE"""),FALSE)</f>
        <v>0</v>
      </c>
      <c r="BL186" s="22"/>
      <c r="BM186" s="22">
        <f>IFERROR(__xludf.DUMMYFUNCTION("""COMPUTED_VALUE"""),0.0)</f>
        <v>0</v>
      </c>
      <c r="BN186" s="22">
        <f>IFERROR(__xludf.DUMMYFUNCTION("""COMPUTED_VALUE"""),0.0)</f>
        <v>0</v>
      </c>
      <c r="BO186" s="22">
        <f>IFERROR(__xludf.DUMMYFUNCTION("""COMPUTED_VALUE"""),0.0)</f>
        <v>0</v>
      </c>
      <c r="BP186" s="22">
        <f>IFERROR(__xludf.DUMMYFUNCTION("""COMPUTED_VALUE"""),0.0)</f>
        <v>0</v>
      </c>
      <c r="BQ186" s="22">
        <f>IFERROR(__xludf.DUMMYFUNCTION("""COMPUTED_VALUE"""),0.0)</f>
        <v>0</v>
      </c>
      <c r="BR186" s="22">
        <f>IFERROR(__xludf.DUMMYFUNCTION("""COMPUTED_VALUE"""),0.0)</f>
        <v>0</v>
      </c>
      <c r="BS186" s="22">
        <f>IFERROR(__xludf.DUMMYFUNCTION("""COMPUTED_VALUE"""),0.0)</f>
        <v>0</v>
      </c>
      <c r="BT186" s="22">
        <f>IFERROR(__xludf.DUMMYFUNCTION("""COMPUTED_VALUE"""),0.0)</f>
        <v>0</v>
      </c>
      <c r="BU186" s="22">
        <f>IFERROR(__xludf.DUMMYFUNCTION("""COMPUTED_VALUE"""),0.0)</f>
        <v>0</v>
      </c>
      <c r="BV186" s="22">
        <f>IFERROR(__xludf.DUMMYFUNCTION("""COMPUTED_VALUE"""),1.0)</f>
        <v>1</v>
      </c>
      <c r="BW186" s="22">
        <f>IFERROR(__xludf.DUMMYFUNCTION("""COMPUTED_VALUE"""),0.0)</f>
        <v>0</v>
      </c>
      <c r="BX186" s="22">
        <f>IFERROR(__xludf.DUMMYFUNCTION("""COMPUTED_VALUE"""),1.0)</f>
        <v>1</v>
      </c>
      <c r="BY186" s="22">
        <f>IFERROR(__xludf.DUMMYFUNCTION("""COMPUTED_VALUE"""),0.0)</f>
        <v>0</v>
      </c>
      <c r="BZ186" s="22">
        <f>IFERROR(__xludf.DUMMYFUNCTION("""COMPUTED_VALUE"""),1.0)</f>
        <v>1</v>
      </c>
      <c r="CA186" s="22">
        <f>IFERROR(__xludf.DUMMYFUNCTION("""COMPUTED_VALUE"""),2.0)</f>
        <v>2</v>
      </c>
      <c r="CB186" s="22">
        <f>IFERROR(__xludf.DUMMYFUNCTION("""COMPUTED_VALUE"""),3.0)</f>
        <v>3</v>
      </c>
      <c r="CC186" s="61">
        <f>IFERROR(__xludf.DUMMYFUNCTION("""COMPUTED_VALUE"""),1.875)</f>
        <v>1.875</v>
      </c>
      <c r="CD186" s="62" t="str">
        <f>IFERROR(__xludf.DUMMYFUNCTION("""COMPUTED_VALUE"""),"subpar")</f>
        <v>subpar</v>
      </c>
      <c r="CE186" s="22" t="s">
        <v>313</v>
      </c>
      <c r="CF186" s="24">
        <v>10.0</v>
      </c>
      <c r="CG186" s="22" t="b">
        <v>1</v>
      </c>
      <c r="CH186" s="22" t="b">
        <v>0</v>
      </c>
      <c r="CI186" s="22"/>
      <c r="CJ186" s="22">
        <v>0.0</v>
      </c>
      <c r="CK186" s="22">
        <v>0.0</v>
      </c>
      <c r="CL186" s="22">
        <v>0.0</v>
      </c>
      <c r="CM186" s="22">
        <v>0.0</v>
      </c>
      <c r="CN186" s="22">
        <v>0.0</v>
      </c>
      <c r="CO186" s="22">
        <v>0.0</v>
      </c>
      <c r="CP186" s="22">
        <v>0.0</v>
      </c>
      <c r="CQ186" s="22">
        <v>0.0</v>
      </c>
      <c r="CR186" s="22">
        <v>0.0</v>
      </c>
      <c r="CS186" s="22">
        <v>1.0</v>
      </c>
      <c r="CT186" s="22">
        <v>0.0</v>
      </c>
      <c r="CU186" s="22">
        <v>1.0</v>
      </c>
      <c r="CV186" s="22">
        <v>0.0</v>
      </c>
      <c r="CW186" s="22">
        <v>1.0</v>
      </c>
      <c r="CX186" s="22">
        <v>2.0</v>
      </c>
      <c r="CY186" s="22">
        <v>3.0</v>
      </c>
      <c r="CZ186" s="61">
        <v>1.875</v>
      </c>
      <c r="DA186" s="62" t="s">
        <v>568</v>
      </c>
    </row>
    <row r="187">
      <c r="A187" s="16" t="s">
        <v>400</v>
      </c>
      <c r="B187" s="16" t="s">
        <v>401</v>
      </c>
      <c r="C187" s="39" t="s">
        <v>48</v>
      </c>
      <c r="D187" s="16" t="s">
        <v>344</v>
      </c>
      <c r="E187" s="17" t="b">
        <f t="shared" ref="E187:K187" si="936">If(IFERROR(SEARCH(E$1, $D187),0) &gt;= 1, true,false)</f>
        <v>1</v>
      </c>
      <c r="F187" s="17" t="b">
        <f t="shared" si="936"/>
        <v>0</v>
      </c>
      <c r="G187" s="17" t="b">
        <f t="shared" si="936"/>
        <v>0</v>
      </c>
      <c r="H187" s="17" t="b">
        <f t="shared" si="936"/>
        <v>0</v>
      </c>
      <c r="I187" s="17" t="b">
        <f t="shared" si="936"/>
        <v>0</v>
      </c>
      <c r="J187" s="17" t="b">
        <f t="shared" si="936"/>
        <v>0</v>
      </c>
      <c r="K187" s="17" t="b">
        <f t="shared" si="936"/>
        <v>0</v>
      </c>
      <c r="L187" s="18" t="b">
        <v>1</v>
      </c>
      <c r="M187" s="18" t="b">
        <v>0</v>
      </c>
      <c r="N187" s="18" t="b">
        <v>0</v>
      </c>
      <c r="O187" s="18" t="b">
        <v>0</v>
      </c>
      <c r="P187" s="16" t="str">
        <f t="shared" si="7"/>
        <v>Archeologisch Museum van Aarlen</v>
      </c>
      <c r="Q187" s="19">
        <v>6.0</v>
      </c>
      <c r="R187" s="18" t="b">
        <v>0</v>
      </c>
      <c r="S187" s="18" t="b">
        <v>1</v>
      </c>
      <c r="T187" s="31">
        <v>6.0</v>
      </c>
      <c r="U187" s="21">
        <f t="shared" si="8"/>
        <v>0</v>
      </c>
      <c r="V187" s="21">
        <f t="shared" ref="V187:AB187" si="937">if(OR(AW187 = $AO$4, AW187 = $AQ$4), 1, 0)</f>
        <v>1</v>
      </c>
      <c r="W187" s="21">
        <f t="shared" si="937"/>
        <v>0</v>
      </c>
      <c r="X187" s="21">
        <f t="shared" si="937"/>
        <v>0</v>
      </c>
      <c r="Y187" s="21">
        <f t="shared" si="937"/>
        <v>0</v>
      </c>
      <c r="Z187" s="21">
        <f t="shared" si="937"/>
        <v>0</v>
      </c>
      <c r="AA187" s="21">
        <f t="shared" si="937"/>
        <v>0</v>
      </c>
      <c r="AB187" s="21">
        <f t="shared" si="937"/>
        <v>0</v>
      </c>
      <c r="AC187" s="21">
        <f t="shared" si="10"/>
        <v>1</v>
      </c>
      <c r="AD187" s="21">
        <f t="shared" si="11"/>
        <v>1</v>
      </c>
      <c r="AE187" s="21">
        <f t="shared" ref="AE187:AH187" si="938">if(OR(BD187 = $AO$6, BD187 = $AS$6, BD187 = $AT$6, BD187 = $AU$6), 1, 0)</f>
        <v>1</v>
      </c>
      <c r="AF187" s="21">
        <f t="shared" si="938"/>
        <v>0</v>
      </c>
      <c r="AG187" s="21">
        <f t="shared" si="938"/>
        <v>0</v>
      </c>
      <c r="AH187" s="21">
        <f t="shared" si="938"/>
        <v>0</v>
      </c>
      <c r="AI187" s="21">
        <f t="shared" si="13"/>
        <v>1</v>
      </c>
      <c r="AJ187" s="21">
        <f t="shared" si="14"/>
        <v>3</v>
      </c>
      <c r="AK187" s="59">
        <f t="shared" si="15"/>
        <v>1.875</v>
      </c>
      <c r="AL187" s="60" t="str">
        <f t="shared" si="16"/>
        <v>subpar</v>
      </c>
      <c r="AW187" s="22" t="str">
        <f t="shared" ref="AW187:BC187" si="939">IF(IFERROR(SEARCH(E$1, $D187),0) &gt;= 1, E$1,0)</f>
        <v>Geschiedenis en archeologie</v>
      </c>
      <c r="AX187" s="22">
        <f t="shared" si="939"/>
        <v>0</v>
      </c>
      <c r="AY187" s="22">
        <f t="shared" si="939"/>
        <v>0</v>
      </c>
      <c r="AZ187" s="22">
        <f t="shared" si="939"/>
        <v>0</v>
      </c>
      <c r="BA187" s="22">
        <f t="shared" si="939"/>
        <v>0</v>
      </c>
      <c r="BB187" s="22">
        <f t="shared" si="939"/>
        <v>0</v>
      </c>
      <c r="BC187" s="22">
        <f t="shared" si="939"/>
        <v>0</v>
      </c>
      <c r="BD187" s="22" t="str">
        <f t="shared" ref="BD187:BG187" si="940">IF(L187 = true, BD$1, 0)</f>
        <v>Shop</v>
      </c>
      <c r="BE187" s="22">
        <f t="shared" si="940"/>
        <v>0</v>
      </c>
      <c r="BF187" s="22">
        <f t="shared" si="940"/>
        <v>0</v>
      </c>
      <c r="BG187" s="22">
        <f t="shared" si="940"/>
        <v>0</v>
      </c>
      <c r="BH187" s="22" t="str">
        <f>IFERROR(__xludf.DUMMYFUNCTION("""COMPUTED_VALUE"""),"Belfort van Bergen")</f>
        <v>Belfort van Bergen</v>
      </c>
      <c r="BI187" s="24">
        <f>IFERROR(__xludf.DUMMYFUNCTION("""COMPUTED_VALUE"""),9.0)</f>
        <v>9</v>
      </c>
      <c r="BJ187" s="22" t="b">
        <f>IFERROR(__xludf.DUMMYFUNCTION("""COMPUTED_VALUE"""),FALSE)</f>
        <v>0</v>
      </c>
      <c r="BK187" s="22" t="b">
        <f>IFERROR(__xludf.DUMMYFUNCTION("""COMPUTED_VALUE"""),TRUE)</f>
        <v>1</v>
      </c>
      <c r="BL187" s="24">
        <f>IFERROR(__xludf.DUMMYFUNCTION("""COMPUTED_VALUE"""),9.0)</f>
        <v>9</v>
      </c>
      <c r="BM187" s="22">
        <f>IFERROR(__xludf.DUMMYFUNCTION("""COMPUTED_VALUE"""),0.0)</f>
        <v>0</v>
      </c>
      <c r="BN187" s="22">
        <f>IFERROR(__xludf.DUMMYFUNCTION("""COMPUTED_VALUE"""),1.0)</f>
        <v>1</v>
      </c>
      <c r="BO187" s="22">
        <f>IFERROR(__xludf.DUMMYFUNCTION("""COMPUTED_VALUE"""),0.0)</f>
        <v>0</v>
      </c>
      <c r="BP187" s="22">
        <f>IFERROR(__xludf.DUMMYFUNCTION("""COMPUTED_VALUE"""),0.0)</f>
        <v>0</v>
      </c>
      <c r="BQ187" s="22">
        <f>IFERROR(__xludf.DUMMYFUNCTION("""COMPUTED_VALUE"""),0.0)</f>
        <v>0</v>
      </c>
      <c r="BR187" s="22">
        <f>IFERROR(__xludf.DUMMYFUNCTION("""COMPUTED_VALUE"""),0.0)</f>
        <v>0</v>
      </c>
      <c r="BS187" s="22">
        <f>IFERROR(__xludf.DUMMYFUNCTION("""COMPUTED_VALUE"""),0.0)</f>
        <v>0</v>
      </c>
      <c r="BT187" s="22">
        <f>IFERROR(__xludf.DUMMYFUNCTION("""COMPUTED_VALUE"""),0.0)</f>
        <v>0</v>
      </c>
      <c r="BU187" s="22">
        <f>IFERROR(__xludf.DUMMYFUNCTION("""COMPUTED_VALUE"""),1.0)</f>
        <v>1</v>
      </c>
      <c r="BV187" s="22">
        <f>IFERROR(__xludf.DUMMYFUNCTION("""COMPUTED_VALUE"""),1.0)</f>
        <v>1</v>
      </c>
      <c r="BW187" s="22">
        <f>IFERROR(__xludf.DUMMYFUNCTION("""COMPUTED_VALUE"""),1.0)</f>
        <v>1</v>
      </c>
      <c r="BX187" s="22">
        <f>IFERROR(__xludf.DUMMYFUNCTION("""COMPUTED_VALUE"""),0.0)</f>
        <v>0</v>
      </c>
      <c r="BY187" s="22">
        <f>IFERROR(__xludf.DUMMYFUNCTION("""COMPUTED_VALUE"""),0.0)</f>
        <v>0</v>
      </c>
      <c r="BZ187" s="22">
        <f>IFERROR(__xludf.DUMMYFUNCTION("""COMPUTED_VALUE"""),0.0)</f>
        <v>0</v>
      </c>
      <c r="CA187" s="22">
        <f>IFERROR(__xludf.DUMMYFUNCTION("""COMPUTED_VALUE"""),1.0)</f>
        <v>1</v>
      </c>
      <c r="CB187" s="22">
        <f>IFERROR(__xludf.DUMMYFUNCTION("""COMPUTED_VALUE"""),3.0)</f>
        <v>3</v>
      </c>
      <c r="CC187" s="61">
        <f>IFERROR(__xludf.DUMMYFUNCTION("""COMPUTED_VALUE"""),1.875)</f>
        <v>1.875</v>
      </c>
      <c r="CD187" s="62" t="str">
        <f>IFERROR(__xludf.DUMMYFUNCTION("""COMPUTED_VALUE"""),"subpar")</f>
        <v>subpar</v>
      </c>
      <c r="CE187" s="22" t="s">
        <v>317</v>
      </c>
      <c r="CF187" s="24">
        <v>9.0</v>
      </c>
      <c r="CG187" s="22" t="b">
        <v>0</v>
      </c>
      <c r="CH187" s="22" t="b">
        <v>1</v>
      </c>
      <c r="CI187" s="24">
        <v>9.0</v>
      </c>
      <c r="CJ187" s="22">
        <v>0.0</v>
      </c>
      <c r="CK187" s="22">
        <v>1.0</v>
      </c>
      <c r="CL187" s="22">
        <v>0.0</v>
      </c>
      <c r="CM187" s="22">
        <v>0.0</v>
      </c>
      <c r="CN187" s="22">
        <v>0.0</v>
      </c>
      <c r="CO187" s="22">
        <v>0.0</v>
      </c>
      <c r="CP187" s="22">
        <v>0.0</v>
      </c>
      <c r="CQ187" s="22">
        <v>0.0</v>
      </c>
      <c r="CR187" s="22">
        <v>1.0</v>
      </c>
      <c r="CS187" s="22">
        <v>1.0</v>
      </c>
      <c r="CT187" s="22">
        <v>1.0</v>
      </c>
      <c r="CU187" s="22">
        <v>0.0</v>
      </c>
      <c r="CV187" s="22">
        <v>0.0</v>
      </c>
      <c r="CW187" s="22">
        <v>0.0</v>
      </c>
      <c r="CX187" s="22">
        <v>1.0</v>
      </c>
      <c r="CY187" s="22">
        <v>3.0</v>
      </c>
      <c r="CZ187" s="61">
        <v>1.875</v>
      </c>
      <c r="DA187" s="62" t="s">
        <v>568</v>
      </c>
    </row>
    <row r="188">
      <c r="A188" s="16" t="s">
        <v>402</v>
      </c>
      <c r="B188" s="16" t="s">
        <v>403</v>
      </c>
      <c r="C188" s="39" t="s">
        <v>48</v>
      </c>
      <c r="D188" s="16" t="s">
        <v>198</v>
      </c>
      <c r="E188" s="17" t="b">
        <f t="shared" ref="E188:K188" si="941">If(IFERROR(SEARCH(E$1, $D188),0) &gt;= 1, true,false)</f>
        <v>1</v>
      </c>
      <c r="F188" s="17" t="b">
        <f t="shared" si="941"/>
        <v>0</v>
      </c>
      <c r="G188" s="17" t="b">
        <f t="shared" si="941"/>
        <v>0</v>
      </c>
      <c r="H188" s="17" t="b">
        <f t="shared" si="941"/>
        <v>0</v>
      </c>
      <c r="I188" s="17" t="b">
        <f t="shared" si="941"/>
        <v>1</v>
      </c>
      <c r="J188" s="17" t="b">
        <f t="shared" si="941"/>
        <v>1</v>
      </c>
      <c r="K188" s="17" t="b">
        <f t="shared" si="941"/>
        <v>0</v>
      </c>
      <c r="L188" s="18" t="b">
        <v>1</v>
      </c>
      <c r="M188" s="18" t="b">
        <v>0</v>
      </c>
      <c r="N188" s="18" t="b">
        <v>0</v>
      </c>
      <c r="O188" s="18" t="b">
        <v>0</v>
      </c>
      <c r="P188" s="16" t="str">
        <f t="shared" si="7"/>
        <v>Gaspar Museum</v>
      </c>
      <c r="Q188" s="19">
        <v>6.0</v>
      </c>
      <c r="R188" s="18" t="b">
        <v>0</v>
      </c>
      <c r="S188" s="18" t="b">
        <v>1</v>
      </c>
      <c r="T188" s="35">
        <v>6.0</v>
      </c>
      <c r="U188" s="21">
        <f t="shared" si="8"/>
        <v>0</v>
      </c>
      <c r="V188" s="21">
        <f t="shared" ref="V188:AB188" si="942">if(OR(AW188 = $AO$4, AW188 = $AQ$4), 1, 0)</f>
        <v>1</v>
      </c>
      <c r="W188" s="21">
        <f t="shared" si="942"/>
        <v>0</v>
      </c>
      <c r="X188" s="21">
        <f t="shared" si="942"/>
        <v>0</v>
      </c>
      <c r="Y188" s="21">
        <f t="shared" si="942"/>
        <v>0</v>
      </c>
      <c r="Z188" s="21">
        <f t="shared" si="942"/>
        <v>0</v>
      </c>
      <c r="AA188" s="21">
        <f t="shared" si="942"/>
        <v>1</v>
      </c>
      <c r="AB188" s="21">
        <f t="shared" si="942"/>
        <v>0</v>
      </c>
      <c r="AC188" s="21">
        <f t="shared" si="10"/>
        <v>2</v>
      </c>
      <c r="AD188" s="21">
        <f t="shared" si="11"/>
        <v>1</v>
      </c>
      <c r="AE188" s="21">
        <f t="shared" ref="AE188:AH188" si="943">if(OR(BD188 = $AO$6, BD188 = $AS$6, BD188 = $AT$6, BD188 = $AU$6), 1, 0)</f>
        <v>1</v>
      </c>
      <c r="AF188" s="21">
        <f t="shared" si="943"/>
        <v>0</v>
      </c>
      <c r="AG188" s="21">
        <f t="shared" si="943"/>
        <v>0</v>
      </c>
      <c r="AH188" s="21">
        <f t="shared" si="943"/>
        <v>0</v>
      </c>
      <c r="AI188" s="21">
        <f t="shared" si="13"/>
        <v>1</v>
      </c>
      <c r="AJ188" s="21">
        <f t="shared" si="14"/>
        <v>4</v>
      </c>
      <c r="AK188" s="59">
        <f t="shared" si="15"/>
        <v>2.5</v>
      </c>
      <c r="AL188" s="60" t="str">
        <f t="shared" si="16"/>
        <v>subpar</v>
      </c>
      <c r="AW188" s="22" t="str">
        <f t="shared" ref="AW188:BC188" si="944">IF(IFERROR(SEARCH(E$1, $D188),0) &gt;= 1, E$1,0)</f>
        <v>Geschiedenis en archeologie</v>
      </c>
      <c r="AX188" s="22">
        <f t="shared" si="944"/>
        <v>0</v>
      </c>
      <c r="AY188" s="22">
        <f t="shared" si="944"/>
        <v>0</v>
      </c>
      <c r="AZ188" s="22">
        <f t="shared" si="944"/>
        <v>0</v>
      </c>
      <c r="BA188" s="22" t="str">
        <f t="shared" si="944"/>
        <v>Architectuur</v>
      </c>
      <c r="BB188" s="22" t="str">
        <f t="shared" si="944"/>
        <v>Beeldende kunst</v>
      </c>
      <c r="BC188" s="22">
        <f t="shared" si="944"/>
        <v>0</v>
      </c>
      <c r="BD188" s="22" t="str">
        <f t="shared" ref="BD188:BG188" si="945">IF(L188 = true, BD$1, 0)</f>
        <v>Shop</v>
      </c>
      <c r="BE188" s="22">
        <f t="shared" si="945"/>
        <v>0</v>
      </c>
      <c r="BF188" s="22">
        <f t="shared" si="945"/>
        <v>0</v>
      </c>
      <c r="BG188" s="22">
        <f t="shared" si="945"/>
        <v>0</v>
      </c>
      <c r="BH188" s="22" t="str">
        <f>IFERROR(__xludf.DUMMYFUNCTION("""COMPUTED_VALUE"""),"Museum voor kunst van de Provincie Henegouwen")</f>
        <v>Museum voor kunst van de Provincie Henegouwen</v>
      </c>
      <c r="BI188" s="24">
        <f>IFERROR(__xludf.DUMMYFUNCTION("""COMPUTED_VALUE"""),6.0)</f>
        <v>6</v>
      </c>
      <c r="BJ188" s="22" t="b">
        <f>IFERROR(__xludf.DUMMYFUNCTION("""COMPUTED_VALUE"""),FALSE)</f>
        <v>0</v>
      </c>
      <c r="BK188" s="22" t="b">
        <f>IFERROR(__xludf.DUMMYFUNCTION("""COMPUTED_VALUE"""),TRUE)</f>
        <v>1</v>
      </c>
      <c r="BL188" s="24">
        <f>IFERROR(__xludf.DUMMYFUNCTION("""COMPUTED_VALUE"""),6.0)</f>
        <v>6</v>
      </c>
      <c r="BM188" s="22">
        <f>IFERROR(__xludf.DUMMYFUNCTION("""COMPUTED_VALUE"""),0.0)</f>
        <v>0</v>
      </c>
      <c r="BN188" s="22">
        <f>IFERROR(__xludf.DUMMYFUNCTION("""COMPUTED_VALUE"""),0.0)</f>
        <v>0</v>
      </c>
      <c r="BO188" s="22">
        <f>IFERROR(__xludf.DUMMYFUNCTION("""COMPUTED_VALUE"""),0.0)</f>
        <v>0</v>
      </c>
      <c r="BP188" s="22">
        <f>IFERROR(__xludf.DUMMYFUNCTION("""COMPUTED_VALUE"""),0.0)</f>
        <v>0</v>
      </c>
      <c r="BQ188" s="22">
        <f>IFERROR(__xludf.DUMMYFUNCTION("""COMPUTED_VALUE"""),0.0)</f>
        <v>0</v>
      </c>
      <c r="BR188" s="22">
        <f>IFERROR(__xludf.DUMMYFUNCTION("""COMPUTED_VALUE"""),0.0)</f>
        <v>0</v>
      </c>
      <c r="BS188" s="22">
        <f>IFERROR(__xludf.DUMMYFUNCTION("""COMPUTED_VALUE"""),1.0)</f>
        <v>1</v>
      </c>
      <c r="BT188" s="22">
        <f>IFERROR(__xludf.DUMMYFUNCTION("""COMPUTED_VALUE"""),0.0)</f>
        <v>0</v>
      </c>
      <c r="BU188" s="22">
        <f>IFERROR(__xludf.DUMMYFUNCTION("""COMPUTED_VALUE"""),1.0)</f>
        <v>1</v>
      </c>
      <c r="BV188" s="22">
        <f>IFERROR(__xludf.DUMMYFUNCTION("""COMPUTED_VALUE"""),1.0)</f>
        <v>1</v>
      </c>
      <c r="BW188" s="22">
        <f>IFERROR(__xludf.DUMMYFUNCTION("""COMPUTED_VALUE"""),1.0)</f>
        <v>1</v>
      </c>
      <c r="BX188" s="22">
        <f>IFERROR(__xludf.DUMMYFUNCTION("""COMPUTED_VALUE"""),0.0)</f>
        <v>0</v>
      </c>
      <c r="BY188" s="22">
        <f>IFERROR(__xludf.DUMMYFUNCTION("""COMPUTED_VALUE"""),0.0)</f>
        <v>0</v>
      </c>
      <c r="BZ188" s="22">
        <f>IFERROR(__xludf.DUMMYFUNCTION("""COMPUTED_VALUE"""),0.0)</f>
        <v>0</v>
      </c>
      <c r="CA188" s="22">
        <f>IFERROR(__xludf.DUMMYFUNCTION("""COMPUTED_VALUE"""),1.0)</f>
        <v>1</v>
      </c>
      <c r="CB188" s="22">
        <f>IFERROR(__xludf.DUMMYFUNCTION("""COMPUTED_VALUE"""),3.0)</f>
        <v>3</v>
      </c>
      <c r="CC188" s="61">
        <f>IFERROR(__xludf.DUMMYFUNCTION("""COMPUTED_VALUE"""),1.875)</f>
        <v>1.875</v>
      </c>
      <c r="CD188" s="62" t="str">
        <f>IFERROR(__xludf.DUMMYFUNCTION("""COMPUTED_VALUE"""),"subpar")</f>
        <v>subpar</v>
      </c>
      <c r="CE188" s="22" t="s">
        <v>323</v>
      </c>
      <c r="CF188" s="24">
        <v>6.0</v>
      </c>
      <c r="CG188" s="22" t="b">
        <v>0</v>
      </c>
      <c r="CH188" s="22" t="b">
        <v>1</v>
      </c>
      <c r="CI188" s="24">
        <v>6.0</v>
      </c>
      <c r="CJ188" s="22">
        <v>0.0</v>
      </c>
      <c r="CK188" s="22">
        <v>0.0</v>
      </c>
      <c r="CL188" s="22">
        <v>0.0</v>
      </c>
      <c r="CM188" s="22">
        <v>0.0</v>
      </c>
      <c r="CN188" s="22">
        <v>0.0</v>
      </c>
      <c r="CO188" s="22">
        <v>0.0</v>
      </c>
      <c r="CP188" s="22">
        <v>1.0</v>
      </c>
      <c r="CQ188" s="22">
        <v>0.0</v>
      </c>
      <c r="CR188" s="22">
        <v>1.0</v>
      </c>
      <c r="CS188" s="22">
        <v>1.0</v>
      </c>
      <c r="CT188" s="22">
        <v>1.0</v>
      </c>
      <c r="CU188" s="22">
        <v>0.0</v>
      </c>
      <c r="CV188" s="22">
        <v>0.0</v>
      </c>
      <c r="CW188" s="22">
        <v>0.0</v>
      </c>
      <c r="CX188" s="22">
        <v>1.0</v>
      </c>
      <c r="CY188" s="22">
        <v>3.0</v>
      </c>
      <c r="CZ188" s="61">
        <v>1.875</v>
      </c>
      <c r="DA188" s="62" t="s">
        <v>568</v>
      </c>
    </row>
    <row r="189">
      <c r="A189" s="16" t="s">
        <v>404</v>
      </c>
      <c r="B189" s="16" t="s">
        <v>405</v>
      </c>
      <c r="C189" s="39" t="s">
        <v>48</v>
      </c>
      <c r="D189" s="16" t="s">
        <v>195</v>
      </c>
      <c r="E189" s="17" t="b">
        <f t="shared" ref="E189:K189" si="946">If(IFERROR(SEARCH(E$1, $D189),0) &gt;= 1, true,false)</f>
        <v>1</v>
      </c>
      <c r="F189" s="17" t="b">
        <f t="shared" si="946"/>
        <v>1</v>
      </c>
      <c r="G189" s="17" t="b">
        <f t="shared" si="946"/>
        <v>0</v>
      </c>
      <c r="H189" s="17" t="b">
        <f t="shared" si="946"/>
        <v>1</v>
      </c>
      <c r="I189" s="17" t="b">
        <f t="shared" si="946"/>
        <v>1</v>
      </c>
      <c r="J189" s="17" t="b">
        <f t="shared" si="946"/>
        <v>1</v>
      </c>
      <c r="K189" s="17" t="b">
        <f t="shared" si="946"/>
        <v>0</v>
      </c>
      <c r="L189" s="18" t="b">
        <v>1</v>
      </c>
      <c r="M189" s="18" t="b">
        <v>1</v>
      </c>
      <c r="N189" s="18" t="b">
        <v>0</v>
      </c>
      <c r="O189" s="18" t="b">
        <v>1</v>
      </c>
      <c r="P189" s="16" t="str">
        <f t="shared" si="7"/>
        <v>Het Gaume Museum</v>
      </c>
      <c r="Q189" s="19">
        <v>0.0</v>
      </c>
      <c r="R189" s="18" t="b">
        <v>0</v>
      </c>
      <c r="S189" s="18" t="b">
        <v>1</v>
      </c>
      <c r="T189" s="31">
        <v>0.0</v>
      </c>
      <c r="U189" s="21">
        <f t="shared" si="8"/>
        <v>0</v>
      </c>
      <c r="V189" s="21">
        <f t="shared" ref="V189:AB189" si="947">if(OR(AW189 = $AO$4, AW189 = $AQ$4), 1, 0)</f>
        <v>1</v>
      </c>
      <c r="W189" s="21">
        <f t="shared" si="947"/>
        <v>0</v>
      </c>
      <c r="X189" s="21">
        <f t="shared" si="947"/>
        <v>0</v>
      </c>
      <c r="Y189" s="21">
        <f t="shared" si="947"/>
        <v>0</v>
      </c>
      <c r="Z189" s="21">
        <f t="shared" si="947"/>
        <v>0</v>
      </c>
      <c r="AA189" s="21">
        <f t="shared" si="947"/>
        <v>1</v>
      </c>
      <c r="AB189" s="21">
        <f t="shared" si="947"/>
        <v>0</v>
      </c>
      <c r="AC189" s="21">
        <f t="shared" si="10"/>
        <v>2</v>
      </c>
      <c r="AD189" s="21">
        <f t="shared" si="11"/>
        <v>1</v>
      </c>
      <c r="AE189" s="21">
        <f t="shared" ref="AE189:AH189" si="948">if(OR(BD189 = $AO$6, BD189 = $AS$6, BD189 = $AT$6, BD189 = $AU$6), 1, 0)</f>
        <v>1</v>
      </c>
      <c r="AF189" s="21">
        <f t="shared" si="948"/>
        <v>1</v>
      </c>
      <c r="AG189" s="21">
        <f t="shared" si="948"/>
        <v>0</v>
      </c>
      <c r="AH189" s="21">
        <f t="shared" si="948"/>
        <v>1</v>
      </c>
      <c r="AI189" s="21">
        <f t="shared" si="13"/>
        <v>3</v>
      </c>
      <c r="AJ189" s="21">
        <f t="shared" si="14"/>
        <v>6</v>
      </c>
      <c r="AK189" s="59">
        <f t="shared" si="15"/>
        <v>3.75</v>
      </c>
      <c r="AL189" s="60" t="str">
        <f t="shared" si="16"/>
        <v>good</v>
      </c>
      <c r="AW189" s="22" t="str">
        <f t="shared" ref="AW189:BC189" si="949">IF(IFERROR(SEARCH(E$1, $D189),0) &gt;= 1, E$1,0)</f>
        <v>Geschiedenis en archeologie</v>
      </c>
      <c r="AX189" s="22" t="str">
        <f t="shared" si="949"/>
        <v>Wetenschap en technologie</v>
      </c>
      <c r="AY189" s="22">
        <f t="shared" si="949"/>
        <v>0</v>
      </c>
      <c r="AZ189" s="22" t="str">
        <f t="shared" si="949"/>
        <v>Literatuur</v>
      </c>
      <c r="BA189" s="22" t="str">
        <f t="shared" si="949"/>
        <v>Architectuur</v>
      </c>
      <c r="BB189" s="22" t="str">
        <f t="shared" si="949"/>
        <v>Beeldende kunst</v>
      </c>
      <c r="BC189" s="22">
        <f t="shared" si="949"/>
        <v>0</v>
      </c>
      <c r="BD189" s="22" t="str">
        <f t="shared" ref="BD189:BG189" si="950">IF(L189 = true, BD$1, 0)</f>
        <v>Shop</v>
      </c>
      <c r="BE189" s="22" t="str">
        <f t="shared" si="950"/>
        <v>Café</v>
      </c>
      <c r="BF189" s="22">
        <f t="shared" si="950"/>
        <v>0</v>
      </c>
      <c r="BG189" s="22" t="str">
        <f t="shared" si="950"/>
        <v>Restaurant</v>
      </c>
      <c r="BH189" s="22" t="str">
        <f>IFERROR(__xludf.DUMMYFUNCTION("""COMPUTED_VALUE"""),"CAP/het Collectiehuis")</f>
        <v>CAP/het Collectiehuis</v>
      </c>
      <c r="BI189" s="24">
        <f>IFERROR(__xludf.DUMMYFUNCTION("""COMPUTED_VALUE"""),4.0)</f>
        <v>4</v>
      </c>
      <c r="BJ189" s="22" t="b">
        <f>IFERROR(__xludf.DUMMYFUNCTION("""COMPUTED_VALUE"""),FALSE)</f>
        <v>0</v>
      </c>
      <c r="BK189" s="22" t="b">
        <f>IFERROR(__xludf.DUMMYFUNCTION("""COMPUTED_VALUE"""),FALSE)</f>
        <v>0</v>
      </c>
      <c r="BL189" s="22"/>
      <c r="BM189" s="22">
        <f>IFERROR(__xludf.DUMMYFUNCTION("""COMPUTED_VALUE"""),0.0)</f>
        <v>0</v>
      </c>
      <c r="BN189" s="22">
        <f>IFERROR(__xludf.DUMMYFUNCTION("""COMPUTED_VALUE"""),1.0)</f>
        <v>1</v>
      </c>
      <c r="BO189" s="22">
        <f>IFERROR(__xludf.DUMMYFUNCTION("""COMPUTED_VALUE"""),0.0)</f>
        <v>0</v>
      </c>
      <c r="BP189" s="22">
        <f>IFERROR(__xludf.DUMMYFUNCTION("""COMPUTED_VALUE"""),0.0)</f>
        <v>0</v>
      </c>
      <c r="BQ189" s="22">
        <f>IFERROR(__xludf.DUMMYFUNCTION("""COMPUTED_VALUE"""),0.0)</f>
        <v>0</v>
      </c>
      <c r="BR189" s="22">
        <f>IFERROR(__xludf.DUMMYFUNCTION("""COMPUTED_VALUE"""),0.0)</f>
        <v>0</v>
      </c>
      <c r="BS189" s="22">
        <f>IFERROR(__xludf.DUMMYFUNCTION("""COMPUTED_VALUE"""),0.0)</f>
        <v>0</v>
      </c>
      <c r="BT189" s="22">
        <f>IFERROR(__xludf.DUMMYFUNCTION("""COMPUTED_VALUE"""),0.0)</f>
        <v>0</v>
      </c>
      <c r="BU189" s="22">
        <f>IFERROR(__xludf.DUMMYFUNCTION("""COMPUTED_VALUE"""),1.0)</f>
        <v>1</v>
      </c>
      <c r="BV189" s="22">
        <f>IFERROR(__xludf.DUMMYFUNCTION("""COMPUTED_VALUE"""),1.0)</f>
        <v>1</v>
      </c>
      <c r="BW189" s="22">
        <f>IFERROR(__xludf.DUMMYFUNCTION("""COMPUTED_VALUE"""),1.0)</f>
        <v>1</v>
      </c>
      <c r="BX189" s="22">
        <f>IFERROR(__xludf.DUMMYFUNCTION("""COMPUTED_VALUE"""),0.0)</f>
        <v>0</v>
      </c>
      <c r="BY189" s="22">
        <f>IFERROR(__xludf.DUMMYFUNCTION("""COMPUTED_VALUE"""),0.0)</f>
        <v>0</v>
      </c>
      <c r="BZ189" s="22">
        <f>IFERROR(__xludf.DUMMYFUNCTION("""COMPUTED_VALUE"""),0.0)</f>
        <v>0</v>
      </c>
      <c r="CA189" s="22">
        <f>IFERROR(__xludf.DUMMYFUNCTION("""COMPUTED_VALUE"""),1.0)</f>
        <v>1</v>
      </c>
      <c r="CB189" s="22">
        <f>IFERROR(__xludf.DUMMYFUNCTION("""COMPUTED_VALUE"""),3.0)</f>
        <v>3</v>
      </c>
      <c r="CC189" s="61">
        <f>IFERROR(__xludf.DUMMYFUNCTION("""COMPUTED_VALUE"""),1.875)</f>
        <v>1.875</v>
      </c>
      <c r="CD189" s="62" t="str">
        <f>IFERROR(__xludf.DUMMYFUNCTION("""COMPUTED_VALUE"""),"subpar")</f>
        <v>subpar</v>
      </c>
      <c r="CE189" s="22" t="s">
        <v>328</v>
      </c>
      <c r="CF189" s="24">
        <v>4.0</v>
      </c>
      <c r="CG189" s="22" t="b">
        <v>0</v>
      </c>
      <c r="CH189" s="22" t="b">
        <v>0</v>
      </c>
      <c r="CI189" s="22"/>
      <c r="CJ189" s="22">
        <v>0.0</v>
      </c>
      <c r="CK189" s="22">
        <v>1.0</v>
      </c>
      <c r="CL189" s="22">
        <v>0.0</v>
      </c>
      <c r="CM189" s="22">
        <v>0.0</v>
      </c>
      <c r="CN189" s="22">
        <v>0.0</v>
      </c>
      <c r="CO189" s="22">
        <v>0.0</v>
      </c>
      <c r="CP189" s="22">
        <v>0.0</v>
      </c>
      <c r="CQ189" s="22">
        <v>0.0</v>
      </c>
      <c r="CR189" s="22">
        <v>1.0</v>
      </c>
      <c r="CS189" s="22">
        <v>1.0</v>
      </c>
      <c r="CT189" s="22">
        <v>1.0</v>
      </c>
      <c r="CU189" s="22">
        <v>0.0</v>
      </c>
      <c r="CV189" s="22">
        <v>0.0</v>
      </c>
      <c r="CW189" s="22">
        <v>0.0</v>
      </c>
      <c r="CX189" s="22">
        <v>1.0</v>
      </c>
      <c r="CY189" s="22">
        <v>3.0</v>
      </c>
      <c r="CZ189" s="61">
        <v>1.875</v>
      </c>
      <c r="DA189" s="62" t="s">
        <v>568</v>
      </c>
    </row>
    <row r="190">
      <c r="A190" s="16" t="s">
        <v>406</v>
      </c>
      <c r="B190" s="16" t="s">
        <v>407</v>
      </c>
      <c r="C190" s="39" t="s">
        <v>48</v>
      </c>
      <c r="D190" s="16" t="s">
        <v>408</v>
      </c>
      <c r="E190" s="17" t="b">
        <f t="shared" ref="E190:K190" si="951">If(IFERROR(SEARCH(E$1, $D190),0) &gt;= 1, true,false)</f>
        <v>1</v>
      </c>
      <c r="F190" s="17" t="b">
        <f t="shared" si="951"/>
        <v>0</v>
      </c>
      <c r="G190" s="17" t="b">
        <f t="shared" si="951"/>
        <v>0</v>
      </c>
      <c r="H190" s="17" t="b">
        <f t="shared" si="951"/>
        <v>1</v>
      </c>
      <c r="I190" s="17" t="b">
        <f t="shared" si="951"/>
        <v>0</v>
      </c>
      <c r="J190" s="17" t="b">
        <f t="shared" si="951"/>
        <v>1</v>
      </c>
      <c r="K190" s="17" t="b">
        <f t="shared" si="951"/>
        <v>0</v>
      </c>
      <c r="L190" s="18" t="b">
        <v>1</v>
      </c>
      <c r="M190" s="18" t="b">
        <v>0</v>
      </c>
      <c r="N190" s="18" t="b">
        <v>1</v>
      </c>
      <c r="O190" s="18" t="b">
        <v>1</v>
      </c>
      <c r="P190" s="16" t="str">
        <f t="shared" si="7"/>
        <v>Museum van de Grote Ardennen</v>
      </c>
      <c r="Q190" s="19">
        <v>9.0</v>
      </c>
      <c r="R190" s="18" t="b">
        <v>0</v>
      </c>
      <c r="S190" s="18" t="b">
        <v>1</v>
      </c>
      <c r="T190" s="35">
        <v>9.0</v>
      </c>
      <c r="U190" s="21">
        <f t="shared" si="8"/>
        <v>0</v>
      </c>
      <c r="V190" s="21">
        <f t="shared" ref="V190:AB190" si="952">if(OR(AW190 = $AO$4, AW190 = $AQ$4), 1, 0)</f>
        <v>1</v>
      </c>
      <c r="W190" s="21">
        <f t="shared" si="952"/>
        <v>0</v>
      </c>
      <c r="X190" s="21">
        <f t="shared" si="952"/>
        <v>0</v>
      </c>
      <c r="Y190" s="21">
        <f t="shared" si="952"/>
        <v>0</v>
      </c>
      <c r="Z190" s="21">
        <f t="shared" si="952"/>
        <v>0</v>
      </c>
      <c r="AA190" s="21">
        <f t="shared" si="952"/>
        <v>1</v>
      </c>
      <c r="AB190" s="21">
        <f t="shared" si="952"/>
        <v>0</v>
      </c>
      <c r="AC190" s="21">
        <f t="shared" si="10"/>
        <v>2</v>
      </c>
      <c r="AD190" s="21">
        <f t="shared" si="11"/>
        <v>1</v>
      </c>
      <c r="AE190" s="21">
        <f t="shared" ref="AE190:AH190" si="953">if(OR(BD190 = $AO$6, BD190 = $AS$6, BD190 = $AT$6, BD190 = $AU$6), 1, 0)</f>
        <v>1</v>
      </c>
      <c r="AF190" s="21">
        <f t="shared" si="953"/>
        <v>0</v>
      </c>
      <c r="AG190" s="21">
        <f t="shared" si="953"/>
        <v>1</v>
      </c>
      <c r="AH190" s="21">
        <f t="shared" si="953"/>
        <v>1</v>
      </c>
      <c r="AI190" s="21">
        <f t="shared" si="13"/>
        <v>3</v>
      </c>
      <c r="AJ190" s="21">
        <f t="shared" si="14"/>
        <v>6</v>
      </c>
      <c r="AK190" s="59">
        <f t="shared" si="15"/>
        <v>3.75</v>
      </c>
      <c r="AL190" s="60" t="str">
        <f t="shared" si="16"/>
        <v>good</v>
      </c>
      <c r="AW190" s="22" t="str">
        <f t="shared" ref="AW190:BC190" si="954">IF(IFERROR(SEARCH(E$1, $D190),0) &gt;= 1, E$1,0)</f>
        <v>Geschiedenis en archeologie</v>
      </c>
      <c r="AX190" s="22">
        <f t="shared" si="954"/>
        <v>0</v>
      </c>
      <c r="AY190" s="22">
        <f t="shared" si="954"/>
        <v>0</v>
      </c>
      <c r="AZ190" s="22" t="str">
        <f t="shared" si="954"/>
        <v>Literatuur</v>
      </c>
      <c r="BA190" s="22">
        <f t="shared" si="954"/>
        <v>0</v>
      </c>
      <c r="BB190" s="22" t="str">
        <f t="shared" si="954"/>
        <v>Beeldende kunst</v>
      </c>
      <c r="BC190" s="22">
        <f t="shared" si="954"/>
        <v>0</v>
      </c>
      <c r="BD190" s="22" t="str">
        <f t="shared" ref="BD190:BG190" si="955">IF(L190 = true, BD$1, 0)</f>
        <v>Shop</v>
      </c>
      <c r="BE190" s="22">
        <f t="shared" si="955"/>
        <v>0</v>
      </c>
      <c r="BF190" s="22" t="str">
        <f t="shared" si="955"/>
        <v>Parking</v>
      </c>
      <c r="BG190" s="22" t="str">
        <f t="shared" si="955"/>
        <v>Restaurant</v>
      </c>
      <c r="BH190" s="22" t="str">
        <f>IFERROR(__xludf.DUMMYFUNCTION("""COMPUTED_VALUE"""),"Centre de la Gravure et de l’Image imprimée ")</f>
        <v>Centre de la Gravure et de l’Image imprimée </v>
      </c>
      <c r="BI190" s="24">
        <f>IFERROR(__xludf.DUMMYFUNCTION("""COMPUTED_VALUE"""),8.0)</f>
        <v>8</v>
      </c>
      <c r="BJ190" s="22" t="b">
        <f>IFERROR(__xludf.DUMMYFUNCTION("""COMPUTED_VALUE"""),FALSE)</f>
        <v>0</v>
      </c>
      <c r="BK190" s="22" t="b">
        <f>IFERROR(__xludf.DUMMYFUNCTION("""COMPUTED_VALUE"""),TRUE)</f>
        <v>1</v>
      </c>
      <c r="BL190" s="24">
        <f>IFERROR(__xludf.DUMMYFUNCTION("""COMPUTED_VALUE"""),8.0)</f>
        <v>8</v>
      </c>
      <c r="BM190" s="22">
        <f>IFERROR(__xludf.DUMMYFUNCTION("""COMPUTED_VALUE"""),0.0)</f>
        <v>0</v>
      </c>
      <c r="BN190" s="22">
        <f>IFERROR(__xludf.DUMMYFUNCTION("""COMPUTED_VALUE"""),0.0)</f>
        <v>0</v>
      </c>
      <c r="BO190" s="22">
        <f>IFERROR(__xludf.DUMMYFUNCTION("""COMPUTED_VALUE"""),0.0)</f>
        <v>0</v>
      </c>
      <c r="BP190" s="22">
        <f>IFERROR(__xludf.DUMMYFUNCTION("""COMPUTED_VALUE"""),0.0)</f>
        <v>0</v>
      </c>
      <c r="BQ190" s="22">
        <f>IFERROR(__xludf.DUMMYFUNCTION("""COMPUTED_VALUE"""),0.0)</f>
        <v>0</v>
      </c>
      <c r="BR190" s="22">
        <f>IFERROR(__xludf.DUMMYFUNCTION("""COMPUTED_VALUE"""),0.0)</f>
        <v>0</v>
      </c>
      <c r="BS190" s="22">
        <f>IFERROR(__xludf.DUMMYFUNCTION("""COMPUTED_VALUE"""),1.0)</f>
        <v>1</v>
      </c>
      <c r="BT190" s="22">
        <f>IFERROR(__xludf.DUMMYFUNCTION("""COMPUTED_VALUE"""),0.0)</f>
        <v>0</v>
      </c>
      <c r="BU190" s="22">
        <f>IFERROR(__xludf.DUMMYFUNCTION("""COMPUTED_VALUE"""),1.0)</f>
        <v>1</v>
      </c>
      <c r="BV190" s="22">
        <f>IFERROR(__xludf.DUMMYFUNCTION("""COMPUTED_VALUE"""),1.0)</f>
        <v>1</v>
      </c>
      <c r="BW190" s="22">
        <f>IFERROR(__xludf.DUMMYFUNCTION("""COMPUTED_VALUE"""),1.0)</f>
        <v>1</v>
      </c>
      <c r="BX190" s="22">
        <f>IFERROR(__xludf.DUMMYFUNCTION("""COMPUTED_VALUE"""),0.0)</f>
        <v>0</v>
      </c>
      <c r="BY190" s="22">
        <f>IFERROR(__xludf.DUMMYFUNCTION("""COMPUTED_VALUE"""),0.0)</f>
        <v>0</v>
      </c>
      <c r="BZ190" s="22">
        <f>IFERROR(__xludf.DUMMYFUNCTION("""COMPUTED_VALUE"""),0.0)</f>
        <v>0</v>
      </c>
      <c r="CA190" s="22">
        <f>IFERROR(__xludf.DUMMYFUNCTION("""COMPUTED_VALUE"""),1.0)</f>
        <v>1</v>
      </c>
      <c r="CB190" s="22">
        <f>IFERROR(__xludf.DUMMYFUNCTION("""COMPUTED_VALUE"""),3.0)</f>
        <v>3</v>
      </c>
      <c r="CC190" s="61">
        <f>IFERROR(__xludf.DUMMYFUNCTION("""COMPUTED_VALUE"""),1.875)</f>
        <v>1.875</v>
      </c>
      <c r="CD190" s="62" t="str">
        <f>IFERROR(__xludf.DUMMYFUNCTION("""COMPUTED_VALUE"""),"subpar")</f>
        <v>subpar</v>
      </c>
      <c r="CE190" s="22" t="s">
        <v>334</v>
      </c>
      <c r="CF190" s="24">
        <v>8.0</v>
      </c>
      <c r="CG190" s="22" t="b">
        <v>0</v>
      </c>
      <c r="CH190" s="22" t="b">
        <v>1</v>
      </c>
      <c r="CI190" s="24">
        <v>8.0</v>
      </c>
      <c r="CJ190" s="22">
        <v>0.0</v>
      </c>
      <c r="CK190" s="22">
        <v>0.0</v>
      </c>
      <c r="CL190" s="22">
        <v>0.0</v>
      </c>
      <c r="CM190" s="22">
        <v>0.0</v>
      </c>
      <c r="CN190" s="22">
        <v>0.0</v>
      </c>
      <c r="CO190" s="22">
        <v>0.0</v>
      </c>
      <c r="CP190" s="22">
        <v>1.0</v>
      </c>
      <c r="CQ190" s="22">
        <v>0.0</v>
      </c>
      <c r="CR190" s="22">
        <v>1.0</v>
      </c>
      <c r="CS190" s="22">
        <v>1.0</v>
      </c>
      <c r="CT190" s="22">
        <v>1.0</v>
      </c>
      <c r="CU190" s="22">
        <v>0.0</v>
      </c>
      <c r="CV190" s="22">
        <v>0.0</v>
      </c>
      <c r="CW190" s="22">
        <v>0.0</v>
      </c>
      <c r="CX190" s="22">
        <v>1.0</v>
      </c>
      <c r="CY190" s="22">
        <v>3.0</v>
      </c>
      <c r="CZ190" s="61">
        <v>1.875</v>
      </c>
      <c r="DA190" s="62" t="s">
        <v>568</v>
      </c>
    </row>
    <row r="191">
      <c r="A191" s="16" t="s">
        <v>409</v>
      </c>
      <c r="B191" s="16" t="s">
        <v>410</v>
      </c>
      <c r="C191" s="17" t="s">
        <v>51</v>
      </c>
      <c r="D191" s="32" t="s">
        <v>248</v>
      </c>
      <c r="E191" s="17" t="b">
        <f t="shared" ref="E191:K191" si="956">If(IFERROR(SEARCH(E$1, $D191),0) &gt;= 1, true,false)</f>
        <v>1</v>
      </c>
      <c r="F191" s="17" t="b">
        <f t="shared" si="956"/>
        <v>0</v>
      </c>
      <c r="G191" s="17" t="b">
        <f t="shared" si="956"/>
        <v>0</v>
      </c>
      <c r="H191" s="17" t="b">
        <f t="shared" si="956"/>
        <v>1</v>
      </c>
      <c r="I191" s="17" t="b">
        <f t="shared" si="956"/>
        <v>1</v>
      </c>
      <c r="J191" s="17" t="b">
        <f t="shared" si="956"/>
        <v>1</v>
      </c>
      <c r="K191" s="17" t="b">
        <f t="shared" si="956"/>
        <v>1</v>
      </c>
      <c r="L191" s="18" t="b">
        <v>0</v>
      </c>
      <c r="M191" s="18" t="b">
        <v>0</v>
      </c>
      <c r="N191" s="18" t="b">
        <v>0</v>
      </c>
      <c r="O191" s="18" t="b">
        <v>0</v>
      </c>
      <c r="P191" s="16" t="str">
        <f t="shared" si="7"/>
        <v>AMVB | Archief en Museum voor het Vlaams leven te Brussel</v>
      </c>
      <c r="Q191" s="19">
        <v>6.0</v>
      </c>
      <c r="R191" s="18" t="b">
        <v>0</v>
      </c>
      <c r="S191" s="18" t="b">
        <v>1</v>
      </c>
      <c r="T191" s="31">
        <v>0.0</v>
      </c>
      <c r="U191" s="21">
        <f t="shared" si="8"/>
        <v>0</v>
      </c>
      <c r="V191" s="21">
        <f t="shared" ref="V191:AB191" si="957">if(OR(AW191 = $AO$4, AW191 = $AQ$4), 1, 0)</f>
        <v>1</v>
      </c>
      <c r="W191" s="21">
        <f t="shared" si="957"/>
        <v>0</v>
      </c>
      <c r="X191" s="21">
        <f t="shared" si="957"/>
        <v>0</v>
      </c>
      <c r="Y191" s="21">
        <f t="shared" si="957"/>
        <v>0</v>
      </c>
      <c r="Z191" s="21">
        <f t="shared" si="957"/>
        <v>0</v>
      </c>
      <c r="AA191" s="21">
        <f t="shared" si="957"/>
        <v>1</v>
      </c>
      <c r="AB191" s="21">
        <f t="shared" si="957"/>
        <v>0</v>
      </c>
      <c r="AC191" s="21">
        <f t="shared" si="10"/>
        <v>2</v>
      </c>
      <c r="AD191" s="21">
        <f t="shared" si="11"/>
        <v>1</v>
      </c>
      <c r="AE191" s="21">
        <f t="shared" ref="AE191:AH191" si="958">if(OR(BD191 = $AO$6, BD191 = $AS$6, BD191 = $AT$6, BD191 = $AU$6), 1, 0)</f>
        <v>0</v>
      </c>
      <c r="AF191" s="21">
        <f t="shared" si="958"/>
        <v>0</v>
      </c>
      <c r="AG191" s="21">
        <f t="shared" si="958"/>
        <v>0</v>
      </c>
      <c r="AH191" s="21">
        <f t="shared" si="958"/>
        <v>0</v>
      </c>
      <c r="AI191" s="21">
        <f t="shared" si="13"/>
        <v>0</v>
      </c>
      <c r="AJ191" s="21">
        <f t="shared" si="14"/>
        <v>3</v>
      </c>
      <c r="AK191" s="59">
        <f t="shared" si="15"/>
        <v>1.875</v>
      </c>
      <c r="AL191" s="60" t="str">
        <f t="shared" si="16"/>
        <v>subpar</v>
      </c>
      <c r="AW191" s="22" t="str">
        <f t="shared" ref="AW191:BC191" si="959">IF(IFERROR(SEARCH(E$1, $D191),0) &gt;= 1, E$1,0)</f>
        <v>Geschiedenis en archeologie</v>
      </c>
      <c r="AX191" s="22">
        <f t="shared" si="959"/>
        <v>0</v>
      </c>
      <c r="AY191" s="22">
        <f t="shared" si="959"/>
        <v>0</v>
      </c>
      <c r="AZ191" s="22" t="str">
        <f t="shared" si="959"/>
        <v>Literatuur</v>
      </c>
      <c r="BA191" s="22" t="str">
        <f t="shared" si="959"/>
        <v>Architectuur</v>
      </c>
      <c r="BB191" s="22" t="str">
        <f t="shared" si="959"/>
        <v>Beeldende kunst</v>
      </c>
      <c r="BC191" s="22" t="str">
        <f t="shared" si="959"/>
        <v>Toegepaste kunst en design</v>
      </c>
      <c r="BD191" s="22">
        <f t="shared" ref="BD191:BG191" si="960">IF(L191 = true, BD$1, 0)</f>
        <v>0</v>
      </c>
      <c r="BE191" s="22">
        <f t="shared" si="960"/>
        <v>0</v>
      </c>
      <c r="BF191" s="22">
        <f t="shared" si="960"/>
        <v>0</v>
      </c>
      <c r="BG191" s="22">
        <f t="shared" si="960"/>
        <v>0</v>
      </c>
      <c r="BH191" s="22" t="str">
        <f>IFERROR(__xludf.DUMMYFUNCTION("""COMPUTED_VALUE"""),"Gallo-Romeins Museum van Aat")</f>
        <v>Gallo-Romeins Museum van Aat</v>
      </c>
      <c r="BI191" s="24">
        <f>IFERROR(__xludf.DUMMYFUNCTION("""COMPUTED_VALUE"""),6.0)</f>
        <v>6</v>
      </c>
      <c r="BJ191" s="22" t="b">
        <f>IFERROR(__xludf.DUMMYFUNCTION("""COMPUTED_VALUE"""),FALSE)</f>
        <v>0</v>
      </c>
      <c r="BK191" s="22" t="b">
        <f>IFERROR(__xludf.DUMMYFUNCTION("""COMPUTED_VALUE"""),TRUE)</f>
        <v>1</v>
      </c>
      <c r="BL191" s="24">
        <f>IFERROR(__xludf.DUMMYFUNCTION("""COMPUTED_VALUE"""),6.0)</f>
        <v>6</v>
      </c>
      <c r="BM191" s="22">
        <f>IFERROR(__xludf.DUMMYFUNCTION("""COMPUTED_VALUE"""),0.0)</f>
        <v>0</v>
      </c>
      <c r="BN191" s="22">
        <f>IFERROR(__xludf.DUMMYFUNCTION("""COMPUTED_VALUE"""),1.0)</f>
        <v>1</v>
      </c>
      <c r="BO191" s="22">
        <f>IFERROR(__xludf.DUMMYFUNCTION("""COMPUTED_VALUE"""),0.0)</f>
        <v>0</v>
      </c>
      <c r="BP191" s="22">
        <f>IFERROR(__xludf.DUMMYFUNCTION("""COMPUTED_VALUE"""),0.0)</f>
        <v>0</v>
      </c>
      <c r="BQ191" s="22">
        <f>IFERROR(__xludf.DUMMYFUNCTION("""COMPUTED_VALUE"""),0.0)</f>
        <v>0</v>
      </c>
      <c r="BR191" s="22">
        <f>IFERROR(__xludf.DUMMYFUNCTION("""COMPUTED_VALUE"""),0.0)</f>
        <v>0</v>
      </c>
      <c r="BS191" s="22">
        <f>IFERROR(__xludf.DUMMYFUNCTION("""COMPUTED_VALUE"""),0.0)</f>
        <v>0</v>
      </c>
      <c r="BT191" s="22">
        <f>IFERROR(__xludf.DUMMYFUNCTION("""COMPUTED_VALUE"""),0.0)</f>
        <v>0</v>
      </c>
      <c r="BU191" s="22">
        <f>IFERROR(__xludf.DUMMYFUNCTION("""COMPUTED_VALUE"""),1.0)</f>
        <v>1</v>
      </c>
      <c r="BV191" s="22">
        <f>IFERROR(__xludf.DUMMYFUNCTION("""COMPUTED_VALUE"""),1.0)</f>
        <v>1</v>
      </c>
      <c r="BW191" s="22">
        <f>IFERROR(__xludf.DUMMYFUNCTION("""COMPUTED_VALUE"""),1.0)</f>
        <v>1</v>
      </c>
      <c r="BX191" s="22">
        <f>IFERROR(__xludf.DUMMYFUNCTION("""COMPUTED_VALUE"""),0.0)</f>
        <v>0</v>
      </c>
      <c r="BY191" s="22">
        <f>IFERROR(__xludf.DUMMYFUNCTION("""COMPUTED_VALUE"""),0.0)</f>
        <v>0</v>
      </c>
      <c r="BZ191" s="22">
        <f>IFERROR(__xludf.DUMMYFUNCTION("""COMPUTED_VALUE"""),0.0)</f>
        <v>0</v>
      </c>
      <c r="CA191" s="22">
        <f>IFERROR(__xludf.DUMMYFUNCTION("""COMPUTED_VALUE"""),1.0)</f>
        <v>1</v>
      </c>
      <c r="CB191" s="22">
        <f>IFERROR(__xludf.DUMMYFUNCTION("""COMPUTED_VALUE"""),3.0)</f>
        <v>3</v>
      </c>
      <c r="CC191" s="61">
        <f>IFERROR(__xludf.DUMMYFUNCTION("""COMPUTED_VALUE"""),1.875)</f>
        <v>1.875</v>
      </c>
      <c r="CD191" s="62" t="str">
        <f>IFERROR(__xludf.DUMMYFUNCTION("""COMPUTED_VALUE"""),"subpar")</f>
        <v>subpar</v>
      </c>
      <c r="CE191" s="22" t="s">
        <v>342</v>
      </c>
      <c r="CF191" s="24">
        <v>6.0</v>
      </c>
      <c r="CG191" s="22" t="b">
        <v>0</v>
      </c>
      <c r="CH191" s="22" t="b">
        <v>1</v>
      </c>
      <c r="CI191" s="24">
        <v>6.0</v>
      </c>
      <c r="CJ191" s="22">
        <v>0.0</v>
      </c>
      <c r="CK191" s="22">
        <v>1.0</v>
      </c>
      <c r="CL191" s="22">
        <v>0.0</v>
      </c>
      <c r="CM191" s="22">
        <v>0.0</v>
      </c>
      <c r="CN191" s="22">
        <v>0.0</v>
      </c>
      <c r="CO191" s="22">
        <v>0.0</v>
      </c>
      <c r="CP191" s="22">
        <v>0.0</v>
      </c>
      <c r="CQ191" s="22">
        <v>0.0</v>
      </c>
      <c r="CR191" s="22">
        <v>1.0</v>
      </c>
      <c r="CS191" s="22">
        <v>1.0</v>
      </c>
      <c r="CT191" s="22">
        <v>1.0</v>
      </c>
      <c r="CU191" s="22">
        <v>0.0</v>
      </c>
      <c r="CV191" s="22">
        <v>0.0</v>
      </c>
      <c r="CW191" s="22">
        <v>0.0</v>
      </c>
      <c r="CX191" s="22">
        <v>1.0</v>
      </c>
      <c r="CY191" s="22">
        <v>3.0</v>
      </c>
      <c r="CZ191" s="61">
        <v>1.875</v>
      </c>
      <c r="DA191" s="62" t="s">
        <v>568</v>
      </c>
    </row>
    <row r="192">
      <c r="A192" s="16"/>
      <c r="B192" s="16" t="s">
        <v>411</v>
      </c>
      <c r="C192" s="17" t="s">
        <v>51</v>
      </c>
      <c r="D192" s="16" t="s">
        <v>9</v>
      </c>
      <c r="E192" s="17" t="b">
        <f t="shared" ref="E192:K192" si="961">If(IFERROR(SEARCH(E$1, $D192),0) &gt;= 1, true,false)</f>
        <v>0</v>
      </c>
      <c r="F192" s="17" t="b">
        <f t="shared" si="961"/>
        <v>0</v>
      </c>
      <c r="G192" s="17" t="b">
        <f t="shared" si="961"/>
        <v>0</v>
      </c>
      <c r="H192" s="17" t="b">
        <f t="shared" si="961"/>
        <v>0</v>
      </c>
      <c r="I192" s="17" t="b">
        <f t="shared" si="961"/>
        <v>0</v>
      </c>
      <c r="J192" s="17" t="b">
        <f t="shared" si="961"/>
        <v>1</v>
      </c>
      <c r="K192" s="17" t="b">
        <f t="shared" si="961"/>
        <v>0</v>
      </c>
      <c r="L192" s="18" t="b">
        <v>1</v>
      </c>
      <c r="M192" s="18" t="b">
        <v>1</v>
      </c>
      <c r="N192" s="18" t="b">
        <v>0</v>
      </c>
      <c r="O192" s="18" t="b">
        <v>0</v>
      </c>
      <c r="P192" s="16" t="str">
        <f t="shared" si="7"/>
        <v>ARGOS | centre for audiovisual arts</v>
      </c>
      <c r="Q192" s="19">
        <v>10.0</v>
      </c>
      <c r="R192" s="18" t="b">
        <v>0</v>
      </c>
      <c r="S192" s="18" t="b">
        <v>1</v>
      </c>
      <c r="T192" s="31">
        <v>10.0</v>
      </c>
      <c r="U192" s="21">
        <f t="shared" si="8"/>
        <v>0</v>
      </c>
      <c r="V192" s="21">
        <f t="shared" ref="V192:AB192" si="962">if(OR(AW192 = $AO$4, AW192 = $AQ$4), 1, 0)</f>
        <v>0</v>
      </c>
      <c r="W192" s="21">
        <f t="shared" si="962"/>
        <v>0</v>
      </c>
      <c r="X192" s="21">
        <f t="shared" si="962"/>
        <v>0</v>
      </c>
      <c r="Y192" s="21">
        <f t="shared" si="962"/>
        <v>0</v>
      </c>
      <c r="Z192" s="21">
        <f t="shared" si="962"/>
        <v>0</v>
      </c>
      <c r="AA192" s="21">
        <f t="shared" si="962"/>
        <v>1</v>
      </c>
      <c r="AB192" s="21">
        <f t="shared" si="962"/>
        <v>0</v>
      </c>
      <c r="AC192" s="21">
        <f t="shared" si="10"/>
        <v>1</v>
      </c>
      <c r="AD192" s="21">
        <f t="shared" si="11"/>
        <v>1</v>
      </c>
      <c r="AE192" s="21">
        <f t="shared" ref="AE192:AH192" si="963">if(OR(BD192 = $AO$6, BD192 = $AS$6, BD192 = $AT$6, BD192 = $AU$6), 1, 0)</f>
        <v>1</v>
      </c>
      <c r="AF192" s="21">
        <f t="shared" si="963"/>
        <v>1</v>
      </c>
      <c r="AG192" s="21">
        <f t="shared" si="963"/>
        <v>0</v>
      </c>
      <c r="AH192" s="21">
        <f t="shared" si="963"/>
        <v>0</v>
      </c>
      <c r="AI192" s="21">
        <f t="shared" si="13"/>
        <v>2</v>
      </c>
      <c r="AJ192" s="21">
        <f t="shared" si="14"/>
        <v>4</v>
      </c>
      <c r="AK192" s="59">
        <f t="shared" si="15"/>
        <v>2.5</v>
      </c>
      <c r="AL192" s="60" t="str">
        <f t="shared" si="16"/>
        <v>subpar</v>
      </c>
      <c r="AW192" s="22">
        <f t="shared" ref="AW192:BC192" si="964">IF(IFERROR(SEARCH(E$1, $D192),0) &gt;= 1, E$1,0)</f>
        <v>0</v>
      </c>
      <c r="AX192" s="22">
        <f t="shared" si="964"/>
        <v>0</v>
      </c>
      <c r="AY192" s="22">
        <f t="shared" si="964"/>
        <v>0</v>
      </c>
      <c r="AZ192" s="22">
        <f t="shared" si="964"/>
        <v>0</v>
      </c>
      <c r="BA192" s="22">
        <f t="shared" si="964"/>
        <v>0</v>
      </c>
      <c r="BB192" s="22" t="str">
        <f t="shared" si="964"/>
        <v>Beeldende kunst</v>
      </c>
      <c r="BC192" s="22">
        <f t="shared" si="964"/>
        <v>0</v>
      </c>
      <c r="BD192" s="22" t="str">
        <f t="shared" ref="BD192:BG192" si="965">IF(L192 = true, BD$1, 0)</f>
        <v>Shop</v>
      </c>
      <c r="BE192" s="22" t="str">
        <f t="shared" si="965"/>
        <v>Café</v>
      </c>
      <c r="BF192" s="22">
        <f t="shared" si="965"/>
        <v>0</v>
      </c>
      <c r="BG192" s="22">
        <f t="shared" si="965"/>
        <v>0</v>
      </c>
      <c r="BH192" s="22" t="str">
        <f>IFERROR(__xludf.DUMMYFUNCTION("""COMPUTED_VALUE"""),"Het Huis Van Gogh")</f>
        <v>Het Huis Van Gogh</v>
      </c>
      <c r="BI192" s="24">
        <f>IFERROR(__xludf.DUMMYFUNCTION("""COMPUTED_VALUE"""),4.0)</f>
        <v>4</v>
      </c>
      <c r="BJ192" s="22" t="b">
        <f>IFERROR(__xludf.DUMMYFUNCTION("""COMPUTED_VALUE"""),FALSE)</f>
        <v>0</v>
      </c>
      <c r="BK192" s="22" t="b">
        <f>IFERROR(__xludf.DUMMYFUNCTION("""COMPUTED_VALUE"""),TRUE)</f>
        <v>1</v>
      </c>
      <c r="BL192" s="24">
        <f>IFERROR(__xludf.DUMMYFUNCTION("""COMPUTED_VALUE"""),4.0)</f>
        <v>4</v>
      </c>
      <c r="BM192" s="22">
        <f>IFERROR(__xludf.DUMMYFUNCTION("""COMPUTED_VALUE"""),0.0)</f>
        <v>0</v>
      </c>
      <c r="BN192" s="22">
        <f>IFERROR(__xludf.DUMMYFUNCTION("""COMPUTED_VALUE"""),1.0)</f>
        <v>1</v>
      </c>
      <c r="BO192" s="22">
        <f>IFERROR(__xludf.DUMMYFUNCTION("""COMPUTED_VALUE"""),0.0)</f>
        <v>0</v>
      </c>
      <c r="BP192" s="22">
        <f>IFERROR(__xludf.DUMMYFUNCTION("""COMPUTED_VALUE"""),0.0)</f>
        <v>0</v>
      </c>
      <c r="BQ192" s="22">
        <f>IFERROR(__xludf.DUMMYFUNCTION("""COMPUTED_VALUE"""),0.0)</f>
        <v>0</v>
      </c>
      <c r="BR192" s="22">
        <f>IFERROR(__xludf.DUMMYFUNCTION("""COMPUTED_VALUE"""),0.0)</f>
        <v>0</v>
      </c>
      <c r="BS192" s="22">
        <f>IFERROR(__xludf.DUMMYFUNCTION("""COMPUTED_VALUE"""),0.0)</f>
        <v>0</v>
      </c>
      <c r="BT192" s="22">
        <f>IFERROR(__xludf.DUMMYFUNCTION("""COMPUTED_VALUE"""),0.0)</f>
        <v>0</v>
      </c>
      <c r="BU192" s="22">
        <f>IFERROR(__xludf.DUMMYFUNCTION("""COMPUTED_VALUE"""),1.0)</f>
        <v>1</v>
      </c>
      <c r="BV192" s="22">
        <f>IFERROR(__xludf.DUMMYFUNCTION("""COMPUTED_VALUE"""),1.0)</f>
        <v>1</v>
      </c>
      <c r="BW192" s="22">
        <f>IFERROR(__xludf.DUMMYFUNCTION("""COMPUTED_VALUE"""),1.0)</f>
        <v>1</v>
      </c>
      <c r="BX192" s="22">
        <f>IFERROR(__xludf.DUMMYFUNCTION("""COMPUTED_VALUE"""),0.0)</f>
        <v>0</v>
      </c>
      <c r="BY192" s="22">
        <f>IFERROR(__xludf.DUMMYFUNCTION("""COMPUTED_VALUE"""),0.0)</f>
        <v>0</v>
      </c>
      <c r="BZ192" s="22">
        <f>IFERROR(__xludf.DUMMYFUNCTION("""COMPUTED_VALUE"""),0.0)</f>
        <v>0</v>
      </c>
      <c r="CA192" s="22">
        <f>IFERROR(__xludf.DUMMYFUNCTION("""COMPUTED_VALUE"""),1.0)</f>
        <v>1</v>
      </c>
      <c r="CB192" s="22">
        <f>IFERROR(__xludf.DUMMYFUNCTION("""COMPUTED_VALUE"""),3.0)</f>
        <v>3</v>
      </c>
      <c r="CC192" s="61">
        <f>IFERROR(__xludf.DUMMYFUNCTION("""COMPUTED_VALUE"""),1.875)</f>
        <v>1.875</v>
      </c>
      <c r="CD192" s="62" t="str">
        <f>IFERROR(__xludf.DUMMYFUNCTION("""COMPUTED_VALUE"""),"subpar")</f>
        <v>subpar</v>
      </c>
      <c r="CE192" s="22" t="s">
        <v>352</v>
      </c>
      <c r="CF192" s="24">
        <v>4.0</v>
      </c>
      <c r="CG192" s="22" t="b">
        <v>0</v>
      </c>
      <c r="CH192" s="22" t="b">
        <v>1</v>
      </c>
      <c r="CI192" s="24">
        <v>4.0</v>
      </c>
      <c r="CJ192" s="22">
        <v>0.0</v>
      </c>
      <c r="CK192" s="22">
        <v>1.0</v>
      </c>
      <c r="CL192" s="22">
        <v>0.0</v>
      </c>
      <c r="CM192" s="22">
        <v>0.0</v>
      </c>
      <c r="CN192" s="22">
        <v>0.0</v>
      </c>
      <c r="CO192" s="22">
        <v>0.0</v>
      </c>
      <c r="CP192" s="22">
        <v>0.0</v>
      </c>
      <c r="CQ192" s="22">
        <v>0.0</v>
      </c>
      <c r="CR192" s="22">
        <v>1.0</v>
      </c>
      <c r="CS192" s="22">
        <v>1.0</v>
      </c>
      <c r="CT192" s="22">
        <v>1.0</v>
      </c>
      <c r="CU192" s="22">
        <v>0.0</v>
      </c>
      <c r="CV192" s="22">
        <v>0.0</v>
      </c>
      <c r="CW192" s="22">
        <v>0.0</v>
      </c>
      <c r="CX192" s="22">
        <v>1.0</v>
      </c>
      <c r="CY192" s="22">
        <v>3.0</v>
      </c>
      <c r="CZ192" s="61">
        <v>1.875</v>
      </c>
      <c r="DA192" s="62" t="s">
        <v>568</v>
      </c>
    </row>
    <row r="193">
      <c r="A193" s="16"/>
      <c r="B193" s="16" t="s">
        <v>412</v>
      </c>
      <c r="C193" s="17" t="s">
        <v>51</v>
      </c>
      <c r="D193" s="16" t="s">
        <v>180</v>
      </c>
      <c r="E193" s="17" t="b">
        <f t="shared" ref="E193:K193" si="966">If(IFERROR(SEARCH(E$1, $D193),0) &gt;= 1, true,false)</f>
        <v>0</v>
      </c>
      <c r="F193" s="17" t="b">
        <f t="shared" si="966"/>
        <v>0</v>
      </c>
      <c r="G193" s="17" t="b">
        <f t="shared" si="966"/>
        <v>0</v>
      </c>
      <c r="H193" s="17" t="b">
        <f t="shared" si="966"/>
        <v>0</v>
      </c>
      <c r="I193" s="17" t="b">
        <f t="shared" si="966"/>
        <v>0</v>
      </c>
      <c r="J193" s="17" t="b">
        <f t="shared" si="966"/>
        <v>1</v>
      </c>
      <c r="K193" s="17" t="b">
        <f t="shared" si="966"/>
        <v>1</v>
      </c>
      <c r="L193" s="18" t="b">
        <v>0</v>
      </c>
      <c r="M193" s="18" t="b">
        <v>0</v>
      </c>
      <c r="N193" s="18" t="b">
        <v>0</v>
      </c>
      <c r="O193" s="18" t="b">
        <v>0</v>
      </c>
      <c r="P193" s="16" t="str">
        <f t="shared" si="7"/>
        <v>Art et marges musée museum</v>
      </c>
      <c r="Q193" s="19">
        <v>6.0</v>
      </c>
      <c r="R193" s="18" t="b">
        <v>0</v>
      </c>
      <c r="S193" s="18" t="b">
        <v>1</v>
      </c>
      <c r="T193" s="31">
        <v>6.0</v>
      </c>
      <c r="U193" s="21">
        <f t="shared" si="8"/>
        <v>0</v>
      </c>
      <c r="V193" s="21">
        <f t="shared" ref="V193:AB193" si="967">if(OR(AW193 = $AO$4, AW193 = $AQ$4), 1, 0)</f>
        <v>0</v>
      </c>
      <c r="W193" s="21">
        <f t="shared" si="967"/>
        <v>0</v>
      </c>
      <c r="X193" s="21">
        <f t="shared" si="967"/>
        <v>0</v>
      </c>
      <c r="Y193" s="21">
        <f t="shared" si="967"/>
        <v>0</v>
      </c>
      <c r="Z193" s="21">
        <f t="shared" si="967"/>
        <v>0</v>
      </c>
      <c r="AA193" s="21">
        <f t="shared" si="967"/>
        <v>1</v>
      </c>
      <c r="AB193" s="21">
        <f t="shared" si="967"/>
        <v>0</v>
      </c>
      <c r="AC193" s="21">
        <f t="shared" si="10"/>
        <v>1</v>
      </c>
      <c r="AD193" s="21">
        <f t="shared" si="11"/>
        <v>1</v>
      </c>
      <c r="AE193" s="21">
        <f t="shared" ref="AE193:AH193" si="968">if(OR(BD193 = $AO$6, BD193 = $AS$6, BD193 = $AT$6, BD193 = $AU$6), 1, 0)</f>
        <v>0</v>
      </c>
      <c r="AF193" s="21">
        <f t="shared" si="968"/>
        <v>0</v>
      </c>
      <c r="AG193" s="21">
        <f t="shared" si="968"/>
        <v>0</v>
      </c>
      <c r="AH193" s="21">
        <f t="shared" si="968"/>
        <v>0</v>
      </c>
      <c r="AI193" s="21">
        <f t="shared" si="13"/>
        <v>0</v>
      </c>
      <c r="AJ193" s="21">
        <f t="shared" si="14"/>
        <v>2</v>
      </c>
      <c r="AK193" s="59">
        <f t="shared" si="15"/>
        <v>1.25</v>
      </c>
      <c r="AL193" s="60" t="str">
        <f t="shared" si="16"/>
        <v>subpar</v>
      </c>
      <c r="AW193" s="22">
        <f t="shared" ref="AW193:BC193" si="969">IF(IFERROR(SEARCH(E$1, $D193),0) &gt;= 1, E$1,0)</f>
        <v>0</v>
      </c>
      <c r="AX193" s="22">
        <f t="shared" si="969"/>
        <v>0</v>
      </c>
      <c r="AY193" s="22">
        <f t="shared" si="969"/>
        <v>0</v>
      </c>
      <c r="AZ193" s="22">
        <f t="shared" si="969"/>
        <v>0</v>
      </c>
      <c r="BA193" s="22">
        <f t="shared" si="969"/>
        <v>0</v>
      </c>
      <c r="BB193" s="22" t="str">
        <f t="shared" si="969"/>
        <v>Beeldende kunst</v>
      </c>
      <c r="BC193" s="22" t="str">
        <f t="shared" si="969"/>
        <v>Toegepaste kunst en design</v>
      </c>
      <c r="BD193" s="22">
        <f t="shared" ref="BD193:BG193" si="970">IF(L193 = true, BD$1, 0)</f>
        <v>0</v>
      </c>
      <c r="BE193" s="22">
        <f t="shared" si="970"/>
        <v>0</v>
      </c>
      <c r="BF193" s="22">
        <f t="shared" si="970"/>
        <v>0</v>
      </c>
      <c r="BG193" s="22">
        <f t="shared" si="970"/>
        <v>0</v>
      </c>
      <c r="BH193" s="22" t="str">
        <f>IFERROR(__xludf.DUMMYFUNCTION("""COMPUTED_VALUE"""),"Mons Memorial Museum ")</f>
        <v>Mons Memorial Museum </v>
      </c>
      <c r="BI193" s="24">
        <f>IFERROR(__xludf.DUMMYFUNCTION("""COMPUTED_VALUE"""),9.0)</f>
        <v>9</v>
      </c>
      <c r="BJ193" s="22" t="b">
        <f>IFERROR(__xludf.DUMMYFUNCTION("""COMPUTED_VALUE"""),FALSE)</f>
        <v>0</v>
      </c>
      <c r="BK193" s="22" t="b">
        <f>IFERROR(__xludf.DUMMYFUNCTION("""COMPUTED_VALUE"""),TRUE)</f>
        <v>1</v>
      </c>
      <c r="BL193" s="24">
        <f>IFERROR(__xludf.DUMMYFUNCTION("""COMPUTED_VALUE"""),9.0)</f>
        <v>9</v>
      </c>
      <c r="BM193" s="22">
        <f>IFERROR(__xludf.DUMMYFUNCTION("""COMPUTED_VALUE"""),0.0)</f>
        <v>0</v>
      </c>
      <c r="BN193" s="22">
        <f>IFERROR(__xludf.DUMMYFUNCTION("""COMPUTED_VALUE"""),1.0)</f>
        <v>1</v>
      </c>
      <c r="BO193" s="22">
        <f>IFERROR(__xludf.DUMMYFUNCTION("""COMPUTED_VALUE"""),0.0)</f>
        <v>0</v>
      </c>
      <c r="BP193" s="22">
        <f>IFERROR(__xludf.DUMMYFUNCTION("""COMPUTED_VALUE"""),0.0)</f>
        <v>0</v>
      </c>
      <c r="BQ193" s="22">
        <f>IFERROR(__xludf.DUMMYFUNCTION("""COMPUTED_VALUE"""),0.0)</f>
        <v>0</v>
      </c>
      <c r="BR193" s="22">
        <f>IFERROR(__xludf.DUMMYFUNCTION("""COMPUTED_VALUE"""),0.0)</f>
        <v>0</v>
      </c>
      <c r="BS193" s="22">
        <f>IFERROR(__xludf.DUMMYFUNCTION("""COMPUTED_VALUE"""),0.0)</f>
        <v>0</v>
      </c>
      <c r="BT193" s="22">
        <f>IFERROR(__xludf.DUMMYFUNCTION("""COMPUTED_VALUE"""),0.0)</f>
        <v>0</v>
      </c>
      <c r="BU193" s="22">
        <f>IFERROR(__xludf.DUMMYFUNCTION("""COMPUTED_VALUE"""),1.0)</f>
        <v>1</v>
      </c>
      <c r="BV193" s="22">
        <f>IFERROR(__xludf.DUMMYFUNCTION("""COMPUTED_VALUE"""),1.0)</f>
        <v>1</v>
      </c>
      <c r="BW193" s="22">
        <f>IFERROR(__xludf.DUMMYFUNCTION("""COMPUTED_VALUE"""),1.0)</f>
        <v>1</v>
      </c>
      <c r="BX193" s="22">
        <f>IFERROR(__xludf.DUMMYFUNCTION("""COMPUTED_VALUE"""),0.0)</f>
        <v>0</v>
      </c>
      <c r="BY193" s="22">
        <f>IFERROR(__xludf.DUMMYFUNCTION("""COMPUTED_VALUE"""),0.0)</f>
        <v>0</v>
      </c>
      <c r="BZ193" s="22">
        <f>IFERROR(__xludf.DUMMYFUNCTION("""COMPUTED_VALUE"""),0.0)</f>
        <v>0</v>
      </c>
      <c r="CA193" s="22">
        <f>IFERROR(__xludf.DUMMYFUNCTION("""COMPUTED_VALUE"""),1.0)</f>
        <v>1</v>
      </c>
      <c r="CB193" s="22">
        <f>IFERROR(__xludf.DUMMYFUNCTION("""COMPUTED_VALUE"""),3.0)</f>
        <v>3</v>
      </c>
      <c r="CC193" s="61">
        <f>IFERROR(__xludf.DUMMYFUNCTION("""COMPUTED_VALUE"""),1.875)</f>
        <v>1.875</v>
      </c>
      <c r="CD193" s="62" t="str">
        <f>IFERROR(__xludf.DUMMYFUNCTION("""COMPUTED_VALUE"""),"subpar")</f>
        <v>subpar</v>
      </c>
      <c r="CE193" s="22" t="s">
        <v>363</v>
      </c>
      <c r="CF193" s="24">
        <v>9.0</v>
      </c>
      <c r="CG193" s="22" t="b">
        <v>0</v>
      </c>
      <c r="CH193" s="22" t="b">
        <v>1</v>
      </c>
      <c r="CI193" s="24">
        <v>9.0</v>
      </c>
      <c r="CJ193" s="22">
        <v>0.0</v>
      </c>
      <c r="CK193" s="22">
        <v>1.0</v>
      </c>
      <c r="CL193" s="22">
        <v>0.0</v>
      </c>
      <c r="CM193" s="22">
        <v>0.0</v>
      </c>
      <c r="CN193" s="22">
        <v>0.0</v>
      </c>
      <c r="CO193" s="22">
        <v>0.0</v>
      </c>
      <c r="CP193" s="22">
        <v>0.0</v>
      </c>
      <c r="CQ193" s="22">
        <v>0.0</v>
      </c>
      <c r="CR193" s="22">
        <v>1.0</v>
      </c>
      <c r="CS193" s="22">
        <v>1.0</v>
      </c>
      <c r="CT193" s="22">
        <v>1.0</v>
      </c>
      <c r="CU193" s="22">
        <v>0.0</v>
      </c>
      <c r="CV193" s="22">
        <v>0.0</v>
      </c>
      <c r="CW193" s="22">
        <v>0.0</v>
      </c>
      <c r="CX193" s="22">
        <v>1.0</v>
      </c>
      <c r="CY193" s="22">
        <v>3.0</v>
      </c>
      <c r="CZ193" s="61">
        <v>1.875</v>
      </c>
      <c r="DA193" s="62" t="s">
        <v>568</v>
      </c>
    </row>
    <row r="194">
      <c r="A194" s="16" t="s">
        <v>413</v>
      </c>
      <c r="B194" s="16"/>
      <c r="C194" s="17" t="s">
        <v>51</v>
      </c>
      <c r="D194" s="16" t="s">
        <v>5</v>
      </c>
      <c r="E194" s="17" t="b">
        <f t="shared" ref="E194:K194" si="971">If(IFERROR(SEARCH(E$1, $D194),0) &gt;= 1, true,false)</f>
        <v>0</v>
      </c>
      <c r="F194" s="17" t="b">
        <f t="shared" si="971"/>
        <v>1</v>
      </c>
      <c r="G194" s="17" t="b">
        <f t="shared" si="971"/>
        <v>0</v>
      </c>
      <c r="H194" s="17" t="b">
        <f t="shared" si="971"/>
        <v>0</v>
      </c>
      <c r="I194" s="17" t="b">
        <f t="shared" si="971"/>
        <v>0</v>
      </c>
      <c r="J194" s="17" t="b">
        <f t="shared" si="971"/>
        <v>0</v>
      </c>
      <c r="K194" s="17" t="b">
        <f t="shared" si="971"/>
        <v>0</v>
      </c>
      <c r="L194" s="18" t="b">
        <v>1</v>
      </c>
      <c r="M194" s="18" t="b">
        <v>1</v>
      </c>
      <c r="N194" s="18" t="b">
        <v>1</v>
      </c>
      <c r="O194" s="18" t="b">
        <v>1</v>
      </c>
      <c r="P194" s="16" t="str">
        <f t="shared" si="7"/>
        <v>Autoworld Brussels</v>
      </c>
      <c r="Q194" s="19">
        <v>15.0</v>
      </c>
      <c r="R194" s="18" t="b">
        <v>0</v>
      </c>
      <c r="S194" s="18" t="b">
        <v>1</v>
      </c>
      <c r="T194" s="35">
        <v>16.0</v>
      </c>
      <c r="U194" s="21">
        <f t="shared" si="8"/>
        <v>0</v>
      </c>
      <c r="V194" s="21">
        <f t="shared" ref="V194:AB194" si="972">if(OR(AW194 = $AO$4, AW194 = $AQ$4), 1, 0)</f>
        <v>0</v>
      </c>
      <c r="W194" s="21">
        <f t="shared" si="972"/>
        <v>0</v>
      </c>
      <c r="X194" s="21">
        <f t="shared" si="972"/>
        <v>0</v>
      </c>
      <c r="Y194" s="21">
        <f t="shared" si="972"/>
        <v>0</v>
      </c>
      <c r="Z194" s="21">
        <f t="shared" si="972"/>
        <v>0</v>
      </c>
      <c r="AA194" s="21">
        <f t="shared" si="972"/>
        <v>0</v>
      </c>
      <c r="AB194" s="21">
        <f t="shared" si="972"/>
        <v>0</v>
      </c>
      <c r="AC194" s="21">
        <f t="shared" si="10"/>
        <v>0</v>
      </c>
      <c r="AD194" s="21">
        <f t="shared" si="11"/>
        <v>0</v>
      </c>
      <c r="AE194" s="21">
        <f t="shared" ref="AE194:AH194" si="973">if(OR(BD194 = $AO$6, BD194 = $AS$6, BD194 = $AT$6, BD194 = $AU$6), 1, 0)</f>
        <v>1</v>
      </c>
      <c r="AF194" s="21">
        <f t="shared" si="973"/>
        <v>1</v>
      </c>
      <c r="AG194" s="21">
        <f t="shared" si="973"/>
        <v>1</v>
      </c>
      <c r="AH194" s="21">
        <f t="shared" si="973"/>
        <v>1</v>
      </c>
      <c r="AI194" s="21">
        <f t="shared" si="13"/>
        <v>4</v>
      </c>
      <c r="AJ194" s="21">
        <f t="shared" si="14"/>
        <v>4</v>
      </c>
      <c r="AK194" s="59">
        <f t="shared" si="15"/>
        <v>2.5</v>
      </c>
      <c r="AL194" s="60" t="str">
        <f t="shared" si="16"/>
        <v>subpar</v>
      </c>
      <c r="AW194" s="22">
        <f t="shared" ref="AW194:BC194" si="974">IF(IFERROR(SEARCH(E$1, $D194),0) &gt;= 1, E$1,0)</f>
        <v>0</v>
      </c>
      <c r="AX194" s="22" t="str">
        <f t="shared" si="974"/>
        <v>Wetenschap en technologie</v>
      </c>
      <c r="AY194" s="22">
        <f t="shared" si="974"/>
        <v>0</v>
      </c>
      <c r="AZ194" s="22">
        <f t="shared" si="974"/>
        <v>0</v>
      </c>
      <c r="BA194" s="22">
        <f t="shared" si="974"/>
        <v>0</v>
      </c>
      <c r="BB194" s="22">
        <f t="shared" si="974"/>
        <v>0</v>
      </c>
      <c r="BC194" s="22">
        <f t="shared" si="974"/>
        <v>0</v>
      </c>
      <c r="BD194" s="22" t="str">
        <f t="shared" ref="BD194:BG194" si="975">IF(L194 = true, BD$1, 0)</f>
        <v>Shop</v>
      </c>
      <c r="BE194" s="22" t="str">
        <f t="shared" si="975"/>
        <v>Café</v>
      </c>
      <c r="BF194" s="22" t="str">
        <f t="shared" si="975"/>
        <v>Parking</v>
      </c>
      <c r="BG194" s="22" t="str">
        <f t="shared" si="975"/>
        <v>Restaurant</v>
      </c>
      <c r="BH194" s="22" t="str">
        <f>IFERROR(__xludf.DUMMYFUNCTION("""COMPUTED_VALUE"""),"Archeologiemuseum")</f>
        <v>Archeologiemuseum</v>
      </c>
      <c r="BI194" s="24">
        <f>IFERROR(__xludf.DUMMYFUNCTION("""COMPUTED_VALUE"""),0.0)</f>
        <v>0</v>
      </c>
      <c r="BJ194" s="22" t="b">
        <f>IFERROR(__xludf.DUMMYFUNCTION("""COMPUTED_VALUE"""),TRUE)</f>
        <v>1</v>
      </c>
      <c r="BK194" s="22" t="b">
        <f>IFERROR(__xludf.DUMMYFUNCTION("""COMPUTED_VALUE"""),TRUE)</f>
        <v>1</v>
      </c>
      <c r="BL194" s="22"/>
      <c r="BM194" s="22">
        <f>IFERROR(__xludf.DUMMYFUNCTION("""COMPUTED_VALUE"""),0.0)</f>
        <v>0</v>
      </c>
      <c r="BN194" s="22">
        <f>IFERROR(__xludf.DUMMYFUNCTION("""COMPUTED_VALUE"""),1.0)</f>
        <v>1</v>
      </c>
      <c r="BO194" s="22">
        <f>IFERROR(__xludf.DUMMYFUNCTION("""COMPUTED_VALUE"""),0.0)</f>
        <v>0</v>
      </c>
      <c r="BP194" s="22">
        <f>IFERROR(__xludf.DUMMYFUNCTION("""COMPUTED_VALUE"""),0.0)</f>
        <v>0</v>
      </c>
      <c r="BQ194" s="22">
        <f>IFERROR(__xludf.DUMMYFUNCTION("""COMPUTED_VALUE"""),0.0)</f>
        <v>0</v>
      </c>
      <c r="BR194" s="22">
        <f>IFERROR(__xludf.DUMMYFUNCTION("""COMPUTED_VALUE"""),0.0)</f>
        <v>0</v>
      </c>
      <c r="BS194" s="22">
        <f>IFERROR(__xludf.DUMMYFUNCTION("""COMPUTED_VALUE"""),0.0)</f>
        <v>0</v>
      </c>
      <c r="BT194" s="22">
        <f>IFERROR(__xludf.DUMMYFUNCTION("""COMPUTED_VALUE"""),0.0)</f>
        <v>0</v>
      </c>
      <c r="BU194" s="22">
        <f>IFERROR(__xludf.DUMMYFUNCTION("""COMPUTED_VALUE"""),1.0)</f>
        <v>1</v>
      </c>
      <c r="BV194" s="22">
        <f>IFERROR(__xludf.DUMMYFUNCTION("""COMPUTED_VALUE"""),1.0)</f>
        <v>1</v>
      </c>
      <c r="BW194" s="22">
        <f>IFERROR(__xludf.DUMMYFUNCTION("""COMPUTED_VALUE"""),1.0)</f>
        <v>1</v>
      </c>
      <c r="BX194" s="22">
        <f>IFERROR(__xludf.DUMMYFUNCTION("""COMPUTED_VALUE"""),0.0)</f>
        <v>0</v>
      </c>
      <c r="BY194" s="22">
        <f>IFERROR(__xludf.DUMMYFUNCTION("""COMPUTED_VALUE"""),0.0)</f>
        <v>0</v>
      </c>
      <c r="BZ194" s="22">
        <f>IFERROR(__xludf.DUMMYFUNCTION("""COMPUTED_VALUE"""),0.0)</f>
        <v>0</v>
      </c>
      <c r="CA194" s="22">
        <f>IFERROR(__xludf.DUMMYFUNCTION("""COMPUTED_VALUE"""),1.0)</f>
        <v>1</v>
      </c>
      <c r="CB194" s="22">
        <f>IFERROR(__xludf.DUMMYFUNCTION("""COMPUTED_VALUE"""),3.0)</f>
        <v>3</v>
      </c>
      <c r="CC194" s="61">
        <f>IFERROR(__xludf.DUMMYFUNCTION("""COMPUTED_VALUE"""),1.875)</f>
        <v>1.875</v>
      </c>
      <c r="CD194" s="62" t="str">
        <f>IFERROR(__xludf.DUMMYFUNCTION("""COMPUTED_VALUE"""),"subpar")</f>
        <v>subpar</v>
      </c>
      <c r="CE194" s="22" t="s">
        <v>366</v>
      </c>
      <c r="CF194" s="24">
        <v>0.0</v>
      </c>
      <c r="CG194" s="22" t="b">
        <v>1</v>
      </c>
      <c r="CH194" s="22" t="b">
        <v>1</v>
      </c>
      <c r="CI194" s="22"/>
      <c r="CJ194" s="22">
        <v>0.0</v>
      </c>
      <c r="CK194" s="22">
        <v>1.0</v>
      </c>
      <c r="CL194" s="22">
        <v>0.0</v>
      </c>
      <c r="CM194" s="22">
        <v>0.0</v>
      </c>
      <c r="CN194" s="22">
        <v>0.0</v>
      </c>
      <c r="CO194" s="22">
        <v>0.0</v>
      </c>
      <c r="CP194" s="22">
        <v>0.0</v>
      </c>
      <c r="CQ194" s="22">
        <v>0.0</v>
      </c>
      <c r="CR194" s="22">
        <v>1.0</v>
      </c>
      <c r="CS194" s="22">
        <v>1.0</v>
      </c>
      <c r="CT194" s="22">
        <v>1.0</v>
      </c>
      <c r="CU194" s="22">
        <v>0.0</v>
      </c>
      <c r="CV194" s="22">
        <v>0.0</v>
      </c>
      <c r="CW194" s="22">
        <v>0.0</v>
      </c>
      <c r="CX194" s="22">
        <v>1.0</v>
      </c>
      <c r="CY194" s="22">
        <v>3.0</v>
      </c>
      <c r="CZ194" s="61">
        <v>1.875</v>
      </c>
      <c r="DA194" s="62" t="s">
        <v>568</v>
      </c>
    </row>
    <row r="195">
      <c r="A195" s="16"/>
      <c r="B195" s="16" t="s">
        <v>414</v>
      </c>
      <c r="C195" s="17" t="s">
        <v>51</v>
      </c>
      <c r="D195" s="16" t="s">
        <v>9</v>
      </c>
      <c r="E195" s="17" t="b">
        <f t="shared" ref="E195:K195" si="976">If(IFERROR(SEARCH(E$1, $D195),0) &gt;= 1, true,false)</f>
        <v>0</v>
      </c>
      <c r="F195" s="17" t="b">
        <f t="shared" si="976"/>
        <v>0</v>
      </c>
      <c r="G195" s="17" t="b">
        <f t="shared" si="976"/>
        <v>0</v>
      </c>
      <c r="H195" s="17" t="b">
        <f t="shared" si="976"/>
        <v>0</v>
      </c>
      <c r="I195" s="17" t="b">
        <f t="shared" si="976"/>
        <v>0</v>
      </c>
      <c r="J195" s="17" t="b">
        <f t="shared" si="976"/>
        <v>1</v>
      </c>
      <c r="K195" s="17" t="b">
        <f t="shared" si="976"/>
        <v>0</v>
      </c>
      <c r="L195" s="18" t="b">
        <v>0</v>
      </c>
      <c r="M195" s="18" t="b">
        <v>1</v>
      </c>
      <c r="N195" s="18" t="b">
        <v>0</v>
      </c>
      <c r="O195" s="18" t="b">
        <v>1</v>
      </c>
      <c r="P195" s="16" t="str">
        <f t="shared" si="7"/>
        <v>Botanique</v>
      </c>
      <c r="Q195" s="19">
        <v>0.0</v>
      </c>
      <c r="R195" s="18" t="b">
        <v>0</v>
      </c>
      <c r="S195" s="18" t="b">
        <v>0</v>
      </c>
      <c r="T195" s="32"/>
      <c r="U195" s="21">
        <f t="shared" si="8"/>
        <v>0</v>
      </c>
      <c r="V195" s="21">
        <f t="shared" ref="V195:AB195" si="977">if(OR(AW195 = $AO$4, AW195 = $AQ$4), 1, 0)</f>
        <v>0</v>
      </c>
      <c r="W195" s="21">
        <f t="shared" si="977"/>
        <v>0</v>
      </c>
      <c r="X195" s="21">
        <f t="shared" si="977"/>
        <v>0</v>
      </c>
      <c r="Y195" s="21">
        <f t="shared" si="977"/>
        <v>0</v>
      </c>
      <c r="Z195" s="21">
        <f t="shared" si="977"/>
        <v>0</v>
      </c>
      <c r="AA195" s="21">
        <f t="shared" si="977"/>
        <v>1</v>
      </c>
      <c r="AB195" s="21">
        <f t="shared" si="977"/>
        <v>0</v>
      </c>
      <c r="AC195" s="21">
        <f t="shared" si="10"/>
        <v>1</v>
      </c>
      <c r="AD195" s="21">
        <f t="shared" si="11"/>
        <v>1</v>
      </c>
      <c r="AE195" s="21">
        <f t="shared" ref="AE195:AH195" si="978">if(OR(BD195 = $AO$6, BD195 = $AS$6, BD195 = $AT$6, BD195 = $AU$6), 1, 0)</f>
        <v>0</v>
      </c>
      <c r="AF195" s="21">
        <f t="shared" si="978"/>
        <v>1</v>
      </c>
      <c r="AG195" s="21">
        <f t="shared" si="978"/>
        <v>0</v>
      </c>
      <c r="AH195" s="21">
        <f t="shared" si="978"/>
        <v>1</v>
      </c>
      <c r="AI195" s="21">
        <f t="shared" si="13"/>
        <v>2</v>
      </c>
      <c r="AJ195" s="21">
        <f t="shared" si="14"/>
        <v>4</v>
      </c>
      <c r="AK195" s="59">
        <f t="shared" si="15"/>
        <v>2.5</v>
      </c>
      <c r="AL195" s="60" t="str">
        <f t="shared" si="16"/>
        <v>subpar</v>
      </c>
      <c r="AW195" s="22">
        <f t="shared" ref="AW195:BC195" si="979">IF(IFERROR(SEARCH(E$1, $D195),0) &gt;= 1, E$1,0)</f>
        <v>0</v>
      </c>
      <c r="AX195" s="22">
        <f t="shared" si="979"/>
        <v>0</v>
      </c>
      <c r="AY195" s="22">
        <f t="shared" si="979"/>
        <v>0</v>
      </c>
      <c r="AZ195" s="22">
        <f t="shared" si="979"/>
        <v>0</v>
      </c>
      <c r="BA195" s="22">
        <f t="shared" si="979"/>
        <v>0</v>
      </c>
      <c r="BB195" s="22" t="str">
        <f t="shared" si="979"/>
        <v>Beeldende kunst</v>
      </c>
      <c r="BC195" s="22">
        <f t="shared" si="979"/>
        <v>0</v>
      </c>
      <c r="BD195" s="22">
        <f t="shared" ref="BD195:BG195" si="980">IF(L195 = true, BD$1, 0)</f>
        <v>0</v>
      </c>
      <c r="BE195" s="22" t="str">
        <f t="shared" si="980"/>
        <v>Café</v>
      </c>
      <c r="BF195" s="22">
        <f t="shared" si="980"/>
        <v>0</v>
      </c>
      <c r="BG195" s="22" t="str">
        <f t="shared" si="980"/>
        <v>Restaurant</v>
      </c>
      <c r="BH195" s="22" t="str">
        <f>IFERROR(__xludf.DUMMYFUNCTION("""COMPUTED_VALUE"""),"Folkloremuseum")</f>
        <v>Folkloremuseum</v>
      </c>
      <c r="BI195" s="24">
        <f>IFERROR(__xludf.DUMMYFUNCTION("""COMPUTED_VALUE"""),4.0)</f>
        <v>4</v>
      </c>
      <c r="BJ195" s="22" t="b">
        <f>IFERROR(__xludf.DUMMYFUNCTION("""COMPUTED_VALUE"""),FALSE)</f>
        <v>0</v>
      </c>
      <c r="BK195" s="22" t="b">
        <f>IFERROR(__xludf.DUMMYFUNCTION("""COMPUTED_VALUE"""),TRUE)</f>
        <v>1</v>
      </c>
      <c r="BL195" s="24">
        <f>IFERROR(__xludf.DUMMYFUNCTION("""COMPUTED_VALUE"""),4.0)</f>
        <v>4</v>
      </c>
      <c r="BM195" s="22">
        <f>IFERROR(__xludf.DUMMYFUNCTION("""COMPUTED_VALUE"""),0.0)</f>
        <v>0</v>
      </c>
      <c r="BN195" s="22">
        <f>IFERROR(__xludf.DUMMYFUNCTION("""COMPUTED_VALUE"""),1.0)</f>
        <v>1</v>
      </c>
      <c r="BO195" s="22">
        <f>IFERROR(__xludf.DUMMYFUNCTION("""COMPUTED_VALUE"""),0.0)</f>
        <v>0</v>
      </c>
      <c r="BP195" s="22">
        <f>IFERROR(__xludf.DUMMYFUNCTION("""COMPUTED_VALUE"""),0.0)</f>
        <v>0</v>
      </c>
      <c r="BQ195" s="22">
        <f>IFERROR(__xludf.DUMMYFUNCTION("""COMPUTED_VALUE"""),0.0)</f>
        <v>0</v>
      </c>
      <c r="BR195" s="22">
        <f>IFERROR(__xludf.DUMMYFUNCTION("""COMPUTED_VALUE"""),0.0)</f>
        <v>0</v>
      </c>
      <c r="BS195" s="22">
        <f>IFERROR(__xludf.DUMMYFUNCTION("""COMPUTED_VALUE"""),0.0)</f>
        <v>0</v>
      </c>
      <c r="BT195" s="22">
        <f>IFERROR(__xludf.DUMMYFUNCTION("""COMPUTED_VALUE"""),0.0)</f>
        <v>0</v>
      </c>
      <c r="BU195" s="22">
        <f>IFERROR(__xludf.DUMMYFUNCTION("""COMPUTED_VALUE"""),1.0)</f>
        <v>1</v>
      </c>
      <c r="BV195" s="22">
        <f>IFERROR(__xludf.DUMMYFUNCTION("""COMPUTED_VALUE"""),1.0)</f>
        <v>1</v>
      </c>
      <c r="BW195" s="22">
        <f>IFERROR(__xludf.DUMMYFUNCTION("""COMPUTED_VALUE"""),1.0)</f>
        <v>1</v>
      </c>
      <c r="BX195" s="22">
        <f>IFERROR(__xludf.DUMMYFUNCTION("""COMPUTED_VALUE"""),0.0)</f>
        <v>0</v>
      </c>
      <c r="BY195" s="22">
        <f>IFERROR(__xludf.DUMMYFUNCTION("""COMPUTED_VALUE"""),0.0)</f>
        <v>0</v>
      </c>
      <c r="BZ195" s="22">
        <f>IFERROR(__xludf.DUMMYFUNCTION("""COMPUTED_VALUE"""),0.0)</f>
        <v>0</v>
      </c>
      <c r="CA195" s="22">
        <f>IFERROR(__xludf.DUMMYFUNCTION("""COMPUTED_VALUE"""),1.0)</f>
        <v>1</v>
      </c>
      <c r="CB195" s="22">
        <f>IFERROR(__xludf.DUMMYFUNCTION("""COMPUTED_VALUE"""),3.0)</f>
        <v>3</v>
      </c>
      <c r="CC195" s="61">
        <f>IFERROR(__xludf.DUMMYFUNCTION("""COMPUTED_VALUE"""),1.875)</f>
        <v>1.875</v>
      </c>
      <c r="CD195" s="62" t="str">
        <f>IFERROR(__xludf.DUMMYFUNCTION("""COMPUTED_VALUE"""),"subpar")</f>
        <v>subpar</v>
      </c>
      <c r="CE195" s="22" t="s">
        <v>368</v>
      </c>
      <c r="CF195" s="24">
        <v>4.0</v>
      </c>
      <c r="CG195" s="22" t="b">
        <v>0</v>
      </c>
      <c r="CH195" s="22" t="b">
        <v>1</v>
      </c>
      <c r="CI195" s="24">
        <v>4.0</v>
      </c>
      <c r="CJ195" s="22">
        <v>0.0</v>
      </c>
      <c r="CK195" s="22">
        <v>1.0</v>
      </c>
      <c r="CL195" s="22">
        <v>0.0</v>
      </c>
      <c r="CM195" s="22">
        <v>0.0</v>
      </c>
      <c r="CN195" s="22">
        <v>0.0</v>
      </c>
      <c r="CO195" s="22">
        <v>0.0</v>
      </c>
      <c r="CP195" s="22">
        <v>0.0</v>
      </c>
      <c r="CQ195" s="22">
        <v>0.0</v>
      </c>
      <c r="CR195" s="22">
        <v>1.0</v>
      </c>
      <c r="CS195" s="22">
        <v>1.0</v>
      </c>
      <c r="CT195" s="22">
        <v>1.0</v>
      </c>
      <c r="CU195" s="22">
        <v>0.0</v>
      </c>
      <c r="CV195" s="22">
        <v>0.0</v>
      </c>
      <c r="CW195" s="22">
        <v>0.0</v>
      </c>
      <c r="CX195" s="22">
        <v>1.0</v>
      </c>
      <c r="CY195" s="22">
        <v>3.0</v>
      </c>
      <c r="CZ195" s="61">
        <v>1.875</v>
      </c>
      <c r="DA195" s="62" t="s">
        <v>568</v>
      </c>
    </row>
    <row r="196">
      <c r="A196" s="16" t="s">
        <v>415</v>
      </c>
      <c r="B196" s="16" t="s">
        <v>416</v>
      </c>
      <c r="C196" s="17" t="s">
        <v>51</v>
      </c>
      <c r="D196" s="16" t="s">
        <v>417</v>
      </c>
      <c r="E196" s="17" t="b">
        <f t="shared" ref="E196:K196" si="981">If(IFERROR(SEARCH(E$1, $D196),0) &gt;= 1, true,false)</f>
        <v>1</v>
      </c>
      <c r="F196" s="17" t="b">
        <f t="shared" si="981"/>
        <v>1</v>
      </c>
      <c r="G196" s="17" t="b">
        <f t="shared" si="981"/>
        <v>1</v>
      </c>
      <c r="H196" s="17" t="b">
        <f t="shared" si="981"/>
        <v>0</v>
      </c>
      <c r="I196" s="17" t="b">
        <f t="shared" si="981"/>
        <v>1</v>
      </c>
      <c r="J196" s="17" t="b">
        <f t="shared" si="981"/>
        <v>1</v>
      </c>
      <c r="K196" s="17" t="b">
        <f t="shared" si="981"/>
        <v>1</v>
      </c>
      <c r="L196" s="18" t="b">
        <v>1</v>
      </c>
      <c r="M196" s="18" t="b">
        <v>1</v>
      </c>
      <c r="N196" s="18" t="b">
        <v>0</v>
      </c>
      <c r="O196" s="18" t="b">
        <v>1</v>
      </c>
      <c r="P196" s="16" t="str">
        <f t="shared" si="7"/>
        <v>Paleis voor Schone Kunsten</v>
      </c>
      <c r="Q196" s="19">
        <v>8.0</v>
      </c>
      <c r="R196" s="18" t="b">
        <v>0</v>
      </c>
      <c r="S196" s="18" t="b">
        <v>1</v>
      </c>
      <c r="T196" s="30">
        <v>6.0</v>
      </c>
      <c r="U196" s="21">
        <f t="shared" si="8"/>
        <v>0</v>
      </c>
      <c r="V196" s="21">
        <f t="shared" ref="V196:AB196" si="982">if(OR(AW196 = $AO$4, AW196 = $AQ$4), 1, 0)</f>
        <v>1</v>
      </c>
      <c r="W196" s="21">
        <f t="shared" si="982"/>
        <v>0</v>
      </c>
      <c r="X196" s="21">
        <f t="shared" si="982"/>
        <v>0</v>
      </c>
      <c r="Y196" s="21">
        <f t="shared" si="982"/>
        <v>0</v>
      </c>
      <c r="Z196" s="21">
        <f t="shared" si="982"/>
        <v>0</v>
      </c>
      <c r="AA196" s="21">
        <f t="shared" si="982"/>
        <v>1</v>
      </c>
      <c r="AB196" s="21">
        <f t="shared" si="982"/>
        <v>0</v>
      </c>
      <c r="AC196" s="21">
        <f t="shared" si="10"/>
        <v>2</v>
      </c>
      <c r="AD196" s="21">
        <f t="shared" si="11"/>
        <v>1</v>
      </c>
      <c r="AE196" s="21">
        <f t="shared" ref="AE196:AH196" si="983">if(OR(BD196 = $AO$6, BD196 = $AS$6, BD196 = $AT$6, BD196 = $AU$6), 1, 0)</f>
        <v>1</v>
      </c>
      <c r="AF196" s="21">
        <f t="shared" si="983"/>
        <v>1</v>
      </c>
      <c r="AG196" s="21">
        <f t="shared" si="983"/>
        <v>0</v>
      </c>
      <c r="AH196" s="21">
        <f t="shared" si="983"/>
        <v>1</v>
      </c>
      <c r="AI196" s="21">
        <f t="shared" si="13"/>
        <v>3</v>
      </c>
      <c r="AJ196" s="21">
        <f t="shared" si="14"/>
        <v>6</v>
      </c>
      <c r="AK196" s="59">
        <f t="shared" si="15"/>
        <v>3.75</v>
      </c>
      <c r="AL196" s="60" t="str">
        <f t="shared" si="16"/>
        <v>good</v>
      </c>
      <c r="AW196" s="22" t="str">
        <f t="shared" ref="AW196:BC196" si="984">IF(IFERROR(SEARCH(E$1, $D196),0) &gt;= 1, E$1,0)</f>
        <v>Geschiedenis en archeologie</v>
      </c>
      <c r="AX196" s="22" t="str">
        <f t="shared" si="984"/>
        <v>Wetenschap en technologie</v>
      </c>
      <c r="AY196" s="22" t="str">
        <f t="shared" si="984"/>
        <v>Mode</v>
      </c>
      <c r="AZ196" s="22">
        <f t="shared" si="984"/>
        <v>0</v>
      </c>
      <c r="BA196" s="22" t="str">
        <f t="shared" si="984"/>
        <v>Architectuur</v>
      </c>
      <c r="BB196" s="22" t="str">
        <f t="shared" si="984"/>
        <v>Beeldende kunst</v>
      </c>
      <c r="BC196" s="22" t="str">
        <f t="shared" si="984"/>
        <v>Toegepaste kunst en design</v>
      </c>
      <c r="BD196" s="22" t="str">
        <f t="shared" ref="BD196:BG196" si="985">IF(L196 = true, BD$1, 0)</f>
        <v>Shop</v>
      </c>
      <c r="BE196" s="22" t="str">
        <f t="shared" si="985"/>
        <v>Café</v>
      </c>
      <c r="BF196" s="22">
        <f t="shared" si="985"/>
        <v>0</v>
      </c>
      <c r="BG196" s="22" t="str">
        <f t="shared" si="985"/>
        <v>Restaurant</v>
      </c>
      <c r="BH196" s="22" t="str">
        <f>IFERROR(__xludf.DUMMYFUNCTION("""COMPUTED_VALUE"""),"Museum voor militaire geschiedenis")</f>
        <v>Museum voor militaire geschiedenis</v>
      </c>
      <c r="BI196" s="24">
        <f>IFERROR(__xludf.DUMMYFUNCTION("""COMPUTED_VALUE"""),4.0)</f>
        <v>4</v>
      </c>
      <c r="BJ196" s="22" t="b">
        <f>IFERROR(__xludf.DUMMYFUNCTION("""COMPUTED_VALUE"""),FALSE)</f>
        <v>0</v>
      </c>
      <c r="BK196" s="22" t="b">
        <f>IFERROR(__xludf.DUMMYFUNCTION("""COMPUTED_VALUE"""),TRUE)</f>
        <v>1</v>
      </c>
      <c r="BL196" s="24">
        <f>IFERROR(__xludf.DUMMYFUNCTION("""COMPUTED_VALUE"""),4.0)</f>
        <v>4</v>
      </c>
      <c r="BM196" s="22">
        <f>IFERROR(__xludf.DUMMYFUNCTION("""COMPUTED_VALUE"""),0.0)</f>
        <v>0</v>
      </c>
      <c r="BN196" s="22">
        <f>IFERROR(__xludf.DUMMYFUNCTION("""COMPUTED_VALUE"""),1.0)</f>
        <v>1</v>
      </c>
      <c r="BO196" s="22">
        <f>IFERROR(__xludf.DUMMYFUNCTION("""COMPUTED_VALUE"""),0.0)</f>
        <v>0</v>
      </c>
      <c r="BP196" s="22">
        <f>IFERROR(__xludf.DUMMYFUNCTION("""COMPUTED_VALUE"""),0.0)</f>
        <v>0</v>
      </c>
      <c r="BQ196" s="22">
        <f>IFERROR(__xludf.DUMMYFUNCTION("""COMPUTED_VALUE"""),0.0)</f>
        <v>0</v>
      </c>
      <c r="BR196" s="22">
        <f>IFERROR(__xludf.DUMMYFUNCTION("""COMPUTED_VALUE"""),0.0)</f>
        <v>0</v>
      </c>
      <c r="BS196" s="22">
        <f>IFERROR(__xludf.DUMMYFUNCTION("""COMPUTED_VALUE"""),0.0)</f>
        <v>0</v>
      </c>
      <c r="BT196" s="22">
        <f>IFERROR(__xludf.DUMMYFUNCTION("""COMPUTED_VALUE"""),0.0)</f>
        <v>0</v>
      </c>
      <c r="BU196" s="22">
        <f>IFERROR(__xludf.DUMMYFUNCTION("""COMPUTED_VALUE"""),1.0)</f>
        <v>1</v>
      </c>
      <c r="BV196" s="22">
        <f>IFERROR(__xludf.DUMMYFUNCTION("""COMPUTED_VALUE"""),1.0)</f>
        <v>1</v>
      </c>
      <c r="BW196" s="22">
        <f>IFERROR(__xludf.DUMMYFUNCTION("""COMPUTED_VALUE"""),1.0)</f>
        <v>1</v>
      </c>
      <c r="BX196" s="22">
        <f>IFERROR(__xludf.DUMMYFUNCTION("""COMPUTED_VALUE"""),0.0)</f>
        <v>0</v>
      </c>
      <c r="BY196" s="22">
        <f>IFERROR(__xludf.DUMMYFUNCTION("""COMPUTED_VALUE"""),0.0)</f>
        <v>0</v>
      </c>
      <c r="BZ196" s="22">
        <f>IFERROR(__xludf.DUMMYFUNCTION("""COMPUTED_VALUE"""),0.0)</f>
        <v>0</v>
      </c>
      <c r="CA196" s="22">
        <f>IFERROR(__xludf.DUMMYFUNCTION("""COMPUTED_VALUE"""),1.0)</f>
        <v>1</v>
      </c>
      <c r="CB196" s="22">
        <f>IFERROR(__xludf.DUMMYFUNCTION("""COMPUTED_VALUE"""),3.0)</f>
        <v>3</v>
      </c>
      <c r="CC196" s="61">
        <f>IFERROR(__xludf.DUMMYFUNCTION("""COMPUTED_VALUE"""),1.875)</f>
        <v>1.875</v>
      </c>
      <c r="CD196" s="62" t="str">
        <f>IFERROR(__xludf.DUMMYFUNCTION("""COMPUTED_VALUE"""),"subpar")</f>
        <v>subpar</v>
      </c>
      <c r="CE196" s="22" t="s">
        <v>378</v>
      </c>
      <c r="CF196" s="24">
        <v>4.0</v>
      </c>
      <c r="CG196" s="22" t="b">
        <v>0</v>
      </c>
      <c r="CH196" s="22" t="b">
        <v>1</v>
      </c>
      <c r="CI196" s="24">
        <v>4.0</v>
      </c>
      <c r="CJ196" s="22">
        <v>0.0</v>
      </c>
      <c r="CK196" s="22">
        <v>1.0</v>
      </c>
      <c r="CL196" s="22">
        <v>0.0</v>
      </c>
      <c r="CM196" s="22">
        <v>0.0</v>
      </c>
      <c r="CN196" s="22">
        <v>0.0</v>
      </c>
      <c r="CO196" s="22">
        <v>0.0</v>
      </c>
      <c r="CP196" s="22">
        <v>0.0</v>
      </c>
      <c r="CQ196" s="22">
        <v>0.0</v>
      </c>
      <c r="CR196" s="22">
        <v>1.0</v>
      </c>
      <c r="CS196" s="22">
        <v>1.0</v>
      </c>
      <c r="CT196" s="22">
        <v>1.0</v>
      </c>
      <c r="CU196" s="22">
        <v>0.0</v>
      </c>
      <c r="CV196" s="22">
        <v>0.0</v>
      </c>
      <c r="CW196" s="22">
        <v>0.0</v>
      </c>
      <c r="CX196" s="22">
        <v>1.0</v>
      </c>
      <c r="CY196" s="22">
        <v>3.0</v>
      </c>
      <c r="CZ196" s="61">
        <v>1.875</v>
      </c>
      <c r="DA196" s="62" t="s">
        <v>568</v>
      </c>
    </row>
    <row r="197">
      <c r="A197" s="16"/>
      <c r="B197" s="16" t="s">
        <v>418</v>
      </c>
      <c r="C197" s="17" t="s">
        <v>51</v>
      </c>
      <c r="D197" s="16" t="s">
        <v>9</v>
      </c>
      <c r="E197" s="17" t="b">
        <f t="shared" ref="E197:K197" si="986">If(IFERROR(SEARCH(E$1, $D197),0) &gt;= 1, true,false)</f>
        <v>0</v>
      </c>
      <c r="F197" s="17" t="b">
        <f t="shared" si="986"/>
        <v>0</v>
      </c>
      <c r="G197" s="17" t="b">
        <f t="shared" si="986"/>
        <v>0</v>
      </c>
      <c r="H197" s="17" t="b">
        <f t="shared" si="986"/>
        <v>0</v>
      </c>
      <c r="I197" s="17" t="b">
        <f t="shared" si="986"/>
        <v>0</v>
      </c>
      <c r="J197" s="17" t="b">
        <f t="shared" si="986"/>
        <v>1</v>
      </c>
      <c r="K197" s="17" t="b">
        <f t="shared" si="986"/>
        <v>0</v>
      </c>
      <c r="L197" s="18" t="b">
        <v>1</v>
      </c>
      <c r="M197" s="18" t="b">
        <v>0</v>
      </c>
      <c r="N197" s="18" t="b">
        <v>0</v>
      </c>
      <c r="O197" s="18" t="b">
        <v>0</v>
      </c>
      <c r="P197" s="16" t="str">
        <f t="shared" si="7"/>
        <v>CENTRALE for contemporary art</v>
      </c>
      <c r="Q197" s="19">
        <v>10.0</v>
      </c>
      <c r="R197" s="18" t="b">
        <v>0</v>
      </c>
      <c r="S197" s="18" t="b">
        <v>1</v>
      </c>
      <c r="T197" s="31">
        <v>10.0</v>
      </c>
      <c r="U197" s="21">
        <f t="shared" si="8"/>
        <v>0</v>
      </c>
      <c r="V197" s="21">
        <f t="shared" ref="V197:AB197" si="987">if(OR(AW197 = $AO$4, AW197 = $AQ$4), 1, 0)</f>
        <v>0</v>
      </c>
      <c r="W197" s="21">
        <f t="shared" si="987"/>
        <v>0</v>
      </c>
      <c r="X197" s="21">
        <f t="shared" si="987"/>
        <v>0</v>
      </c>
      <c r="Y197" s="21">
        <f t="shared" si="987"/>
        <v>0</v>
      </c>
      <c r="Z197" s="21">
        <f t="shared" si="987"/>
        <v>0</v>
      </c>
      <c r="AA197" s="21">
        <f t="shared" si="987"/>
        <v>1</v>
      </c>
      <c r="AB197" s="21">
        <f t="shared" si="987"/>
        <v>0</v>
      </c>
      <c r="AC197" s="21">
        <f t="shared" si="10"/>
        <v>1</v>
      </c>
      <c r="AD197" s="21">
        <f t="shared" si="11"/>
        <v>1</v>
      </c>
      <c r="AE197" s="21">
        <f t="shared" ref="AE197:AH197" si="988">if(OR(BD197 = $AO$6, BD197 = $AS$6, BD197 = $AT$6, BD197 = $AU$6), 1, 0)</f>
        <v>1</v>
      </c>
      <c r="AF197" s="21">
        <f t="shared" si="988"/>
        <v>0</v>
      </c>
      <c r="AG197" s="21">
        <f t="shared" si="988"/>
        <v>0</v>
      </c>
      <c r="AH197" s="21">
        <f t="shared" si="988"/>
        <v>0</v>
      </c>
      <c r="AI197" s="21">
        <f t="shared" si="13"/>
        <v>1</v>
      </c>
      <c r="AJ197" s="21">
        <f t="shared" si="14"/>
        <v>3</v>
      </c>
      <c r="AK197" s="59">
        <f t="shared" si="15"/>
        <v>1.875</v>
      </c>
      <c r="AL197" s="60" t="str">
        <f t="shared" si="16"/>
        <v>subpar</v>
      </c>
      <c r="AW197" s="22">
        <f t="shared" ref="AW197:BC197" si="989">IF(IFERROR(SEARCH(E$1, $D197),0) &gt;= 1, E$1,0)</f>
        <v>0</v>
      </c>
      <c r="AX197" s="22">
        <f t="shared" si="989"/>
        <v>0</v>
      </c>
      <c r="AY197" s="22">
        <f t="shared" si="989"/>
        <v>0</v>
      </c>
      <c r="AZ197" s="22">
        <f t="shared" si="989"/>
        <v>0</v>
      </c>
      <c r="BA197" s="22">
        <f t="shared" si="989"/>
        <v>0</v>
      </c>
      <c r="BB197" s="22" t="str">
        <f t="shared" si="989"/>
        <v>Beeldende kunst</v>
      </c>
      <c r="BC197" s="22">
        <f t="shared" si="989"/>
        <v>0</v>
      </c>
      <c r="BD197" s="22" t="str">
        <f t="shared" ref="BD197:BG197" si="990">IF(L197 = true, BD$1, 0)</f>
        <v>Shop</v>
      </c>
      <c r="BE197" s="22">
        <f t="shared" si="990"/>
        <v>0</v>
      </c>
      <c r="BF197" s="22">
        <f t="shared" si="990"/>
        <v>0</v>
      </c>
      <c r="BG197" s="22">
        <f t="shared" si="990"/>
        <v>0</v>
      </c>
      <c r="BH197" s="22" t="str">
        <f>IFERROR(__xludf.DUMMYFUNCTION("""COMPUTED_VALUE"""),"Natuurhistorisch Museum en Vivarium")</f>
        <v>Natuurhistorisch Museum en Vivarium</v>
      </c>
      <c r="BI197" s="24">
        <f>IFERROR(__xludf.DUMMYFUNCTION("""COMPUTED_VALUE"""),4.0)</f>
        <v>4</v>
      </c>
      <c r="BJ197" s="22" t="b">
        <f>IFERROR(__xludf.DUMMYFUNCTION("""COMPUTED_VALUE"""),TRUE)</f>
        <v>1</v>
      </c>
      <c r="BK197" s="22" t="b">
        <f>IFERROR(__xludf.DUMMYFUNCTION("""COMPUTED_VALUE"""),TRUE)</f>
        <v>1</v>
      </c>
      <c r="BL197" s="24">
        <f>IFERROR(__xludf.DUMMYFUNCTION("""COMPUTED_VALUE"""),4.0)</f>
        <v>4</v>
      </c>
      <c r="BM197" s="22">
        <f>IFERROR(__xludf.DUMMYFUNCTION("""COMPUTED_VALUE"""),0.0)</f>
        <v>0</v>
      </c>
      <c r="BN197" s="22">
        <f>IFERROR(__xludf.DUMMYFUNCTION("""COMPUTED_VALUE"""),0.0)</f>
        <v>0</v>
      </c>
      <c r="BO197" s="22">
        <f>IFERROR(__xludf.DUMMYFUNCTION("""COMPUTED_VALUE"""),0.0)</f>
        <v>0</v>
      </c>
      <c r="BP197" s="22">
        <f>IFERROR(__xludf.DUMMYFUNCTION("""COMPUTED_VALUE"""),0.0)</f>
        <v>0</v>
      </c>
      <c r="BQ197" s="22">
        <f>IFERROR(__xludf.DUMMYFUNCTION("""COMPUTED_VALUE"""),0.0)</f>
        <v>0</v>
      </c>
      <c r="BR197" s="22">
        <f>IFERROR(__xludf.DUMMYFUNCTION("""COMPUTED_VALUE"""),0.0)</f>
        <v>0</v>
      </c>
      <c r="BS197" s="22">
        <f>IFERROR(__xludf.DUMMYFUNCTION("""COMPUTED_VALUE"""),0.0)</f>
        <v>0</v>
      </c>
      <c r="BT197" s="22">
        <f>IFERROR(__xludf.DUMMYFUNCTION("""COMPUTED_VALUE"""),0.0)</f>
        <v>0</v>
      </c>
      <c r="BU197" s="22">
        <f>IFERROR(__xludf.DUMMYFUNCTION("""COMPUTED_VALUE"""),0.0)</f>
        <v>0</v>
      </c>
      <c r="BV197" s="22">
        <f>IFERROR(__xludf.DUMMYFUNCTION("""COMPUTED_VALUE"""),1.0)</f>
        <v>1</v>
      </c>
      <c r="BW197" s="22">
        <f>IFERROR(__xludf.DUMMYFUNCTION("""COMPUTED_VALUE"""),1.0)</f>
        <v>1</v>
      </c>
      <c r="BX197" s="22">
        <f>IFERROR(__xludf.DUMMYFUNCTION("""COMPUTED_VALUE"""),1.0)</f>
        <v>1</v>
      </c>
      <c r="BY197" s="22">
        <f>IFERROR(__xludf.DUMMYFUNCTION("""COMPUTED_VALUE"""),0.0)</f>
        <v>0</v>
      </c>
      <c r="BZ197" s="22">
        <f>IFERROR(__xludf.DUMMYFUNCTION("""COMPUTED_VALUE"""),0.0)</f>
        <v>0</v>
      </c>
      <c r="CA197" s="22">
        <f>IFERROR(__xludf.DUMMYFUNCTION("""COMPUTED_VALUE"""),2.0)</f>
        <v>2</v>
      </c>
      <c r="CB197" s="22">
        <f>IFERROR(__xludf.DUMMYFUNCTION("""COMPUTED_VALUE"""),3.0)</f>
        <v>3</v>
      </c>
      <c r="CC197" s="61">
        <f>IFERROR(__xludf.DUMMYFUNCTION("""COMPUTED_VALUE"""),1.875)</f>
        <v>1.875</v>
      </c>
      <c r="CD197" s="62" t="str">
        <f>IFERROR(__xludf.DUMMYFUNCTION("""COMPUTED_VALUE"""),"subpar")</f>
        <v>subpar</v>
      </c>
      <c r="CE197" s="22" t="s">
        <v>380</v>
      </c>
      <c r="CF197" s="24">
        <v>4.0</v>
      </c>
      <c r="CG197" s="22" t="b">
        <v>1</v>
      </c>
      <c r="CH197" s="22" t="b">
        <v>1</v>
      </c>
      <c r="CI197" s="24">
        <v>4.0</v>
      </c>
      <c r="CJ197" s="22">
        <v>0.0</v>
      </c>
      <c r="CK197" s="22">
        <v>0.0</v>
      </c>
      <c r="CL197" s="22">
        <v>0.0</v>
      </c>
      <c r="CM197" s="22">
        <v>0.0</v>
      </c>
      <c r="CN197" s="22">
        <v>0.0</v>
      </c>
      <c r="CO197" s="22">
        <v>0.0</v>
      </c>
      <c r="CP197" s="22">
        <v>0.0</v>
      </c>
      <c r="CQ197" s="22">
        <v>0.0</v>
      </c>
      <c r="CR197" s="22">
        <v>0.0</v>
      </c>
      <c r="CS197" s="22">
        <v>1.0</v>
      </c>
      <c r="CT197" s="22">
        <v>1.0</v>
      </c>
      <c r="CU197" s="22">
        <v>1.0</v>
      </c>
      <c r="CV197" s="22">
        <v>0.0</v>
      </c>
      <c r="CW197" s="22">
        <v>0.0</v>
      </c>
      <c r="CX197" s="22">
        <v>2.0</v>
      </c>
      <c r="CY197" s="22">
        <v>3.0</v>
      </c>
      <c r="CZ197" s="61">
        <v>1.875</v>
      </c>
      <c r="DA197" s="62" t="s">
        <v>568</v>
      </c>
    </row>
    <row r="198">
      <c r="A198" s="16" t="s">
        <v>419</v>
      </c>
      <c r="B198" s="16"/>
      <c r="C198" s="17" t="s">
        <v>51</v>
      </c>
      <c r="D198" s="16" t="s">
        <v>8</v>
      </c>
      <c r="E198" s="17" t="b">
        <f t="shared" ref="E198:K198" si="991">If(IFERROR(SEARCH(E$1, $D198),0) &gt;= 1, true,false)</f>
        <v>0</v>
      </c>
      <c r="F198" s="17" t="b">
        <f t="shared" si="991"/>
        <v>0</v>
      </c>
      <c r="G198" s="17" t="b">
        <f t="shared" si="991"/>
        <v>0</v>
      </c>
      <c r="H198" s="17" t="b">
        <f t="shared" si="991"/>
        <v>0</v>
      </c>
      <c r="I198" s="17" t="b">
        <f t="shared" si="991"/>
        <v>1</v>
      </c>
      <c r="J198" s="17" t="b">
        <f t="shared" si="991"/>
        <v>0</v>
      </c>
      <c r="K198" s="17" t="b">
        <f t="shared" si="991"/>
        <v>0</v>
      </c>
      <c r="L198" s="18" t="b">
        <v>1</v>
      </c>
      <c r="M198" s="18" t="b">
        <v>0</v>
      </c>
      <c r="N198" s="18" t="b">
        <v>0</v>
      </c>
      <c r="O198" s="18" t="b">
        <v>0</v>
      </c>
      <c r="P198" s="16" t="str">
        <f t="shared" si="7"/>
        <v>CIVA</v>
      </c>
      <c r="Q198" s="19">
        <v>10.0</v>
      </c>
      <c r="R198" s="18" t="b">
        <v>0</v>
      </c>
      <c r="S198" s="18" t="b">
        <v>0</v>
      </c>
      <c r="T198" s="33"/>
      <c r="U198" s="21">
        <f t="shared" si="8"/>
        <v>0</v>
      </c>
      <c r="V198" s="21">
        <f t="shared" ref="V198:AB198" si="992">if(OR(AW198 = $AO$4, AW198 = $AQ$4), 1, 0)</f>
        <v>0</v>
      </c>
      <c r="W198" s="21">
        <f t="shared" si="992"/>
        <v>0</v>
      </c>
      <c r="X198" s="21">
        <f t="shared" si="992"/>
        <v>0</v>
      </c>
      <c r="Y198" s="21">
        <f t="shared" si="992"/>
        <v>0</v>
      </c>
      <c r="Z198" s="21">
        <f t="shared" si="992"/>
        <v>0</v>
      </c>
      <c r="AA198" s="21">
        <f t="shared" si="992"/>
        <v>0</v>
      </c>
      <c r="AB198" s="21">
        <f t="shared" si="992"/>
        <v>0</v>
      </c>
      <c r="AC198" s="21">
        <f t="shared" si="10"/>
        <v>0</v>
      </c>
      <c r="AD198" s="21">
        <f t="shared" si="11"/>
        <v>1</v>
      </c>
      <c r="AE198" s="21">
        <f t="shared" ref="AE198:AH198" si="993">if(OR(BD198 = $AO$6, BD198 = $AS$6, BD198 = $AT$6, BD198 = $AU$6), 1, 0)</f>
        <v>1</v>
      </c>
      <c r="AF198" s="21">
        <f t="shared" si="993"/>
        <v>0</v>
      </c>
      <c r="AG198" s="21">
        <f t="shared" si="993"/>
        <v>0</v>
      </c>
      <c r="AH198" s="21">
        <f t="shared" si="993"/>
        <v>0</v>
      </c>
      <c r="AI198" s="21">
        <f t="shared" si="13"/>
        <v>1</v>
      </c>
      <c r="AJ198" s="21">
        <f t="shared" si="14"/>
        <v>2</v>
      </c>
      <c r="AK198" s="59">
        <f t="shared" si="15"/>
        <v>1.25</v>
      </c>
      <c r="AL198" s="60" t="str">
        <f t="shared" si="16"/>
        <v>subpar</v>
      </c>
      <c r="AW198" s="22">
        <f t="shared" ref="AW198:BC198" si="994">IF(IFERROR(SEARCH(E$1, $D198),0) &gt;= 1, E$1,0)</f>
        <v>0</v>
      </c>
      <c r="AX198" s="22">
        <f t="shared" si="994"/>
        <v>0</v>
      </c>
      <c r="AY198" s="22">
        <f t="shared" si="994"/>
        <v>0</v>
      </c>
      <c r="AZ198" s="22">
        <f t="shared" si="994"/>
        <v>0</v>
      </c>
      <c r="BA198" s="22" t="str">
        <f t="shared" si="994"/>
        <v>Architectuur</v>
      </c>
      <c r="BB198" s="22">
        <f t="shared" si="994"/>
        <v>0</v>
      </c>
      <c r="BC198" s="22">
        <f t="shared" si="994"/>
        <v>0</v>
      </c>
      <c r="BD198" s="22" t="str">
        <f t="shared" ref="BD198:BG198" si="995">IF(L198 = true, BD$1, 0)</f>
        <v>Shop</v>
      </c>
      <c r="BE198" s="22">
        <f t="shared" si="995"/>
        <v>0</v>
      </c>
      <c r="BF198" s="22">
        <f t="shared" si="995"/>
        <v>0</v>
      </c>
      <c r="BG198" s="22">
        <f t="shared" si="995"/>
        <v>0</v>
      </c>
      <c r="BH198" s="22" t="str">
        <f>IFERROR(__xludf.DUMMYFUNCTION("""COMPUTED_VALUE"""),"Doudoumuseum")</f>
        <v>Doudoumuseum</v>
      </c>
      <c r="BI198" s="24">
        <f>IFERROR(__xludf.DUMMYFUNCTION("""COMPUTED_VALUE"""),9.0)</f>
        <v>9</v>
      </c>
      <c r="BJ198" s="22" t="b">
        <f>IFERROR(__xludf.DUMMYFUNCTION("""COMPUTED_VALUE"""),FALSE)</f>
        <v>0</v>
      </c>
      <c r="BK198" s="22" t="b">
        <f>IFERROR(__xludf.DUMMYFUNCTION("""COMPUTED_VALUE"""),FALSE)</f>
        <v>0</v>
      </c>
      <c r="BL198" s="22"/>
      <c r="BM198" s="22">
        <f>IFERROR(__xludf.DUMMYFUNCTION("""COMPUTED_VALUE"""),0.0)</f>
        <v>0</v>
      </c>
      <c r="BN198" s="22">
        <f>IFERROR(__xludf.DUMMYFUNCTION("""COMPUTED_VALUE"""),1.0)</f>
        <v>1</v>
      </c>
      <c r="BO198" s="22">
        <f>IFERROR(__xludf.DUMMYFUNCTION("""COMPUTED_VALUE"""),0.0)</f>
        <v>0</v>
      </c>
      <c r="BP198" s="22">
        <f>IFERROR(__xludf.DUMMYFUNCTION("""COMPUTED_VALUE"""),0.0)</f>
        <v>0</v>
      </c>
      <c r="BQ198" s="22">
        <f>IFERROR(__xludf.DUMMYFUNCTION("""COMPUTED_VALUE"""),0.0)</f>
        <v>0</v>
      </c>
      <c r="BR198" s="22">
        <f>IFERROR(__xludf.DUMMYFUNCTION("""COMPUTED_VALUE"""),0.0)</f>
        <v>0</v>
      </c>
      <c r="BS198" s="22">
        <f>IFERROR(__xludf.DUMMYFUNCTION("""COMPUTED_VALUE"""),0.0)</f>
        <v>0</v>
      </c>
      <c r="BT198" s="22">
        <f>IFERROR(__xludf.DUMMYFUNCTION("""COMPUTED_VALUE"""),0.0)</f>
        <v>0</v>
      </c>
      <c r="BU198" s="22">
        <f>IFERROR(__xludf.DUMMYFUNCTION("""COMPUTED_VALUE"""),1.0)</f>
        <v>1</v>
      </c>
      <c r="BV198" s="22">
        <f>IFERROR(__xludf.DUMMYFUNCTION("""COMPUTED_VALUE"""),1.0)</f>
        <v>1</v>
      </c>
      <c r="BW198" s="22">
        <f>IFERROR(__xludf.DUMMYFUNCTION("""COMPUTED_VALUE"""),1.0)</f>
        <v>1</v>
      </c>
      <c r="BX198" s="22">
        <f>IFERROR(__xludf.DUMMYFUNCTION("""COMPUTED_VALUE"""),0.0)</f>
        <v>0</v>
      </c>
      <c r="BY198" s="22">
        <f>IFERROR(__xludf.DUMMYFUNCTION("""COMPUTED_VALUE"""),0.0)</f>
        <v>0</v>
      </c>
      <c r="BZ198" s="22">
        <f>IFERROR(__xludf.DUMMYFUNCTION("""COMPUTED_VALUE"""),0.0)</f>
        <v>0</v>
      </c>
      <c r="CA198" s="22">
        <f>IFERROR(__xludf.DUMMYFUNCTION("""COMPUTED_VALUE"""),1.0)</f>
        <v>1</v>
      </c>
      <c r="CB198" s="22">
        <f>IFERROR(__xludf.DUMMYFUNCTION("""COMPUTED_VALUE"""),3.0)</f>
        <v>3</v>
      </c>
      <c r="CC198" s="61">
        <f>IFERROR(__xludf.DUMMYFUNCTION("""COMPUTED_VALUE"""),1.875)</f>
        <v>1.875</v>
      </c>
      <c r="CD198" s="62" t="str">
        <f>IFERROR(__xludf.DUMMYFUNCTION("""COMPUTED_VALUE"""),"subpar")</f>
        <v>subpar</v>
      </c>
      <c r="CE198" s="22" t="s">
        <v>382</v>
      </c>
      <c r="CF198" s="24">
        <v>9.0</v>
      </c>
      <c r="CG198" s="22" t="b">
        <v>0</v>
      </c>
      <c r="CH198" s="22" t="b">
        <v>0</v>
      </c>
      <c r="CI198" s="22"/>
      <c r="CJ198" s="22">
        <v>0.0</v>
      </c>
      <c r="CK198" s="22">
        <v>1.0</v>
      </c>
      <c r="CL198" s="22">
        <v>0.0</v>
      </c>
      <c r="CM198" s="22">
        <v>0.0</v>
      </c>
      <c r="CN198" s="22">
        <v>0.0</v>
      </c>
      <c r="CO198" s="22">
        <v>0.0</v>
      </c>
      <c r="CP198" s="22">
        <v>0.0</v>
      </c>
      <c r="CQ198" s="22">
        <v>0.0</v>
      </c>
      <c r="CR198" s="22">
        <v>1.0</v>
      </c>
      <c r="CS198" s="22">
        <v>1.0</v>
      </c>
      <c r="CT198" s="22">
        <v>1.0</v>
      </c>
      <c r="CU198" s="22">
        <v>0.0</v>
      </c>
      <c r="CV198" s="22">
        <v>0.0</v>
      </c>
      <c r="CW198" s="22">
        <v>0.0</v>
      </c>
      <c r="CX198" s="22">
        <v>1.0</v>
      </c>
      <c r="CY198" s="22">
        <v>3.0</v>
      </c>
      <c r="CZ198" s="61">
        <v>1.875</v>
      </c>
      <c r="DA198" s="62" t="s">
        <v>568</v>
      </c>
    </row>
    <row r="199">
      <c r="A199" s="16" t="s">
        <v>420</v>
      </c>
      <c r="B199" s="16"/>
      <c r="C199" s="17" t="s">
        <v>51</v>
      </c>
      <c r="D199" s="16" t="s">
        <v>10</v>
      </c>
      <c r="E199" s="17" t="b">
        <f t="shared" ref="E199:K199" si="996">If(IFERROR(SEARCH(E$1, $D199),0) &gt;= 1, true,false)</f>
        <v>0</v>
      </c>
      <c r="F199" s="17" t="b">
        <f t="shared" si="996"/>
        <v>0</v>
      </c>
      <c r="G199" s="17" t="b">
        <f t="shared" si="996"/>
        <v>0</v>
      </c>
      <c r="H199" s="17" t="b">
        <f t="shared" si="996"/>
        <v>0</v>
      </c>
      <c r="I199" s="17" t="b">
        <f t="shared" si="996"/>
        <v>0</v>
      </c>
      <c r="J199" s="17" t="b">
        <f t="shared" si="996"/>
        <v>0</v>
      </c>
      <c r="K199" s="17" t="b">
        <f t="shared" si="996"/>
        <v>1</v>
      </c>
      <c r="L199" s="18" t="b">
        <v>1</v>
      </c>
      <c r="M199" s="18" t="b">
        <v>0</v>
      </c>
      <c r="N199" s="18" t="b">
        <v>1</v>
      </c>
      <c r="O199" s="18" t="b">
        <v>1</v>
      </c>
      <c r="P199" s="16" t="str">
        <f t="shared" si="7"/>
        <v>Design Museum Brussels</v>
      </c>
      <c r="Q199" s="19">
        <v>10.0</v>
      </c>
      <c r="R199" s="20" t="b">
        <v>0</v>
      </c>
      <c r="S199" s="18" t="b">
        <v>1</v>
      </c>
      <c r="T199" s="30">
        <v>8.0</v>
      </c>
      <c r="U199" s="21">
        <f t="shared" si="8"/>
        <v>0</v>
      </c>
      <c r="V199" s="21">
        <f t="shared" ref="V199:AB199" si="997">if(OR(AW199 = $AO$4, AW199 = $AQ$4), 1, 0)</f>
        <v>0</v>
      </c>
      <c r="W199" s="21">
        <f t="shared" si="997"/>
        <v>0</v>
      </c>
      <c r="X199" s="21">
        <f t="shared" si="997"/>
        <v>0</v>
      </c>
      <c r="Y199" s="21">
        <f t="shared" si="997"/>
        <v>0</v>
      </c>
      <c r="Z199" s="21">
        <f t="shared" si="997"/>
        <v>0</v>
      </c>
      <c r="AA199" s="21">
        <f t="shared" si="997"/>
        <v>0</v>
      </c>
      <c r="AB199" s="21">
        <f t="shared" si="997"/>
        <v>0</v>
      </c>
      <c r="AC199" s="21">
        <f t="shared" si="10"/>
        <v>0</v>
      </c>
      <c r="AD199" s="21">
        <f t="shared" si="11"/>
        <v>1</v>
      </c>
      <c r="AE199" s="21">
        <f t="shared" ref="AE199:AH199" si="998">if(OR(BD199 = $AO$6, BD199 = $AS$6, BD199 = $AT$6, BD199 = $AU$6), 1, 0)</f>
        <v>1</v>
      </c>
      <c r="AF199" s="21">
        <f t="shared" si="998"/>
        <v>0</v>
      </c>
      <c r="AG199" s="21">
        <f t="shared" si="998"/>
        <v>1</v>
      </c>
      <c r="AH199" s="21">
        <f t="shared" si="998"/>
        <v>1</v>
      </c>
      <c r="AI199" s="21">
        <f t="shared" si="13"/>
        <v>3</v>
      </c>
      <c r="AJ199" s="21">
        <f t="shared" si="14"/>
        <v>4</v>
      </c>
      <c r="AK199" s="59">
        <f t="shared" si="15"/>
        <v>2.5</v>
      </c>
      <c r="AL199" s="60" t="str">
        <f t="shared" si="16"/>
        <v>subpar</v>
      </c>
      <c r="AW199" s="22">
        <f t="shared" ref="AW199:BC199" si="999">IF(IFERROR(SEARCH(E$1, $D199),0) &gt;= 1, E$1,0)</f>
        <v>0</v>
      </c>
      <c r="AX199" s="22">
        <f t="shared" si="999"/>
        <v>0</v>
      </c>
      <c r="AY199" s="22">
        <f t="shared" si="999"/>
        <v>0</v>
      </c>
      <c r="AZ199" s="22">
        <f t="shared" si="999"/>
        <v>0</v>
      </c>
      <c r="BA199" s="22">
        <f t="shared" si="999"/>
        <v>0</v>
      </c>
      <c r="BB199" s="22">
        <f t="shared" si="999"/>
        <v>0</v>
      </c>
      <c r="BC199" s="22" t="str">
        <f t="shared" si="999"/>
        <v>Toegepaste kunst en design</v>
      </c>
      <c r="BD199" s="22" t="str">
        <f t="shared" ref="BD199:BG199" si="1000">IF(L199 = true, BD$1, 0)</f>
        <v>Shop</v>
      </c>
      <c r="BE199" s="22">
        <f t="shared" si="1000"/>
        <v>0</v>
      </c>
      <c r="BF199" s="22" t="str">
        <f t="shared" si="1000"/>
        <v>Parking</v>
      </c>
      <c r="BG199" s="22" t="str">
        <f t="shared" si="1000"/>
        <v>Restaurant</v>
      </c>
      <c r="BH199" s="22" t="str">
        <f>IFERROR(__xludf.DUMMYFUNCTION("""COMPUTED_VALUE"""),"Silex’s ")</f>
        <v>Silex’s </v>
      </c>
      <c r="BI199" s="24">
        <f>IFERROR(__xludf.DUMMYFUNCTION("""COMPUTED_VALUE"""),6.0)</f>
        <v>6</v>
      </c>
      <c r="BJ199" s="22" t="b">
        <f>IFERROR(__xludf.DUMMYFUNCTION("""COMPUTED_VALUE"""),FALSE)</f>
        <v>0</v>
      </c>
      <c r="BK199" s="22" t="b">
        <f>IFERROR(__xludf.DUMMYFUNCTION("""COMPUTED_VALUE"""),FALSE)</f>
        <v>0</v>
      </c>
      <c r="BL199" s="22"/>
      <c r="BM199" s="22">
        <f>IFERROR(__xludf.DUMMYFUNCTION("""COMPUTED_VALUE"""),0.0)</f>
        <v>0</v>
      </c>
      <c r="BN199" s="22">
        <f>IFERROR(__xludf.DUMMYFUNCTION("""COMPUTED_VALUE"""),1.0)</f>
        <v>1</v>
      </c>
      <c r="BO199" s="22">
        <f>IFERROR(__xludf.DUMMYFUNCTION("""COMPUTED_VALUE"""),0.0)</f>
        <v>0</v>
      </c>
      <c r="BP199" s="22">
        <f>IFERROR(__xludf.DUMMYFUNCTION("""COMPUTED_VALUE"""),0.0)</f>
        <v>0</v>
      </c>
      <c r="BQ199" s="22">
        <f>IFERROR(__xludf.DUMMYFUNCTION("""COMPUTED_VALUE"""),0.0)</f>
        <v>0</v>
      </c>
      <c r="BR199" s="22">
        <f>IFERROR(__xludf.DUMMYFUNCTION("""COMPUTED_VALUE"""),0.0)</f>
        <v>0</v>
      </c>
      <c r="BS199" s="22">
        <f>IFERROR(__xludf.DUMMYFUNCTION("""COMPUTED_VALUE"""),0.0)</f>
        <v>0</v>
      </c>
      <c r="BT199" s="22">
        <f>IFERROR(__xludf.DUMMYFUNCTION("""COMPUTED_VALUE"""),0.0)</f>
        <v>0</v>
      </c>
      <c r="BU199" s="22">
        <f>IFERROR(__xludf.DUMMYFUNCTION("""COMPUTED_VALUE"""),1.0)</f>
        <v>1</v>
      </c>
      <c r="BV199" s="22">
        <f>IFERROR(__xludf.DUMMYFUNCTION("""COMPUTED_VALUE"""),1.0)</f>
        <v>1</v>
      </c>
      <c r="BW199" s="22">
        <f>IFERROR(__xludf.DUMMYFUNCTION("""COMPUTED_VALUE"""),1.0)</f>
        <v>1</v>
      </c>
      <c r="BX199" s="22">
        <f>IFERROR(__xludf.DUMMYFUNCTION("""COMPUTED_VALUE"""),0.0)</f>
        <v>0</v>
      </c>
      <c r="BY199" s="22">
        <f>IFERROR(__xludf.DUMMYFUNCTION("""COMPUTED_VALUE"""),0.0)</f>
        <v>0</v>
      </c>
      <c r="BZ199" s="22">
        <f>IFERROR(__xludf.DUMMYFUNCTION("""COMPUTED_VALUE"""),0.0)</f>
        <v>0</v>
      </c>
      <c r="CA199" s="22">
        <f>IFERROR(__xludf.DUMMYFUNCTION("""COMPUTED_VALUE"""),1.0)</f>
        <v>1</v>
      </c>
      <c r="CB199" s="22">
        <f>IFERROR(__xludf.DUMMYFUNCTION("""COMPUTED_VALUE"""),3.0)</f>
        <v>3</v>
      </c>
      <c r="CC199" s="61">
        <f>IFERROR(__xludf.DUMMYFUNCTION("""COMPUTED_VALUE"""),1.875)</f>
        <v>1.875</v>
      </c>
      <c r="CD199" s="62" t="str">
        <f>IFERROR(__xludf.DUMMYFUNCTION("""COMPUTED_VALUE"""),"subpar")</f>
        <v>subpar</v>
      </c>
      <c r="CE199" s="22" t="s">
        <v>389</v>
      </c>
      <c r="CF199" s="24">
        <v>6.0</v>
      </c>
      <c r="CG199" s="22" t="b">
        <v>0</v>
      </c>
      <c r="CH199" s="22" t="b">
        <v>0</v>
      </c>
      <c r="CI199" s="22"/>
      <c r="CJ199" s="22">
        <v>0.0</v>
      </c>
      <c r="CK199" s="22">
        <v>1.0</v>
      </c>
      <c r="CL199" s="22">
        <v>0.0</v>
      </c>
      <c r="CM199" s="22">
        <v>0.0</v>
      </c>
      <c r="CN199" s="22">
        <v>0.0</v>
      </c>
      <c r="CO199" s="22">
        <v>0.0</v>
      </c>
      <c r="CP199" s="22">
        <v>0.0</v>
      </c>
      <c r="CQ199" s="22">
        <v>0.0</v>
      </c>
      <c r="CR199" s="22">
        <v>1.0</v>
      </c>
      <c r="CS199" s="22">
        <v>1.0</v>
      </c>
      <c r="CT199" s="22">
        <v>1.0</v>
      </c>
      <c r="CU199" s="22">
        <v>0.0</v>
      </c>
      <c r="CV199" s="22">
        <v>0.0</v>
      </c>
      <c r="CW199" s="22">
        <v>0.0</v>
      </c>
      <c r="CX199" s="22">
        <v>1.0</v>
      </c>
      <c r="CY199" s="22">
        <v>3.0</v>
      </c>
      <c r="CZ199" s="61">
        <v>1.875</v>
      </c>
      <c r="DA199" s="62" t="s">
        <v>568</v>
      </c>
    </row>
    <row r="200">
      <c r="A200" s="16"/>
      <c r="B200" s="16" t="s">
        <v>421</v>
      </c>
      <c r="C200" s="17" t="s">
        <v>51</v>
      </c>
      <c r="D200" s="16" t="s">
        <v>9</v>
      </c>
      <c r="E200" s="17" t="b">
        <f t="shared" ref="E200:K200" si="1001">If(IFERROR(SEARCH(E$1, $D200),0) &gt;= 1, true,false)</f>
        <v>0</v>
      </c>
      <c r="F200" s="17" t="b">
        <f t="shared" si="1001"/>
        <v>0</v>
      </c>
      <c r="G200" s="17" t="b">
        <f t="shared" si="1001"/>
        <v>0</v>
      </c>
      <c r="H200" s="17" t="b">
        <f t="shared" si="1001"/>
        <v>0</v>
      </c>
      <c r="I200" s="17" t="b">
        <f t="shared" si="1001"/>
        <v>0</v>
      </c>
      <c r="J200" s="17" t="b">
        <f t="shared" si="1001"/>
        <v>1</v>
      </c>
      <c r="K200" s="17" t="b">
        <f t="shared" si="1001"/>
        <v>0</v>
      </c>
      <c r="L200" s="18" t="b">
        <v>1</v>
      </c>
      <c r="M200" s="18" t="b">
        <v>0</v>
      </c>
      <c r="N200" s="18" t="b">
        <v>0</v>
      </c>
      <c r="O200" s="18" t="b">
        <v>0</v>
      </c>
      <c r="P200" s="16" t="str">
        <f t="shared" si="7"/>
        <v>Fondation A Stichting</v>
      </c>
      <c r="Q200" s="19">
        <v>7.0</v>
      </c>
      <c r="R200" s="20" t="b">
        <v>0</v>
      </c>
      <c r="S200" s="18" t="b">
        <v>0</v>
      </c>
      <c r="T200" s="21"/>
      <c r="U200" s="21">
        <f t="shared" si="8"/>
        <v>0</v>
      </c>
      <c r="V200" s="21">
        <f t="shared" ref="V200:AB200" si="1002">if(OR(AW200 = $AO$4, AW200 = $AQ$4), 1, 0)</f>
        <v>0</v>
      </c>
      <c r="W200" s="21">
        <f t="shared" si="1002"/>
        <v>0</v>
      </c>
      <c r="X200" s="21">
        <f t="shared" si="1002"/>
        <v>0</v>
      </c>
      <c r="Y200" s="21">
        <f t="shared" si="1002"/>
        <v>0</v>
      </c>
      <c r="Z200" s="21">
        <f t="shared" si="1002"/>
        <v>0</v>
      </c>
      <c r="AA200" s="21">
        <f t="shared" si="1002"/>
        <v>1</v>
      </c>
      <c r="AB200" s="21">
        <f t="shared" si="1002"/>
        <v>0</v>
      </c>
      <c r="AC200" s="21">
        <f t="shared" si="10"/>
        <v>1</v>
      </c>
      <c r="AD200" s="21">
        <f t="shared" si="11"/>
        <v>1</v>
      </c>
      <c r="AE200" s="21">
        <f t="shared" ref="AE200:AH200" si="1003">if(OR(BD200 = $AO$6, BD200 = $AS$6, BD200 = $AT$6, BD200 = $AU$6), 1, 0)</f>
        <v>1</v>
      </c>
      <c r="AF200" s="21">
        <f t="shared" si="1003"/>
        <v>0</v>
      </c>
      <c r="AG200" s="21">
        <f t="shared" si="1003"/>
        <v>0</v>
      </c>
      <c r="AH200" s="21">
        <f t="shared" si="1003"/>
        <v>0</v>
      </c>
      <c r="AI200" s="21">
        <f t="shared" si="13"/>
        <v>1</v>
      </c>
      <c r="AJ200" s="21">
        <f t="shared" si="14"/>
        <v>3</v>
      </c>
      <c r="AK200" s="59">
        <f t="shared" si="15"/>
        <v>1.875</v>
      </c>
      <c r="AL200" s="60" t="str">
        <f t="shared" si="16"/>
        <v>subpar</v>
      </c>
      <c r="AW200" s="22">
        <f t="shared" ref="AW200:BC200" si="1004">IF(IFERROR(SEARCH(E$1, $D200),0) &gt;= 1, E$1,0)</f>
        <v>0</v>
      </c>
      <c r="AX200" s="22">
        <f t="shared" si="1004"/>
        <v>0</v>
      </c>
      <c r="AY200" s="22">
        <f t="shared" si="1004"/>
        <v>0</v>
      </c>
      <c r="AZ200" s="22">
        <f t="shared" si="1004"/>
        <v>0</v>
      </c>
      <c r="BA200" s="22">
        <f t="shared" si="1004"/>
        <v>0</v>
      </c>
      <c r="BB200" s="22" t="str">
        <f t="shared" si="1004"/>
        <v>Beeldende kunst</v>
      </c>
      <c r="BC200" s="22">
        <f t="shared" si="1004"/>
        <v>0</v>
      </c>
      <c r="BD200" s="22" t="str">
        <f t="shared" ref="BD200:BG200" si="1005">IF(L200 = true, BD$1, 0)</f>
        <v>Shop</v>
      </c>
      <c r="BE200" s="22">
        <f t="shared" si="1005"/>
        <v>0</v>
      </c>
      <c r="BF200" s="22">
        <f t="shared" si="1005"/>
        <v>0</v>
      </c>
      <c r="BG200" s="22">
        <f t="shared" si="1005"/>
        <v>0</v>
      </c>
      <c r="BH200" s="22" t="str">
        <f>IFERROR(__xludf.DUMMYFUNCTION("""COMPUTED_VALUE"""),"TAMAT | Museum voor Wandtapijten en Textielkunsten van de Federatie Wallonië-Brussel")</f>
        <v>TAMAT | Museum voor Wandtapijten en Textielkunsten van de Federatie Wallonië-Brussel</v>
      </c>
      <c r="BI200" s="24">
        <f>IFERROR(__xludf.DUMMYFUNCTION("""COMPUTED_VALUE"""),7.0)</f>
        <v>7</v>
      </c>
      <c r="BJ200" s="22" t="b">
        <f>IFERROR(__xludf.DUMMYFUNCTION("""COMPUTED_VALUE"""),FALSE)</f>
        <v>0</v>
      </c>
      <c r="BK200" s="22" t="b">
        <f>IFERROR(__xludf.DUMMYFUNCTION("""COMPUTED_VALUE"""),FALSE)</f>
        <v>0</v>
      </c>
      <c r="BL200" s="22"/>
      <c r="BM200" s="22">
        <f>IFERROR(__xludf.DUMMYFUNCTION("""COMPUTED_VALUE"""),0.0)</f>
        <v>0</v>
      </c>
      <c r="BN200" s="22">
        <f>IFERROR(__xludf.DUMMYFUNCTION("""COMPUTED_VALUE"""),0.0)</f>
        <v>0</v>
      </c>
      <c r="BO200" s="22">
        <f>IFERROR(__xludf.DUMMYFUNCTION("""COMPUTED_VALUE"""),0.0)</f>
        <v>0</v>
      </c>
      <c r="BP200" s="22">
        <f>IFERROR(__xludf.DUMMYFUNCTION("""COMPUTED_VALUE"""),0.0)</f>
        <v>0</v>
      </c>
      <c r="BQ200" s="22">
        <f>IFERROR(__xludf.DUMMYFUNCTION("""COMPUTED_VALUE"""),0.0)</f>
        <v>0</v>
      </c>
      <c r="BR200" s="22">
        <f>IFERROR(__xludf.DUMMYFUNCTION("""COMPUTED_VALUE"""),0.0)</f>
        <v>0</v>
      </c>
      <c r="BS200" s="22">
        <f>IFERROR(__xludf.DUMMYFUNCTION("""COMPUTED_VALUE"""),1.0)</f>
        <v>1</v>
      </c>
      <c r="BT200" s="22">
        <f>IFERROR(__xludf.DUMMYFUNCTION("""COMPUTED_VALUE"""),0.0)</f>
        <v>0</v>
      </c>
      <c r="BU200" s="22">
        <f>IFERROR(__xludf.DUMMYFUNCTION("""COMPUTED_VALUE"""),1.0)</f>
        <v>1</v>
      </c>
      <c r="BV200" s="22">
        <f>IFERROR(__xludf.DUMMYFUNCTION("""COMPUTED_VALUE"""),1.0)</f>
        <v>1</v>
      </c>
      <c r="BW200" s="22">
        <f>IFERROR(__xludf.DUMMYFUNCTION("""COMPUTED_VALUE"""),1.0)</f>
        <v>1</v>
      </c>
      <c r="BX200" s="22">
        <f>IFERROR(__xludf.DUMMYFUNCTION("""COMPUTED_VALUE"""),0.0)</f>
        <v>0</v>
      </c>
      <c r="BY200" s="22">
        <f>IFERROR(__xludf.DUMMYFUNCTION("""COMPUTED_VALUE"""),0.0)</f>
        <v>0</v>
      </c>
      <c r="BZ200" s="22">
        <f>IFERROR(__xludf.DUMMYFUNCTION("""COMPUTED_VALUE"""),0.0)</f>
        <v>0</v>
      </c>
      <c r="CA200" s="22">
        <f>IFERROR(__xludf.DUMMYFUNCTION("""COMPUTED_VALUE"""),1.0)</f>
        <v>1</v>
      </c>
      <c r="CB200" s="22">
        <f>IFERROR(__xludf.DUMMYFUNCTION("""COMPUTED_VALUE"""),3.0)</f>
        <v>3</v>
      </c>
      <c r="CC200" s="61">
        <f>IFERROR(__xludf.DUMMYFUNCTION("""COMPUTED_VALUE"""),1.875)</f>
        <v>1.875</v>
      </c>
      <c r="CD200" s="62" t="str">
        <f>IFERROR(__xludf.DUMMYFUNCTION("""COMPUTED_VALUE"""),"subpar")</f>
        <v>subpar</v>
      </c>
      <c r="CE200" s="22" t="s">
        <v>390</v>
      </c>
      <c r="CF200" s="24">
        <v>7.0</v>
      </c>
      <c r="CG200" s="22" t="b">
        <v>0</v>
      </c>
      <c r="CH200" s="22" t="b">
        <v>0</v>
      </c>
      <c r="CI200" s="22"/>
      <c r="CJ200" s="22">
        <v>0.0</v>
      </c>
      <c r="CK200" s="22">
        <v>0.0</v>
      </c>
      <c r="CL200" s="22">
        <v>0.0</v>
      </c>
      <c r="CM200" s="22">
        <v>0.0</v>
      </c>
      <c r="CN200" s="22">
        <v>0.0</v>
      </c>
      <c r="CO200" s="22">
        <v>0.0</v>
      </c>
      <c r="CP200" s="22">
        <v>1.0</v>
      </c>
      <c r="CQ200" s="22">
        <v>0.0</v>
      </c>
      <c r="CR200" s="22">
        <v>1.0</v>
      </c>
      <c r="CS200" s="22">
        <v>1.0</v>
      </c>
      <c r="CT200" s="22">
        <v>1.0</v>
      </c>
      <c r="CU200" s="22">
        <v>0.0</v>
      </c>
      <c r="CV200" s="22">
        <v>0.0</v>
      </c>
      <c r="CW200" s="22">
        <v>0.0</v>
      </c>
      <c r="CX200" s="22">
        <v>1.0</v>
      </c>
      <c r="CY200" s="22">
        <v>3.0</v>
      </c>
      <c r="CZ200" s="61">
        <v>1.875</v>
      </c>
      <c r="DA200" s="62" t="s">
        <v>568</v>
      </c>
    </row>
    <row r="201">
      <c r="A201" s="16" t="s">
        <v>422</v>
      </c>
      <c r="B201" s="16" t="s">
        <v>423</v>
      </c>
      <c r="C201" s="17" t="s">
        <v>51</v>
      </c>
      <c r="D201" s="16" t="s">
        <v>9</v>
      </c>
      <c r="E201" s="17" t="b">
        <f t="shared" ref="E201:K201" si="1006">If(IFERROR(SEARCH(E$1, $D201),0) &gt;= 1, true,false)</f>
        <v>0</v>
      </c>
      <c r="F201" s="17" t="b">
        <f t="shared" si="1006"/>
        <v>0</v>
      </c>
      <c r="G201" s="17" t="b">
        <f t="shared" si="1006"/>
        <v>0</v>
      </c>
      <c r="H201" s="17" t="b">
        <f t="shared" si="1006"/>
        <v>0</v>
      </c>
      <c r="I201" s="17" t="b">
        <f t="shared" si="1006"/>
        <v>0</v>
      </c>
      <c r="J201" s="17" t="b">
        <f t="shared" si="1006"/>
        <v>1</v>
      </c>
      <c r="K201" s="17" t="b">
        <f t="shared" si="1006"/>
        <v>0</v>
      </c>
      <c r="L201" s="18" t="b">
        <v>1</v>
      </c>
      <c r="M201" s="18" t="b">
        <v>1</v>
      </c>
      <c r="N201" s="18" t="b">
        <v>0</v>
      </c>
      <c r="O201" s="18" t="b">
        <v>0</v>
      </c>
      <c r="P201" s="16" t="str">
        <f t="shared" si="7"/>
        <v>Villa Empain - Stichting Boghossian</v>
      </c>
      <c r="Q201" s="19">
        <v>12.0</v>
      </c>
      <c r="R201" s="20" t="b">
        <v>0</v>
      </c>
      <c r="S201" s="18" t="b">
        <v>1</v>
      </c>
      <c r="T201" s="29">
        <v>12.0</v>
      </c>
      <c r="U201" s="21">
        <f t="shared" si="8"/>
        <v>0</v>
      </c>
      <c r="V201" s="21">
        <f t="shared" ref="V201:AB201" si="1007">if(OR(AW201 = $AO$4, AW201 = $AQ$4), 1, 0)</f>
        <v>0</v>
      </c>
      <c r="W201" s="21">
        <f t="shared" si="1007"/>
        <v>0</v>
      </c>
      <c r="X201" s="21">
        <f t="shared" si="1007"/>
        <v>0</v>
      </c>
      <c r="Y201" s="21">
        <f t="shared" si="1007"/>
        <v>0</v>
      </c>
      <c r="Z201" s="21">
        <f t="shared" si="1007"/>
        <v>0</v>
      </c>
      <c r="AA201" s="21">
        <f t="shared" si="1007"/>
        <v>1</v>
      </c>
      <c r="AB201" s="21">
        <f t="shared" si="1007"/>
        <v>0</v>
      </c>
      <c r="AC201" s="21">
        <f t="shared" si="10"/>
        <v>1</v>
      </c>
      <c r="AD201" s="21">
        <f t="shared" si="11"/>
        <v>0</v>
      </c>
      <c r="AE201" s="21">
        <f t="shared" ref="AE201:AH201" si="1008">if(OR(BD201 = $AO$6, BD201 = $AS$6, BD201 = $AT$6, BD201 = $AU$6), 1, 0)</f>
        <v>1</v>
      </c>
      <c r="AF201" s="21">
        <f t="shared" si="1008"/>
        <v>1</v>
      </c>
      <c r="AG201" s="21">
        <f t="shared" si="1008"/>
        <v>0</v>
      </c>
      <c r="AH201" s="21">
        <f t="shared" si="1008"/>
        <v>0</v>
      </c>
      <c r="AI201" s="21">
        <f t="shared" si="13"/>
        <v>2</v>
      </c>
      <c r="AJ201" s="21">
        <f t="shared" si="14"/>
        <v>3</v>
      </c>
      <c r="AK201" s="59">
        <f t="shared" si="15"/>
        <v>1.875</v>
      </c>
      <c r="AL201" s="60" t="str">
        <f t="shared" si="16"/>
        <v>subpar</v>
      </c>
      <c r="AW201" s="22">
        <f t="shared" ref="AW201:BC201" si="1009">IF(IFERROR(SEARCH(E$1, $D201),0) &gt;= 1, E$1,0)</f>
        <v>0</v>
      </c>
      <c r="AX201" s="22">
        <f t="shared" si="1009"/>
        <v>0</v>
      </c>
      <c r="AY201" s="22">
        <f t="shared" si="1009"/>
        <v>0</v>
      </c>
      <c r="AZ201" s="22">
        <f t="shared" si="1009"/>
        <v>0</v>
      </c>
      <c r="BA201" s="22">
        <f t="shared" si="1009"/>
        <v>0</v>
      </c>
      <c r="BB201" s="22" t="str">
        <f t="shared" si="1009"/>
        <v>Beeldende kunst</v>
      </c>
      <c r="BC201" s="22">
        <f t="shared" si="1009"/>
        <v>0</v>
      </c>
      <c r="BD201" s="22" t="str">
        <f t="shared" ref="BD201:BG201" si="1010">IF(L201 = true, BD$1, 0)</f>
        <v>Shop</v>
      </c>
      <c r="BE201" s="22" t="str">
        <f t="shared" si="1010"/>
        <v>Café</v>
      </c>
      <c r="BF201" s="22">
        <f t="shared" si="1010"/>
        <v>0</v>
      </c>
      <c r="BG201" s="22">
        <f t="shared" si="1010"/>
        <v>0</v>
      </c>
      <c r="BH201" s="22" t="str">
        <f>IFERROR(__xludf.DUMMYFUNCTION("""COMPUTED_VALUE"""),"Mudia")</f>
        <v>Mudia</v>
      </c>
      <c r="BI201" s="24">
        <f>IFERROR(__xludf.DUMMYFUNCTION("""COMPUTED_VALUE"""),15.5)</f>
        <v>15.5</v>
      </c>
      <c r="BJ201" s="22" t="b">
        <f>IFERROR(__xludf.DUMMYFUNCTION("""COMPUTED_VALUE"""),FALSE)</f>
        <v>0</v>
      </c>
      <c r="BK201" s="22" t="b">
        <f>IFERROR(__xludf.DUMMYFUNCTION("""COMPUTED_VALUE"""),FALSE)</f>
        <v>0</v>
      </c>
      <c r="BL201" s="22"/>
      <c r="BM201" s="22">
        <f>IFERROR(__xludf.DUMMYFUNCTION("""COMPUTED_VALUE"""),0.0)</f>
        <v>0</v>
      </c>
      <c r="BN201" s="22">
        <f>IFERROR(__xludf.DUMMYFUNCTION("""COMPUTED_VALUE"""),0.0)</f>
        <v>0</v>
      </c>
      <c r="BO201" s="22">
        <f>IFERROR(__xludf.DUMMYFUNCTION("""COMPUTED_VALUE"""),0.0)</f>
        <v>0</v>
      </c>
      <c r="BP201" s="22">
        <f>IFERROR(__xludf.DUMMYFUNCTION("""COMPUTED_VALUE"""),0.0)</f>
        <v>0</v>
      </c>
      <c r="BQ201" s="22">
        <f>IFERROR(__xludf.DUMMYFUNCTION("""COMPUTED_VALUE"""),0.0)</f>
        <v>0</v>
      </c>
      <c r="BR201" s="22">
        <f>IFERROR(__xludf.DUMMYFUNCTION("""COMPUTED_VALUE"""),0.0)</f>
        <v>0</v>
      </c>
      <c r="BS201" s="22">
        <f>IFERROR(__xludf.DUMMYFUNCTION("""COMPUTED_VALUE"""),1.0)</f>
        <v>1</v>
      </c>
      <c r="BT201" s="22">
        <f>IFERROR(__xludf.DUMMYFUNCTION("""COMPUTED_VALUE"""),0.0)</f>
        <v>0</v>
      </c>
      <c r="BU201" s="22">
        <f>IFERROR(__xludf.DUMMYFUNCTION("""COMPUTED_VALUE"""),1.0)</f>
        <v>1</v>
      </c>
      <c r="BV201" s="22">
        <f>IFERROR(__xludf.DUMMYFUNCTION("""COMPUTED_VALUE"""),0.0)</f>
        <v>0</v>
      </c>
      <c r="BW201" s="22">
        <f>IFERROR(__xludf.DUMMYFUNCTION("""COMPUTED_VALUE"""),1.0)</f>
        <v>1</v>
      </c>
      <c r="BX201" s="22">
        <f>IFERROR(__xludf.DUMMYFUNCTION("""COMPUTED_VALUE"""),0.0)</f>
        <v>0</v>
      </c>
      <c r="BY201" s="22">
        <f>IFERROR(__xludf.DUMMYFUNCTION("""COMPUTED_VALUE"""),0.0)</f>
        <v>0</v>
      </c>
      <c r="BZ201" s="22">
        <f>IFERROR(__xludf.DUMMYFUNCTION("""COMPUTED_VALUE"""),1.0)</f>
        <v>1</v>
      </c>
      <c r="CA201" s="22">
        <f>IFERROR(__xludf.DUMMYFUNCTION("""COMPUTED_VALUE"""),2.0)</f>
        <v>2</v>
      </c>
      <c r="CB201" s="22">
        <f>IFERROR(__xludf.DUMMYFUNCTION("""COMPUTED_VALUE"""),3.0)</f>
        <v>3</v>
      </c>
      <c r="CC201" s="61">
        <f>IFERROR(__xludf.DUMMYFUNCTION("""COMPUTED_VALUE"""),1.875)</f>
        <v>1.875</v>
      </c>
      <c r="CD201" s="62" t="str">
        <f>IFERROR(__xludf.DUMMYFUNCTION("""COMPUTED_VALUE"""),"subpar")</f>
        <v>subpar</v>
      </c>
      <c r="CE201" s="22" t="s">
        <v>399</v>
      </c>
      <c r="CF201" s="24">
        <v>15.5</v>
      </c>
      <c r="CG201" s="22" t="b">
        <v>0</v>
      </c>
      <c r="CH201" s="22" t="b">
        <v>0</v>
      </c>
      <c r="CI201" s="22"/>
      <c r="CJ201" s="22">
        <v>0.0</v>
      </c>
      <c r="CK201" s="22">
        <v>0.0</v>
      </c>
      <c r="CL201" s="22">
        <v>0.0</v>
      </c>
      <c r="CM201" s="22">
        <v>0.0</v>
      </c>
      <c r="CN201" s="22">
        <v>0.0</v>
      </c>
      <c r="CO201" s="22">
        <v>0.0</v>
      </c>
      <c r="CP201" s="22">
        <v>1.0</v>
      </c>
      <c r="CQ201" s="22">
        <v>0.0</v>
      </c>
      <c r="CR201" s="22">
        <v>1.0</v>
      </c>
      <c r="CS201" s="22">
        <v>0.0</v>
      </c>
      <c r="CT201" s="22">
        <v>1.0</v>
      </c>
      <c r="CU201" s="22">
        <v>0.0</v>
      </c>
      <c r="CV201" s="22">
        <v>0.0</v>
      </c>
      <c r="CW201" s="22">
        <v>1.0</v>
      </c>
      <c r="CX201" s="22">
        <v>2.0</v>
      </c>
      <c r="CY201" s="22">
        <v>3.0</v>
      </c>
      <c r="CZ201" s="61">
        <v>1.875</v>
      </c>
      <c r="DA201" s="62" t="s">
        <v>568</v>
      </c>
    </row>
    <row r="202">
      <c r="A202" s="16" t="s">
        <v>424</v>
      </c>
      <c r="B202" s="16" t="s">
        <v>425</v>
      </c>
      <c r="C202" s="17" t="s">
        <v>51</v>
      </c>
      <c r="D202" s="16" t="s">
        <v>344</v>
      </c>
      <c r="E202" s="17" t="b">
        <f t="shared" ref="E202:K202" si="1011">If(IFERROR(SEARCH(E$1, $D202),0) &gt;= 1, true,false)</f>
        <v>1</v>
      </c>
      <c r="F202" s="17" t="b">
        <f t="shared" si="1011"/>
        <v>0</v>
      </c>
      <c r="G202" s="17" t="b">
        <f t="shared" si="1011"/>
        <v>0</v>
      </c>
      <c r="H202" s="17" t="b">
        <f t="shared" si="1011"/>
        <v>0</v>
      </c>
      <c r="I202" s="17" t="b">
        <f t="shared" si="1011"/>
        <v>0</v>
      </c>
      <c r="J202" s="17" t="b">
        <f t="shared" si="1011"/>
        <v>0</v>
      </c>
      <c r="K202" s="17" t="b">
        <f t="shared" si="1011"/>
        <v>0</v>
      </c>
      <c r="L202" s="18" t="b">
        <v>1</v>
      </c>
      <c r="M202" s="18" t="b">
        <v>0</v>
      </c>
      <c r="N202" s="18" t="b">
        <v>0</v>
      </c>
      <c r="O202" s="18" t="b">
        <v>0</v>
      </c>
      <c r="P202" s="16" t="str">
        <f t="shared" si="7"/>
        <v>Brel Stichting</v>
      </c>
      <c r="Q202" s="19">
        <v>14.0</v>
      </c>
      <c r="R202" s="20" t="b">
        <v>0</v>
      </c>
      <c r="S202" s="18" t="b">
        <v>0</v>
      </c>
      <c r="T202" s="16"/>
      <c r="U202" s="21">
        <f t="shared" si="8"/>
        <v>0</v>
      </c>
      <c r="V202" s="21">
        <f t="shared" ref="V202:AB202" si="1012">if(OR(AW202 = $AO$4, AW202 = $AQ$4), 1, 0)</f>
        <v>1</v>
      </c>
      <c r="W202" s="21">
        <f t="shared" si="1012"/>
        <v>0</v>
      </c>
      <c r="X202" s="21">
        <f t="shared" si="1012"/>
        <v>0</v>
      </c>
      <c r="Y202" s="21">
        <f t="shared" si="1012"/>
        <v>0</v>
      </c>
      <c r="Z202" s="21">
        <f t="shared" si="1012"/>
        <v>0</v>
      </c>
      <c r="AA202" s="21">
        <f t="shared" si="1012"/>
        <v>0</v>
      </c>
      <c r="AB202" s="21">
        <f t="shared" si="1012"/>
        <v>0</v>
      </c>
      <c r="AC202" s="21">
        <f t="shared" si="10"/>
        <v>1</v>
      </c>
      <c r="AD202" s="21">
        <f t="shared" si="11"/>
        <v>0</v>
      </c>
      <c r="AE202" s="21">
        <f t="shared" ref="AE202:AH202" si="1013">if(OR(BD202 = $AO$6, BD202 = $AS$6, BD202 = $AT$6, BD202 = $AU$6), 1, 0)</f>
        <v>1</v>
      </c>
      <c r="AF202" s="21">
        <f t="shared" si="1013"/>
        <v>0</v>
      </c>
      <c r="AG202" s="21">
        <f t="shared" si="1013"/>
        <v>0</v>
      </c>
      <c r="AH202" s="21">
        <f t="shared" si="1013"/>
        <v>0</v>
      </c>
      <c r="AI202" s="21">
        <f t="shared" si="13"/>
        <v>1</v>
      </c>
      <c r="AJ202" s="21">
        <f t="shared" si="14"/>
        <v>2</v>
      </c>
      <c r="AK202" s="59">
        <f t="shared" si="15"/>
        <v>1.25</v>
      </c>
      <c r="AL202" s="60" t="str">
        <f t="shared" si="16"/>
        <v>subpar</v>
      </c>
      <c r="AW202" s="22" t="str">
        <f t="shared" ref="AW202:BC202" si="1014">IF(IFERROR(SEARCH(E$1, $D202),0) &gt;= 1, E$1,0)</f>
        <v>Geschiedenis en archeologie</v>
      </c>
      <c r="AX202" s="22">
        <f t="shared" si="1014"/>
        <v>0</v>
      </c>
      <c r="AY202" s="22">
        <f t="shared" si="1014"/>
        <v>0</v>
      </c>
      <c r="AZ202" s="22">
        <f t="shared" si="1014"/>
        <v>0</v>
      </c>
      <c r="BA202" s="22">
        <f t="shared" si="1014"/>
        <v>0</v>
      </c>
      <c r="BB202" s="22">
        <f t="shared" si="1014"/>
        <v>0</v>
      </c>
      <c r="BC202" s="22">
        <f t="shared" si="1014"/>
        <v>0</v>
      </c>
      <c r="BD202" s="22" t="str">
        <f t="shared" ref="BD202:BG202" si="1015">IF(L202 = true, BD$1, 0)</f>
        <v>Shop</v>
      </c>
      <c r="BE202" s="22">
        <f t="shared" si="1015"/>
        <v>0</v>
      </c>
      <c r="BF202" s="22">
        <f t="shared" si="1015"/>
        <v>0</v>
      </c>
      <c r="BG202" s="22">
        <f t="shared" si="1015"/>
        <v>0</v>
      </c>
      <c r="BH202" s="22" t="str">
        <f>IFERROR(__xludf.DUMMYFUNCTION("""COMPUTED_VALUE"""),"Archeologisch Museum van Aarlen")</f>
        <v>Archeologisch Museum van Aarlen</v>
      </c>
      <c r="BI202" s="24">
        <f>IFERROR(__xludf.DUMMYFUNCTION("""COMPUTED_VALUE"""),6.0)</f>
        <v>6</v>
      </c>
      <c r="BJ202" s="22" t="b">
        <f>IFERROR(__xludf.DUMMYFUNCTION("""COMPUTED_VALUE"""),FALSE)</f>
        <v>0</v>
      </c>
      <c r="BK202" s="22" t="b">
        <f>IFERROR(__xludf.DUMMYFUNCTION("""COMPUTED_VALUE"""),TRUE)</f>
        <v>1</v>
      </c>
      <c r="BL202" s="24">
        <f>IFERROR(__xludf.DUMMYFUNCTION("""COMPUTED_VALUE"""),6.0)</f>
        <v>6</v>
      </c>
      <c r="BM202" s="22">
        <f>IFERROR(__xludf.DUMMYFUNCTION("""COMPUTED_VALUE"""),0.0)</f>
        <v>0</v>
      </c>
      <c r="BN202" s="22">
        <f>IFERROR(__xludf.DUMMYFUNCTION("""COMPUTED_VALUE"""),1.0)</f>
        <v>1</v>
      </c>
      <c r="BO202" s="22">
        <f>IFERROR(__xludf.DUMMYFUNCTION("""COMPUTED_VALUE"""),0.0)</f>
        <v>0</v>
      </c>
      <c r="BP202" s="22">
        <f>IFERROR(__xludf.DUMMYFUNCTION("""COMPUTED_VALUE"""),0.0)</f>
        <v>0</v>
      </c>
      <c r="BQ202" s="22">
        <f>IFERROR(__xludf.DUMMYFUNCTION("""COMPUTED_VALUE"""),0.0)</f>
        <v>0</v>
      </c>
      <c r="BR202" s="22">
        <f>IFERROR(__xludf.DUMMYFUNCTION("""COMPUTED_VALUE"""),0.0)</f>
        <v>0</v>
      </c>
      <c r="BS202" s="22">
        <f>IFERROR(__xludf.DUMMYFUNCTION("""COMPUTED_VALUE"""),0.0)</f>
        <v>0</v>
      </c>
      <c r="BT202" s="22">
        <f>IFERROR(__xludf.DUMMYFUNCTION("""COMPUTED_VALUE"""),0.0)</f>
        <v>0</v>
      </c>
      <c r="BU202" s="22">
        <f>IFERROR(__xludf.DUMMYFUNCTION("""COMPUTED_VALUE"""),1.0)</f>
        <v>1</v>
      </c>
      <c r="BV202" s="22">
        <f>IFERROR(__xludf.DUMMYFUNCTION("""COMPUTED_VALUE"""),1.0)</f>
        <v>1</v>
      </c>
      <c r="BW202" s="22">
        <f>IFERROR(__xludf.DUMMYFUNCTION("""COMPUTED_VALUE"""),1.0)</f>
        <v>1</v>
      </c>
      <c r="BX202" s="22">
        <f>IFERROR(__xludf.DUMMYFUNCTION("""COMPUTED_VALUE"""),0.0)</f>
        <v>0</v>
      </c>
      <c r="BY202" s="22">
        <f>IFERROR(__xludf.DUMMYFUNCTION("""COMPUTED_VALUE"""),0.0)</f>
        <v>0</v>
      </c>
      <c r="BZ202" s="22">
        <f>IFERROR(__xludf.DUMMYFUNCTION("""COMPUTED_VALUE"""),0.0)</f>
        <v>0</v>
      </c>
      <c r="CA202" s="22">
        <f>IFERROR(__xludf.DUMMYFUNCTION("""COMPUTED_VALUE"""),1.0)</f>
        <v>1</v>
      </c>
      <c r="CB202" s="22">
        <f>IFERROR(__xludf.DUMMYFUNCTION("""COMPUTED_VALUE"""),3.0)</f>
        <v>3</v>
      </c>
      <c r="CC202" s="61">
        <f>IFERROR(__xludf.DUMMYFUNCTION("""COMPUTED_VALUE"""),1.875)</f>
        <v>1.875</v>
      </c>
      <c r="CD202" s="62" t="str">
        <f>IFERROR(__xludf.DUMMYFUNCTION("""COMPUTED_VALUE"""),"subpar")</f>
        <v>subpar</v>
      </c>
      <c r="CE202" s="22" t="s">
        <v>400</v>
      </c>
      <c r="CF202" s="24">
        <v>6.0</v>
      </c>
      <c r="CG202" s="22" t="b">
        <v>0</v>
      </c>
      <c r="CH202" s="22" t="b">
        <v>1</v>
      </c>
      <c r="CI202" s="24">
        <v>6.0</v>
      </c>
      <c r="CJ202" s="22">
        <v>0.0</v>
      </c>
      <c r="CK202" s="22">
        <v>1.0</v>
      </c>
      <c r="CL202" s="22">
        <v>0.0</v>
      </c>
      <c r="CM202" s="22">
        <v>0.0</v>
      </c>
      <c r="CN202" s="22">
        <v>0.0</v>
      </c>
      <c r="CO202" s="22">
        <v>0.0</v>
      </c>
      <c r="CP202" s="22">
        <v>0.0</v>
      </c>
      <c r="CQ202" s="22">
        <v>0.0</v>
      </c>
      <c r="CR202" s="22">
        <v>1.0</v>
      </c>
      <c r="CS202" s="22">
        <v>1.0</v>
      </c>
      <c r="CT202" s="22">
        <v>1.0</v>
      </c>
      <c r="CU202" s="22">
        <v>0.0</v>
      </c>
      <c r="CV202" s="22">
        <v>0.0</v>
      </c>
      <c r="CW202" s="22">
        <v>0.0</v>
      </c>
      <c r="CX202" s="22">
        <v>1.0</v>
      </c>
      <c r="CY202" s="22">
        <v>3.0</v>
      </c>
      <c r="CZ202" s="61">
        <v>1.875</v>
      </c>
      <c r="DA202" s="62" t="s">
        <v>568</v>
      </c>
    </row>
    <row r="203">
      <c r="A203" s="16"/>
      <c r="B203" s="16" t="s">
        <v>426</v>
      </c>
      <c r="C203" s="17" t="s">
        <v>51</v>
      </c>
      <c r="D203" s="16" t="s">
        <v>10</v>
      </c>
      <c r="E203" s="17" t="b">
        <f t="shared" ref="E203:K203" si="1016">If(IFERROR(SEARCH(E$1, $D203),0) &gt;= 1, true,false)</f>
        <v>0</v>
      </c>
      <c r="F203" s="17" t="b">
        <f t="shared" si="1016"/>
        <v>0</v>
      </c>
      <c r="G203" s="17" t="b">
        <f t="shared" si="1016"/>
        <v>0</v>
      </c>
      <c r="H203" s="17" t="b">
        <f t="shared" si="1016"/>
        <v>0</v>
      </c>
      <c r="I203" s="17" t="b">
        <f t="shared" si="1016"/>
        <v>0</v>
      </c>
      <c r="J203" s="17" t="b">
        <f t="shared" si="1016"/>
        <v>0</v>
      </c>
      <c r="K203" s="17" t="b">
        <f t="shared" si="1016"/>
        <v>1</v>
      </c>
      <c r="L203" s="18" t="b">
        <v>1</v>
      </c>
      <c r="M203" s="18" t="b">
        <v>0</v>
      </c>
      <c r="N203" s="18" t="b">
        <v>0</v>
      </c>
      <c r="O203" s="18" t="b">
        <v>0</v>
      </c>
      <c r="P203" s="16" t="str">
        <f t="shared" si="7"/>
        <v>Fondation CAB</v>
      </c>
      <c r="Q203" s="19">
        <v>6.0</v>
      </c>
      <c r="R203" s="20" t="b">
        <v>0</v>
      </c>
      <c r="S203" s="18" t="b">
        <v>0</v>
      </c>
      <c r="T203" s="16"/>
      <c r="U203" s="21">
        <f t="shared" si="8"/>
        <v>0</v>
      </c>
      <c r="V203" s="21">
        <f t="shared" ref="V203:AB203" si="1017">if(OR(AW203 = $AO$4, AW203 = $AQ$4), 1, 0)</f>
        <v>0</v>
      </c>
      <c r="W203" s="21">
        <f t="shared" si="1017"/>
        <v>0</v>
      </c>
      <c r="X203" s="21">
        <f t="shared" si="1017"/>
        <v>0</v>
      </c>
      <c r="Y203" s="21">
        <f t="shared" si="1017"/>
        <v>0</v>
      </c>
      <c r="Z203" s="21">
        <f t="shared" si="1017"/>
        <v>0</v>
      </c>
      <c r="AA203" s="21">
        <f t="shared" si="1017"/>
        <v>0</v>
      </c>
      <c r="AB203" s="21">
        <f t="shared" si="1017"/>
        <v>0</v>
      </c>
      <c r="AC203" s="21">
        <f t="shared" si="10"/>
        <v>0</v>
      </c>
      <c r="AD203" s="21">
        <f t="shared" si="11"/>
        <v>1</v>
      </c>
      <c r="AE203" s="21">
        <f t="shared" ref="AE203:AH203" si="1018">if(OR(BD203 = $AO$6, BD203 = $AS$6, BD203 = $AT$6, BD203 = $AU$6), 1, 0)</f>
        <v>1</v>
      </c>
      <c r="AF203" s="21">
        <f t="shared" si="1018"/>
        <v>0</v>
      </c>
      <c r="AG203" s="21">
        <f t="shared" si="1018"/>
        <v>0</v>
      </c>
      <c r="AH203" s="21">
        <f t="shared" si="1018"/>
        <v>0</v>
      </c>
      <c r="AI203" s="21">
        <f t="shared" si="13"/>
        <v>1</v>
      </c>
      <c r="AJ203" s="21">
        <f t="shared" si="14"/>
        <v>2</v>
      </c>
      <c r="AK203" s="59">
        <f t="shared" si="15"/>
        <v>1.25</v>
      </c>
      <c r="AL203" s="60" t="str">
        <f t="shared" si="16"/>
        <v>subpar</v>
      </c>
      <c r="AW203" s="22">
        <f t="shared" ref="AW203:BC203" si="1019">IF(IFERROR(SEARCH(E$1, $D203),0) &gt;= 1, E$1,0)</f>
        <v>0</v>
      </c>
      <c r="AX203" s="22">
        <f t="shared" si="1019"/>
        <v>0</v>
      </c>
      <c r="AY203" s="22">
        <f t="shared" si="1019"/>
        <v>0</v>
      </c>
      <c r="AZ203" s="22">
        <f t="shared" si="1019"/>
        <v>0</v>
      </c>
      <c r="BA203" s="22">
        <f t="shared" si="1019"/>
        <v>0</v>
      </c>
      <c r="BB203" s="22">
        <f t="shared" si="1019"/>
        <v>0</v>
      </c>
      <c r="BC203" s="22" t="str">
        <f t="shared" si="1019"/>
        <v>Toegepaste kunst en design</v>
      </c>
      <c r="BD203" s="22" t="str">
        <f t="shared" ref="BD203:BG203" si="1020">IF(L203 = true, BD$1, 0)</f>
        <v>Shop</v>
      </c>
      <c r="BE203" s="22">
        <f t="shared" si="1020"/>
        <v>0</v>
      </c>
      <c r="BF203" s="22">
        <f t="shared" si="1020"/>
        <v>0</v>
      </c>
      <c r="BG203" s="22">
        <f t="shared" si="1020"/>
        <v>0</v>
      </c>
      <c r="BH203" s="22" t="str">
        <f>IFERROR(__xludf.DUMMYFUNCTION("""COMPUTED_VALUE"""),"AMVB | Archief en Museum voor het Vlaams leven te Brussel")</f>
        <v>AMVB | Archief en Museum voor het Vlaams leven te Brussel</v>
      </c>
      <c r="BI203" s="24">
        <f>IFERROR(__xludf.DUMMYFUNCTION("""COMPUTED_VALUE"""),6.0)</f>
        <v>6</v>
      </c>
      <c r="BJ203" s="22" t="b">
        <f>IFERROR(__xludf.DUMMYFUNCTION("""COMPUTED_VALUE"""),FALSE)</f>
        <v>0</v>
      </c>
      <c r="BK203" s="22" t="b">
        <f>IFERROR(__xludf.DUMMYFUNCTION("""COMPUTED_VALUE"""),TRUE)</f>
        <v>1</v>
      </c>
      <c r="BL203" s="24">
        <f>IFERROR(__xludf.DUMMYFUNCTION("""COMPUTED_VALUE"""),0.0)</f>
        <v>0</v>
      </c>
      <c r="BM203" s="22">
        <f>IFERROR(__xludf.DUMMYFUNCTION("""COMPUTED_VALUE"""),0.0)</f>
        <v>0</v>
      </c>
      <c r="BN203" s="22">
        <f>IFERROR(__xludf.DUMMYFUNCTION("""COMPUTED_VALUE"""),1.0)</f>
        <v>1</v>
      </c>
      <c r="BO203" s="22">
        <f>IFERROR(__xludf.DUMMYFUNCTION("""COMPUTED_VALUE"""),0.0)</f>
        <v>0</v>
      </c>
      <c r="BP203" s="22">
        <f>IFERROR(__xludf.DUMMYFUNCTION("""COMPUTED_VALUE"""),0.0)</f>
        <v>0</v>
      </c>
      <c r="BQ203" s="22">
        <f>IFERROR(__xludf.DUMMYFUNCTION("""COMPUTED_VALUE"""),0.0)</f>
        <v>0</v>
      </c>
      <c r="BR203" s="22">
        <f>IFERROR(__xludf.DUMMYFUNCTION("""COMPUTED_VALUE"""),0.0)</f>
        <v>0</v>
      </c>
      <c r="BS203" s="22">
        <f>IFERROR(__xludf.DUMMYFUNCTION("""COMPUTED_VALUE"""),1.0)</f>
        <v>1</v>
      </c>
      <c r="BT203" s="22">
        <f>IFERROR(__xludf.DUMMYFUNCTION("""COMPUTED_VALUE"""),0.0)</f>
        <v>0</v>
      </c>
      <c r="BU203" s="22">
        <f>IFERROR(__xludf.DUMMYFUNCTION("""COMPUTED_VALUE"""),2.0)</f>
        <v>2</v>
      </c>
      <c r="BV203" s="22">
        <f>IFERROR(__xludf.DUMMYFUNCTION("""COMPUTED_VALUE"""),1.0)</f>
        <v>1</v>
      </c>
      <c r="BW203" s="22">
        <f>IFERROR(__xludf.DUMMYFUNCTION("""COMPUTED_VALUE"""),0.0)</f>
        <v>0</v>
      </c>
      <c r="BX203" s="22">
        <f>IFERROR(__xludf.DUMMYFUNCTION("""COMPUTED_VALUE"""),0.0)</f>
        <v>0</v>
      </c>
      <c r="BY203" s="22">
        <f>IFERROR(__xludf.DUMMYFUNCTION("""COMPUTED_VALUE"""),0.0)</f>
        <v>0</v>
      </c>
      <c r="BZ203" s="22">
        <f>IFERROR(__xludf.DUMMYFUNCTION("""COMPUTED_VALUE"""),0.0)</f>
        <v>0</v>
      </c>
      <c r="CA203" s="22">
        <f>IFERROR(__xludf.DUMMYFUNCTION("""COMPUTED_VALUE"""),0.0)</f>
        <v>0</v>
      </c>
      <c r="CB203" s="22">
        <f>IFERROR(__xludf.DUMMYFUNCTION("""COMPUTED_VALUE"""),3.0)</f>
        <v>3</v>
      </c>
      <c r="CC203" s="61">
        <f>IFERROR(__xludf.DUMMYFUNCTION("""COMPUTED_VALUE"""),1.875)</f>
        <v>1.875</v>
      </c>
      <c r="CD203" s="62" t="str">
        <f>IFERROR(__xludf.DUMMYFUNCTION("""COMPUTED_VALUE"""),"subpar")</f>
        <v>subpar</v>
      </c>
      <c r="CE203" s="22" t="s">
        <v>409</v>
      </c>
      <c r="CF203" s="24">
        <v>6.0</v>
      </c>
      <c r="CG203" s="22" t="b">
        <v>0</v>
      </c>
      <c r="CH203" s="22" t="b">
        <v>1</v>
      </c>
      <c r="CI203" s="24">
        <v>0.0</v>
      </c>
      <c r="CJ203" s="22">
        <v>0.0</v>
      </c>
      <c r="CK203" s="22">
        <v>1.0</v>
      </c>
      <c r="CL203" s="22">
        <v>0.0</v>
      </c>
      <c r="CM203" s="22">
        <v>0.0</v>
      </c>
      <c r="CN203" s="22">
        <v>0.0</v>
      </c>
      <c r="CO203" s="22">
        <v>0.0</v>
      </c>
      <c r="CP203" s="22">
        <v>1.0</v>
      </c>
      <c r="CQ203" s="22">
        <v>0.0</v>
      </c>
      <c r="CR203" s="22">
        <v>2.0</v>
      </c>
      <c r="CS203" s="22">
        <v>1.0</v>
      </c>
      <c r="CT203" s="22">
        <v>0.0</v>
      </c>
      <c r="CU203" s="22">
        <v>0.0</v>
      </c>
      <c r="CV203" s="22">
        <v>0.0</v>
      </c>
      <c r="CW203" s="22">
        <v>0.0</v>
      </c>
      <c r="CX203" s="22">
        <v>0.0</v>
      </c>
      <c r="CY203" s="22">
        <v>3.0</v>
      </c>
      <c r="CZ203" s="61">
        <v>1.875</v>
      </c>
      <c r="DA203" s="62" t="s">
        <v>568</v>
      </c>
    </row>
    <row r="204">
      <c r="A204" s="16" t="s">
        <v>427</v>
      </c>
      <c r="B204" s="16"/>
      <c r="C204" s="17" t="s">
        <v>51</v>
      </c>
      <c r="D204" s="16" t="s">
        <v>428</v>
      </c>
      <c r="E204" s="17" t="b">
        <f t="shared" ref="E204:K204" si="1021">If(IFERROR(SEARCH(E$1, $D204),0) &gt;= 1, true,false)</f>
        <v>1</v>
      </c>
      <c r="F204" s="17" t="b">
        <f t="shared" si="1021"/>
        <v>0</v>
      </c>
      <c r="G204" s="17" t="b">
        <f t="shared" si="1021"/>
        <v>1</v>
      </c>
      <c r="H204" s="17" t="b">
        <f t="shared" si="1021"/>
        <v>0</v>
      </c>
      <c r="I204" s="17" t="b">
        <f t="shared" si="1021"/>
        <v>0</v>
      </c>
      <c r="J204" s="17" t="b">
        <f t="shared" si="1021"/>
        <v>1</v>
      </c>
      <c r="K204" s="17" t="b">
        <f t="shared" si="1021"/>
        <v>0</v>
      </c>
      <c r="L204" s="18" t="b">
        <v>1</v>
      </c>
      <c r="M204" s="18" t="b">
        <v>0</v>
      </c>
      <c r="N204" s="18" t="b">
        <v>0</v>
      </c>
      <c r="O204" s="18" t="b">
        <v>0</v>
      </c>
      <c r="P204" s="16" t="str">
        <f t="shared" si="7"/>
        <v>GardeRobe MannekenPis</v>
      </c>
      <c r="Q204" s="19">
        <v>5.0</v>
      </c>
      <c r="R204" s="20" t="b">
        <v>0</v>
      </c>
      <c r="S204" s="18" t="b">
        <v>1</v>
      </c>
      <c r="T204" s="30">
        <v>0.0</v>
      </c>
      <c r="U204" s="21">
        <f t="shared" si="8"/>
        <v>0</v>
      </c>
      <c r="V204" s="21">
        <f t="shared" ref="V204:AB204" si="1022">if(OR(AW204 = $AO$4, AW204 = $AQ$4), 1, 0)</f>
        <v>1</v>
      </c>
      <c r="W204" s="21">
        <f t="shared" si="1022"/>
        <v>0</v>
      </c>
      <c r="X204" s="21">
        <f t="shared" si="1022"/>
        <v>0</v>
      </c>
      <c r="Y204" s="21">
        <f t="shared" si="1022"/>
        <v>0</v>
      </c>
      <c r="Z204" s="21">
        <f t="shared" si="1022"/>
        <v>0</v>
      </c>
      <c r="AA204" s="21">
        <f t="shared" si="1022"/>
        <v>1</v>
      </c>
      <c r="AB204" s="21">
        <f t="shared" si="1022"/>
        <v>0</v>
      </c>
      <c r="AC204" s="21">
        <f t="shared" si="10"/>
        <v>2</v>
      </c>
      <c r="AD204" s="21">
        <f t="shared" si="11"/>
        <v>1</v>
      </c>
      <c r="AE204" s="21">
        <f t="shared" ref="AE204:AH204" si="1023">if(OR(BD204 = $AO$6, BD204 = $AS$6, BD204 = $AT$6, BD204 = $AU$6), 1, 0)</f>
        <v>1</v>
      </c>
      <c r="AF204" s="21">
        <f t="shared" si="1023"/>
        <v>0</v>
      </c>
      <c r="AG204" s="21">
        <f t="shared" si="1023"/>
        <v>0</v>
      </c>
      <c r="AH204" s="21">
        <f t="shared" si="1023"/>
        <v>0</v>
      </c>
      <c r="AI204" s="21">
        <f t="shared" si="13"/>
        <v>1</v>
      </c>
      <c r="AJ204" s="21">
        <f t="shared" si="14"/>
        <v>4</v>
      </c>
      <c r="AK204" s="59">
        <f t="shared" si="15"/>
        <v>2.5</v>
      </c>
      <c r="AL204" s="60" t="str">
        <f t="shared" si="16"/>
        <v>subpar</v>
      </c>
      <c r="AW204" s="22" t="str">
        <f t="shared" ref="AW204:BC204" si="1024">IF(IFERROR(SEARCH(E$1, $D204),0) &gt;= 1, E$1,0)</f>
        <v>Geschiedenis en archeologie</v>
      </c>
      <c r="AX204" s="22">
        <f t="shared" si="1024"/>
        <v>0</v>
      </c>
      <c r="AY204" s="22" t="str">
        <f t="shared" si="1024"/>
        <v>Mode</v>
      </c>
      <c r="AZ204" s="22">
        <f t="shared" si="1024"/>
        <v>0</v>
      </c>
      <c r="BA204" s="22">
        <f t="shared" si="1024"/>
        <v>0</v>
      </c>
      <c r="BB204" s="22" t="str">
        <f t="shared" si="1024"/>
        <v>Beeldende kunst</v>
      </c>
      <c r="BC204" s="22">
        <f t="shared" si="1024"/>
        <v>0</v>
      </c>
      <c r="BD204" s="22" t="str">
        <f t="shared" ref="BD204:BG204" si="1025">IF(L204 = true, BD$1, 0)</f>
        <v>Shop</v>
      </c>
      <c r="BE204" s="22">
        <f t="shared" si="1025"/>
        <v>0</v>
      </c>
      <c r="BF204" s="22">
        <f t="shared" si="1025"/>
        <v>0</v>
      </c>
      <c r="BG204" s="22">
        <f t="shared" si="1025"/>
        <v>0</v>
      </c>
      <c r="BH204" s="22" t="str">
        <f>IFERROR(__xludf.DUMMYFUNCTION("""COMPUTED_VALUE"""),"CENTRALE for contemporary art")</f>
        <v>CENTRALE for contemporary art</v>
      </c>
      <c r="BI204" s="24">
        <f>IFERROR(__xludf.DUMMYFUNCTION("""COMPUTED_VALUE"""),10.0)</f>
        <v>10</v>
      </c>
      <c r="BJ204" s="22" t="b">
        <f>IFERROR(__xludf.DUMMYFUNCTION("""COMPUTED_VALUE"""),FALSE)</f>
        <v>0</v>
      </c>
      <c r="BK204" s="22" t="b">
        <f>IFERROR(__xludf.DUMMYFUNCTION("""COMPUTED_VALUE"""),TRUE)</f>
        <v>1</v>
      </c>
      <c r="BL204" s="24">
        <f>IFERROR(__xludf.DUMMYFUNCTION("""COMPUTED_VALUE"""),10.0)</f>
        <v>10</v>
      </c>
      <c r="BM204" s="22">
        <f>IFERROR(__xludf.DUMMYFUNCTION("""COMPUTED_VALUE"""),0.0)</f>
        <v>0</v>
      </c>
      <c r="BN204" s="22">
        <f>IFERROR(__xludf.DUMMYFUNCTION("""COMPUTED_VALUE"""),0.0)</f>
        <v>0</v>
      </c>
      <c r="BO204" s="22">
        <f>IFERROR(__xludf.DUMMYFUNCTION("""COMPUTED_VALUE"""),0.0)</f>
        <v>0</v>
      </c>
      <c r="BP204" s="22">
        <f>IFERROR(__xludf.DUMMYFUNCTION("""COMPUTED_VALUE"""),0.0)</f>
        <v>0</v>
      </c>
      <c r="BQ204" s="22">
        <f>IFERROR(__xludf.DUMMYFUNCTION("""COMPUTED_VALUE"""),0.0)</f>
        <v>0</v>
      </c>
      <c r="BR204" s="22">
        <f>IFERROR(__xludf.DUMMYFUNCTION("""COMPUTED_VALUE"""),0.0)</f>
        <v>0</v>
      </c>
      <c r="BS204" s="22">
        <f>IFERROR(__xludf.DUMMYFUNCTION("""COMPUTED_VALUE"""),1.0)</f>
        <v>1</v>
      </c>
      <c r="BT204" s="22">
        <f>IFERROR(__xludf.DUMMYFUNCTION("""COMPUTED_VALUE"""),0.0)</f>
        <v>0</v>
      </c>
      <c r="BU204" s="22">
        <f>IFERROR(__xludf.DUMMYFUNCTION("""COMPUTED_VALUE"""),1.0)</f>
        <v>1</v>
      </c>
      <c r="BV204" s="22">
        <f>IFERROR(__xludf.DUMMYFUNCTION("""COMPUTED_VALUE"""),1.0)</f>
        <v>1</v>
      </c>
      <c r="BW204" s="22">
        <f>IFERROR(__xludf.DUMMYFUNCTION("""COMPUTED_VALUE"""),1.0)</f>
        <v>1</v>
      </c>
      <c r="BX204" s="22">
        <f>IFERROR(__xludf.DUMMYFUNCTION("""COMPUTED_VALUE"""),0.0)</f>
        <v>0</v>
      </c>
      <c r="BY204" s="22">
        <f>IFERROR(__xludf.DUMMYFUNCTION("""COMPUTED_VALUE"""),0.0)</f>
        <v>0</v>
      </c>
      <c r="BZ204" s="22">
        <f>IFERROR(__xludf.DUMMYFUNCTION("""COMPUTED_VALUE"""),0.0)</f>
        <v>0</v>
      </c>
      <c r="CA204" s="22">
        <f>IFERROR(__xludf.DUMMYFUNCTION("""COMPUTED_VALUE"""),1.0)</f>
        <v>1</v>
      </c>
      <c r="CB204" s="22">
        <f>IFERROR(__xludf.DUMMYFUNCTION("""COMPUTED_VALUE"""),3.0)</f>
        <v>3</v>
      </c>
      <c r="CC204" s="61">
        <f>IFERROR(__xludf.DUMMYFUNCTION("""COMPUTED_VALUE"""),1.875)</f>
        <v>1.875</v>
      </c>
      <c r="CD204" s="62" t="str">
        <f>IFERROR(__xludf.DUMMYFUNCTION("""COMPUTED_VALUE"""),"subpar")</f>
        <v>subpar</v>
      </c>
      <c r="CE204" s="22" t="s">
        <v>418</v>
      </c>
      <c r="CF204" s="24">
        <v>10.0</v>
      </c>
      <c r="CG204" s="22" t="b">
        <v>0</v>
      </c>
      <c r="CH204" s="22" t="b">
        <v>1</v>
      </c>
      <c r="CI204" s="24">
        <v>10.0</v>
      </c>
      <c r="CJ204" s="22">
        <v>0.0</v>
      </c>
      <c r="CK204" s="22">
        <v>0.0</v>
      </c>
      <c r="CL204" s="22">
        <v>0.0</v>
      </c>
      <c r="CM204" s="22">
        <v>0.0</v>
      </c>
      <c r="CN204" s="22">
        <v>0.0</v>
      </c>
      <c r="CO204" s="22">
        <v>0.0</v>
      </c>
      <c r="CP204" s="22">
        <v>1.0</v>
      </c>
      <c r="CQ204" s="22">
        <v>0.0</v>
      </c>
      <c r="CR204" s="22">
        <v>1.0</v>
      </c>
      <c r="CS204" s="22">
        <v>1.0</v>
      </c>
      <c r="CT204" s="22">
        <v>1.0</v>
      </c>
      <c r="CU204" s="22">
        <v>0.0</v>
      </c>
      <c r="CV204" s="22">
        <v>0.0</v>
      </c>
      <c r="CW204" s="22">
        <v>0.0</v>
      </c>
      <c r="CX204" s="22">
        <v>1.0</v>
      </c>
      <c r="CY204" s="22">
        <v>3.0</v>
      </c>
      <c r="CZ204" s="61">
        <v>1.875</v>
      </c>
      <c r="DA204" s="62" t="s">
        <v>568</v>
      </c>
    </row>
    <row r="205">
      <c r="A205" s="16" t="s">
        <v>429</v>
      </c>
      <c r="B205" s="16"/>
      <c r="C205" s="17" t="s">
        <v>51</v>
      </c>
      <c r="D205" s="16" t="s">
        <v>430</v>
      </c>
      <c r="E205" s="17" t="b">
        <f t="shared" ref="E205:K205" si="1026">If(IFERROR(SEARCH(E$1, $D205),0) &gt;= 1, true,false)</f>
        <v>0</v>
      </c>
      <c r="F205" s="17" t="b">
        <f t="shared" si="1026"/>
        <v>1</v>
      </c>
      <c r="G205" s="17" t="b">
        <f t="shared" si="1026"/>
        <v>0</v>
      </c>
      <c r="H205" s="17" t="b">
        <f t="shared" si="1026"/>
        <v>0</v>
      </c>
      <c r="I205" s="17" t="b">
        <f t="shared" si="1026"/>
        <v>0</v>
      </c>
      <c r="J205" s="17" t="b">
        <f t="shared" si="1026"/>
        <v>1</v>
      </c>
      <c r="K205" s="17" t="b">
        <f t="shared" si="1026"/>
        <v>1</v>
      </c>
      <c r="L205" s="18" t="b">
        <v>0</v>
      </c>
      <c r="M205" s="18" t="b">
        <v>1</v>
      </c>
      <c r="N205" s="18" t="b">
        <v>0</v>
      </c>
      <c r="O205" s="18" t="b">
        <v>0</v>
      </c>
      <c r="P205" s="16" t="str">
        <f t="shared" si="7"/>
        <v>iMAL</v>
      </c>
      <c r="Q205" s="26">
        <v>10.0</v>
      </c>
      <c r="R205" s="18" t="b">
        <v>0</v>
      </c>
      <c r="S205" s="18" t="b">
        <v>1</v>
      </c>
      <c r="T205" s="27">
        <v>0.0</v>
      </c>
      <c r="U205" s="21">
        <f t="shared" si="8"/>
        <v>0</v>
      </c>
      <c r="V205" s="21">
        <f t="shared" ref="V205:AB205" si="1027">if(OR(AW205 = $AO$4, AW205 = $AQ$4), 1, 0)</f>
        <v>0</v>
      </c>
      <c r="W205" s="21">
        <f t="shared" si="1027"/>
        <v>0</v>
      </c>
      <c r="X205" s="21">
        <f t="shared" si="1027"/>
        <v>0</v>
      </c>
      <c r="Y205" s="21">
        <f t="shared" si="1027"/>
        <v>0</v>
      </c>
      <c r="Z205" s="21">
        <f t="shared" si="1027"/>
        <v>0</v>
      </c>
      <c r="AA205" s="21">
        <f t="shared" si="1027"/>
        <v>1</v>
      </c>
      <c r="AB205" s="21">
        <f t="shared" si="1027"/>
        <v>0</v>
      </c>
      <c r="AC205" s="21">
        <f t="shared" si="10"/>
        <v>1</v>
      </c>
      <c r="AD205" s="21">
        <f t="shared" si="11"/>
        <v>1</v>
      </c>
      <c r="AE205" s="21">
        <f t="shared" ref="AE205:AH205" si="1028">if(OR(BD205 = $AO$6, BD205 = $AS$6, BD205 = $AT$6, BD205 = $AU$6), 1, 0)</f>
        <v>0</v>
      </c>
      <c r="AF205" s="21">
        <f t="shared" si="1028"/>
        <v>1</v>
      </c>
      <c r="AG205" s="21">
        <f t="shared" si="1028"/>
        <v>0</v>
      </c>
      <c r="AH205" s="21">
        <f t="shared" si="1028"/>
        <v>0</v>
      </c>
      <c r="AI205" s="21">
        <f t="shared" si="13"/>
        <v>1</v>
      </c>
      <c r="AJ205" s="21">
        <f t="shared" si="14"/>
        <v>3</v>
      </c>
      <c r="AK205" s="59">
        <f t="shared" si="15"/>
        <v>1.875</v>
      </c>
      <c r="AL205" s="60" t="str">
        <f t="shared" si="16"/>
        <v>subpar</v>
      </c>
      <c r="AW205" s="22">
        <f t="shared" ref="AW205:BC205" si="1029">IF(IFERROR(SEARCH(E$1, $D205),0) &gt;= 1, E$1,0)</f>
        <v>0</v>
      </c>
      <c r="AX205" s="22" t="str">
        <f t="shared" si="1029"/>
        <v>Wetenschap en technologie</v>
      </c>
      <c r="AY205" s="22">
        <f t="shared" si="1029"/>
        <v>0</v>
      </c>
      <c r="AZ205" s="22">
        <f t="shared" si="1029"/>
        <v>0</v>
      </c>
      <c r="BA205" s="22">
        <f t="shared" si="1029"/>
        <v>0</v>
      </c>
      <c r="BB205" s="22" t="str">
        <f t="shared" si="1029"/>
        <v>Beeldende kunst</v>
      </c>
      <c r="BC205" s="22" t="str">
        <f t="shared" si="1029"/>
        <v>Toegepaste kunst en design</v>
      </c>
      <c r="BD205" s="22">
        <f t="shared" ref="BD205:BG205" si="1030">IF(L205 = true, BD$1, 0)</f>
        <v>0</v>
      </c>
      <c r="BE205" s="22" t="str">
        <f t="shared" si="1030"/>
        <v>Café</v>
      </c>
      <c r="BF205" s="22">
        <f t="shared" si="1030"/>
        <v>0</v>
      </c>
      <c r="BG205" s="22">
        <f t="shared" si="1030"/>
        <v>0</v>
      </c>
      <c r="BH205" s="22" t="str">
        <f>IFERROR(__xludf.DUMMYFUNCTION("""COMPUTED_VALUE"""),"Fondation A Stichting")</f>
        <v>Fondation A Stichting</v>
      </c>
      <c r="BI205" s="24">
        <f>IFERROR(__xludf.DUMMYFUNCTION("""COMPUTED_VALUE"""),7.0)</f>
        <v>7</v>
      </c>
      <c r="BJ205" s="22" t="b">
        <f>IFERROR(__xludf.DUMMYFUNCTION("""COMPUTED_VALUE"""),FALSE)</f>
        <v>0</v>
      </c>
      <c r="BK205" s="22" t="b">
        <f>IFERROR(__xludf.DUMMYFUNCTION("""COMPUTED_VALUE"""),FALSE)</f>
        <v>0</v>
      </c>
      <c r="BL205" s="22"/>
      <c r="BM205" s="22">
        <f>IFERROR(__xludf.DUMMYFUNCTION("""COMPUTED_VALUE"""),0.0)</f>
        <v>0</v>
      </c>
      <c r="BN205" s="22">
        <f>IFERROR(__xludf.DUMMYFUNCTION("""COMPUTED_VALUE"""),0.0)</f>
        <v>0</v>
      </c>
      <c r="BO205" s="22">
        <f>IFERROR(__xludf.DUMMYFUNCTION("""COMPUTED_VALUE"""),0.0)</f>
        <v>0</v>
      </c>
      <c r="BP205" s="22">
        <f>IFERROR(__xludf.DUMMYFUNCTION("""COMPUTED_VALUE"""),0.0)</f>
        <v>0</v>
      </c>
      <c r="BQ205" s="22">
        <f>IFERROR(__xludf.DUMMYFUNCTION("""COMPUTED_VALUE"""),0.0)</f>
        <v>0</v>
      </c>
      <c r="BR205" s="22">
        <f>IFERROR(__xludf.DUMMYFUNCTION("""COMPUTED_VALUE"""),0.0)</f>
        <v>0</v>
      </c>
      <c r="BS205" s="22">
        <f>IFERROR(__xludf.DUMMYFUNCTION("""COMPUTED_VALUE"""),1.0)</f>
        <v>1</v>
      </c>
      <c r="BT205" s="22">
        <f>IFERROR(__xludf.DUMMYFUNCTION("""COMPUTED_VALUE"""),0.0)</f>
        <v>0</v>
      </c>
      <c r="BU205" s="22">
        <f>IFERROR(__xludf.DUMMYFUNCTION("""COMPUTED_VALUE"""),1.0)</f>
        <v>1</v>
      </c>
      <c r="BV205" s="22">
        <f>IFERROR(__xludf.DUMMYFUNCTION("""COMPUTED_VALUE"""),1.0)</f>
        <v>1</v>
      </c>
      <c r="BW205" s="22">
        <f>IFERROR(__xludf.DUMMYFUNCTION("""COMPUTED_VALUE"""),1.0)</f>
        <v>1</v>
      </c>
      <c r="BX205" s="22">
        <f>IFERROR(__xludf.DUMMYFUNCTION("""COMPUTED_VALUE"""),0.0)</f>
        <v>0</v>
      </c>
      <c r="BY205" s="22">
        <f>IFERROR(__xludf.DUMMYFUNCTION("""COMPUTED_VALUE"""),0.0)</f>
        <v>0</v>
      </c>
      <c r="BZ205" s="22">
        <f>IFERROR(__xludf.DUMMYFUNCTION("""COMPUTED_VALUE"""),0.0)</f>
        <v>0</v>
      </c>
      <c r="CA205" s="22">
        <f>IFERROR(__xludf.DUMMYFUNCTION("""COMPUTED_VALUE"""),1.0)</f>
        <v>1</v>
      </c>
      <c r="CB205" s="22">
        <f>IFERROR(__xludf.DUMMYFUNCTION("""COMPUTED_VALUE"""),3.0)</f>
        <v>3</v>
      </c>
      <c r="CC205" s="61">
        <f>IFERROR(__xludf.DUMMYFUNCTION("""COMPUTED_VALUE"""),1.875)</f>
        <v>1.875</v>
      </c>
      <c r="CD205" s="62" t="str">
        <f>IFERROR(__xludf.DUMMYFUNCTION("""COMPUTED_VALUE"""),"subpar")</f>
        <v>subpar</v>
      </c>
      <c r="CE205" s="22" t="s">
        <v>421</v>
      </c>
      <c r="CF205" s="24">
        <v>7.0</v>
      </c>
      <c r="CG205" s="22" t="b">
        <v>0</v>
      </c>
      <c r="CH205" s="22" t="b">
        <v>0</v>
      </c>
      <c r="CI205" s="22"/>
      <c r="CJ205" s="22">
        <v>0.0</v>
      </c>
      <c r="CK205" s="22">
        <v>0.0</v>
      </c>
      <c r="CL205" s="22">
        <v>0.0</v>
      </c>
      <c r="CM205" s="22">
        <v>0.0</v>
      </c>
      <c r="CN205" s="22">
        <v>0.0</v>
      </c>
      <c r="CO205" s="22">
        <v>0.0</v>
      </c>
      <c r="CP205" s="22">
        <v>1.0</v>
      </c>
      <c r="CQ205" s="22">
        <v>0.0</v>
      </c>
      <c r="CR205" s="22">
        <v>1.0</v>
      </c>
      <c r="CS205" s="22">
        <v>1.0</v>
      </c>
      <c r="CT205" s="22">
        <v>1.0</v>
      </c>
      <c r="CU205" s="22">
        <v>0.0</v>
      </c>
      <c r="CV205" s="22">
        <v>0.0</v>
      </c>
      <c r="CW205" s="22">
        <v>0.0</v>
      </c>
      <c r="CX205" s="22">
        <v>1.0</v>
      </c>
      <c r="CY205" s="22">
        <v>3.0</v>
      </c>
      <c r="CZ205" s="61">
        <v>1.875</v>
      </c>
      <c r="DA205" s="62" t="s">
        <v>568</v>
      </c>
    </row>
    <row r="206">
      <c r="A206" s="16"/>
      <c r="B206" s="16" t="s">
        <v>431</v>
      </c>
      <c r="C206" s="17" t="s">
        <v>51</v>
      </c>
      <c r="D206" s="16" t="s">
        <v>432</v>
      </c>
      <c r="E206" s="17" t="b">
        <f t="shared" ref="E206:K206" si="1031">If(IFERROR(SEARCH(E$1, $D206),0) &gt;= 1, true,false)</f>
        <v>0</v>
      </c>
      <c r="F206" s="17" t="b">
        <f t="shared" si="1031"/>
        <v>0</v>
      </c>
      <c r="G206" s="17" t="b">
        <f t="shared" si="1031"/>
        <v>0</v>
      </c>
      <c r="H206" s="17" t="b">
        <f t="shared" si="1031"/>
        <v>0</v>
      </c>
      <c r="I206" s="17" t="b">
        <f t="shared" si="1031"/>
        <v>1</v>
      </c>
      <c r="J206" s="17" t="b">
        <f t="shared" si="1031"/>
        <v>1</v>
      </c>
      <c r="K206" s="17" t="b">
        <f t="shared" si="1031"/>
        <v>0</v>
      </c>
      <c r="L206" s="18" t="b">
        <v>1</v>
      </c>
      <c r="M206" s="18" t="b">
        <v>1</v>
      </c>
      <c r="N206" s="18" t="b">
        <v>0</v>
      </c>
      <c r="O206" s="18" t="b">
        <v>1</v>
      </c>
      <c r="P206" s="16" t="str">
        <f t="shared" si="7"/>
        <v>KANAL | Centre Pompidou</v>
      </c>
      <c r="Q206" s="26">
        <v>0.0</v>
      </c>
      <c r="R206" s="18" t="b">
        <v>1</v>
      </c>
      <c r="S206" s="18" t="b">
        <v>0</v>
      </c>
      <c r="U206" s="21">
        <f t="shared" si="8"/>
        <v>0</v>
      </c>
      <c r="V206" s="21">
        <f t="shared" ref="V206:AB206" si="1032">if(OR(AW206 = $AO$4, AW206 = $AQ$4), 1, 0)</f>
        <v>0</v>
      </c>
      <c r="W206" s="21">
        <f t="shared" si="1032"/>
        <v>0</v>
      </c>
      <c r="X206" s="21">
        <f t="shared" si="1032"/>
        <v>0</v>
      </c>
      <c r="Y206" s="21">
        <f t="shared" si="1032"/>
        <v>0</v>
      </c>
      <c r="Z206" s="21">
        <f t="shared" si="1032"/>
        <v>0</v>
      </c>
      <c r="AA206" s="21">
        <f t="shared" si="1032"/>
        <v>1</v>
      </c>
      <c r="AB206" s="21">
        <f t="shared" si="1032"/>
        <v>0</v>
      </c>
      <c r="AC206" s="21">
        <f t="shared" si="10"/>
        <v>1</v>
      </c>
      <c r="AD206" s="21">
        <f t="shared" si="11"/>
        <v>1</v>
      </c>
      <c r="AE206" s="21">
        <f t="shared" ref="AE206:AH206" si="1033">if(OR(BD206 = $AO$6, BD206 = $AS$6, BD206 = $AT$6, BD206 = $AU$6), 1, 0)</f>
        <v>1</v>
      </c>
      <c r="AF206" s="21">
        <f t="shared" si="1033"/>
        <v>1</v>
      </c>
      <c r="AG206" s="21">
        <f t="shared" si="1033"/>
        <v>0</v>
      </c>
      <c r="AH206" s="21">
        <f t="shared" si="1033"/>
        <v>1</v>
      </c>
      <c r="AI206" s="21">
        <f t="shared" si="13"/>
        <v>3</v>
      </c>
      <c r="AJ206" s="21">
        <f t="shared" si="14"/>
        <v>5</v>
      </c>
      <c r="AK206" s="59">
        <f t="shared" si="15"/>
        <v>3.125</v>
      </c>
      <c r="AL206" s="60" t="str">
        <f t="shared" si="16"/>
        <v>good</v>
      </c>
      <c r="AW206" s="22">
        <f t="shared" ref="AW206:BC206" si="1034">IF(IFERROR(SEARCH(E$1, $D206),0) &gt;= 1, E$1,0)</f>
        <v>0</v>
      </c>
      <c r="AX206" s="22">
        <f t="shared" si="1034"/>
        <v>0</v>
      </c>
      <c r="AY206" s="22">
        <f t="shared" si="1034"/>
        <v>0</v>
      </c>
      <c r="AZ206" s="22">
        <f t="shared" si="1034"/>
        <v>0</v>
      </c>
      <c r="BA206" s="22" t="str">
        <f t="shared" si="1034"/>
        <v>Architectuur</v>
      </c>
      <c r="BB206" s="22" t="str">
        <f t="shared" si="1034"/>
        <v>Beeldende kunst</v>
      </c>
      <c r="BC206" s="22">
        <f t="shared" si="1034"/>
        <v>0</v>
      </c>
      <c r="BD206" s="22" t="str">
        <f t="shared" ref="BD206:BG206" si="1035">IF(L206 = true, BD$1, 0)</f>
        <v>Shop</v>
      </c>
      <c r="BE206" s="22" t="str">
        <f t="shared" si="1035"/>
        <v>Café</v>
      </c>
      <c r="BF206" s="22">
        <f t="shared" si="1035"/>
        <v>0</v>
      </c>
      <c r="BG206" s="22" t="str">
        <f t="shared" si="1035"/>
        <v>Restaurant</v>
      </c>
      <c r="BH206" s="22" t="str">
        <f>IFERROR(__xludf.DUMMYFUNCTION("""COMPUTED_VALUE"""),"Villa Empain - Stichting Boghossian")</f>
        <v>Villa Empain - Stichting Boghossian</v>
      </c>
      <c r="BI206" s="24">
        <f>IFERROR(__xludf.DUMMYFUNCTION("""COMPUTED_VALUE"""),12.0)</f>
        <v>12</v>
      </c>
      <c r="BJ206" s="22" t="b">
        <f>IFERROR(__xludf.DUMMYFUNCTION("""COMPUTED_VALUE"""),FALSE)</f>
        <v>0</v>
      </c>
      <c r="BK206" s="22" t="b">
        <f>IFERROR(__xludf.DUMMYFUNCTION("""COMPUTED_VALUE"""),TRUE)</f>
        <v>1</v>
      </c>
      <c r="BL206" s="24">
        <f>IFERROR(__xludf.DUMMYFUNCTION("""COMPUTED_VALUE"""),12.0)</f>
        <v>12</v>
      </c>
      <c r="BM206" s="22">
        <f>IFERROR(__xludf.DUMMYFUNCTION("""COMPUTED_VALUE"""),0.0)</f>
        <v>0</v>
      </c>
      <c r="BN206" s="22">
        <f>IFERROR(__xludf.DUMMYFUNCTION("""COMPUTED_VALUE"""),0.0)</f>
        <v>0</v>
      </c>
      <c r="BO206" s="22">
        <f>IFERROR(__xludf.DUMMYFUNCTION("""COMPUTED_VALUE"""),0.0)</f>
        <v>0</v>
      </c>
      <c r="BP206" s="22">
        <f>IFERROR(__xludf.DUMMYFUNCTION("""COMPUTED_VALUE"""),0.0)</f>
        <v>0</v>
      </c>
      <c r="BQ206" s="22">
        <f>IFERROR(__xludf.DUMMYFUNCTION("""COMPUTED_VALUE"""),0.0)</f>
        <v>0</v>
      </c>
      <c r="BR206" s="22">
        <f>IFERROR(__xludf.DUMMYFUNCTION("""COMPUTED_VALUE"""),0.0)</f>
        <v>0</v>
      </c>
      <c r="BS206" s="22">
        <f>IFERROR(__xludf.DUMMYFUNCTION("""COMPUTED_VALUE"""),1.0)</f>
        <v>1</v>
      </c>
      <c r="BT206" s="22">
        <f>IFERROR(__xludf.DUMMYFUNCTION("""COMPUTED_VALUE"""),0.0)</f>
        <v>0</v>
      </c>
      <c r="BU206" s="22">
        <f>IFERROR(__xludf.DUMMYFUNCTION("""COMPUTED_VALUE"""),1.0)</f>
        <v>1</v>
      </c>
      <c r="BV206" s="22">
        <f>IFERROR(__xludf.DUMMYFUNCTION("""COMPUTED_VALUE"""),0.0)</f>
        <v>0</v>
      </c>
      <c r="BW206" s="22">
        <f>IFERROR(__xludf.DUMMYFUNCTION("""COMPUTED_VALUE"""),1.0)</f>
        <v>1</v>
      </c>
      <c r="BX206" s="22">
        <f>IFERROR(__xludf.DUMMYFUNCTION("""COMPUTED_VALUE"""),1.0)</f>
        <v>1</v>
      </c>
      <c r="BY206" s="22">
        <f>IFERROR(__xludf.DUMMYFUNCTION("""COMPUTED_VALUE"""),0.0)</f>
        <v>0</v>
      </c>
      <c r="BZ206" s="22">
        <f>IFERROR(__xludf.DUMMYFUNCTION("""COMPUTED_VALUE"""),0.0)</f>
        <v>0</v>
      </c>
      <c r="CA206" s="22">
        <f>IFERROR(__xludf.DUMMYFUNCTION("""COMPUTED_VALUE"""),2.0)</f>
        <v>2</v>
      </c>
      <c r="CB206" s="22">
        <f>IFERROR(__xludf.DUMMYFUNCTION("""COMPUTED_VALUE"""),3.0)</f>
        <v>3</v>
      </c>
      <c r="CC206" s="61">
        <f>IFERROR(__xludf.DUMMYFUNCTION("""COMPUTED_VALUE"""),1.875)</f>
        <v>1.875</v>
      </c>
      <c r="CD206" s="62" t="str">
        <f>IFERROR(__xludf.DUMMYFUNCTION("""COMPUTED_VALUE"""),"subpar")</f>
        <v>subpar</v>
      </c>
      <c r="CE206" s="22" t="s">
        <v>422</v>
      </c>
      <c r="CF206" s="24">
        <v>12.0</v>
      </c>
      <c r="CG206" s="22" t="b">
        <v>0</v>
      </c>
      <c r="CH206" s="22" t="b">
        <v>1</v>
      </c>
      <c r="CI206" s="24">
        <v>12.0</v>
      </c>
      <c r="CJ206" s="22">
        <v>0.0</v>
      </c>
      <c r="CK206" s="22">
        <v>0.0</v>
      </c>
      <c r="CL206" s="22">
        <v>0.0</v>
      </c>
      <c r="CM206" s="22">
        <v>0.0</v>
      </c>
      <c r="CN206" s="22">
        <v>0.0</v>
      </c>
      <c r="CO206" s="22">
        <v>0.0</v>
      </c>
      <c r="CP206" s="22">
        <v>1.0</v>
      </c>
      <c r="CQ206" s="22">
        <v>0.0</v>
      </c>
      <c r="CR206" s="22">
        <v>1.0</v>
      </c>
      <c r="CS206" s="22">
        <v>0.0</v>
      </c>
      <c r="CT206" s="22">
        <v>1.0</v>
      </c>
      <c r="CU206" s="22">
        <v>1.0</v>
      </c>
      <c r="CV206" s="22">
        <v>0.0</v>
      </c>
      <c r="CW206" s="22">
        <v>0.0</v>
      </c>
      <c r="CX206" s="22">
        <v>2.0</v>
      </c>
      <c r="CY206" s="22">
        <v>3.0</v>
      </c>
      <c r="CZ206" s="61">
        <v>1.875</v>
      </c>
      <c r="DA206" s="62" t="s">
        <v>568</v>
      </c>
    </row>
    <row r="207">
      <c r="A207" s="16" t="s">
        <v>433</v>
      </c>
      <c r="B207" s="16"/>
      <c r="C207" s="17" t="s">
        <v>51</v>
      </c>
      <c r="D207" s="16" t="s">
        <v>434</v>
      </c>
      <c r="E207" s="17" t="b">
        <f t="shared" ref="E207:K207" si="1036">If(IFERROR(SEARCH(E$1, $D207),0) &gt;= 1, true,false)</f>
        <v>1</v>
      </c>
      <c r="F207" s="17" t="b">
        <f t="shared" si="1036"/>
        <v>0</v>
      </c>
      <c r="G207" s="17" t="b">
        <f t="shared" si="1036"/>
        <v>0</v>
      </c>
      <c r="H207" s="17" t="b">
        <f t="shared" si="1036"/>
        <v>1</v>
      </c>
      <c r="I207" s="17" t="b">
        <f t="shared" si="1036"/>
        <v>0</v>
      </c>
      <c r="J207" s="17" t="b">
        <f t="shared" si="1036"/>
        <v>1</v>
      </c>
      <c r="K207" s="17" t="b">
        <f t="shared" si="1036"/>
        <v>0</v>
      </c>
      <c r="L207" s="18" t="b">
        <v>1</v>
      </c>
      <c r="M207" s="18" t="b">
        <v>1</v>
      </c>
      <c r="N207" s="18" t="b">
        <v>0</v>
      </c>
      <c r="O207" s="18" t="b">
        <v>1</v>
      </c>
      <c r="P207" s="16" t="str">
        <f t="shared" si="7"/>
        <v>KBR museum</v>
      </c>
      <c r="Q207" s="19">
        <v>11.0</v>
      </c>
      <c r="R207" s="18" t="b">
        <v>0</v>
      </c>
      <c r="S207" s="18" t="b">
        <v>0</v>
      </c>
      <c r="U207" s="21">
        <f t="shared" si="8"/>
        <v>0</v>
      </c>
      <c r="V207" s="21">
        <f t="shared" ref="V207:AB207" si="1037">if(OR(AW207 = $AO$4, AW207 = $AQ$4), 1, 0)</f>
        <v>1</v>
      </c>
      <c r="W207" s="21">
        <f t="shared" si="1037"/>
        <v>0</v>
      </c>
      <c r="X207" s="21">
        <f t="shared" si="1037"/>
        <v>0</v>
      </c>
      <c r="Y207" s="21">
        <f t="shared" si="1037"/>
        <v>0</v>
      </c>
      <c r="Z207" s="21">
        <f t="shared" si="1037"/>
        <v>0</v>
      </c>
      <c r="AA207" s="21">
        <f t="shared" si="1037"/>
        <v>1</v>
      </c>
      <c r="AB207" s="21">
        <f t="shared" si="1037"/>
        <v>0</v>
      </c>
      <c r="AC207" s="21">
        <f t="shared" si="10"/>
        <v>2</v>
      </c>
      <c r="AD207" s="21">
        <f t="shared" si="11"/>
        <v>0</v>
      </c>
      <c r="AE207" s="21">
        <f t="shared" ref="AE207:AH207" si="1038">if(OR(BD207 = $AO$6, BD207 = $AS$6, BD207 = $AT$6, BD207 = $AU$6), 1, 0)</f>
        <v>1</v>
      </c>
      <c r="AF207" s="21">
        <f t="shared" si="1038"/>
        <v>1</v>
      </c>
      <c r="AG207" s="21">
        <f t="shared" si="1038"/>
        <v>0</v>
      </c>
      <c r="AH207" s="21">
        <f t="shared" si="1038"/>
        <v>1</v>
      </c>
      <c r="AI207" s="21">
        <f t="shared" si="13"/>
        <v>3</v>
      </c>
      <c r="AJ207" s="21">
        <f t="shared" si="14"/>
        <v>5</v>
      </c>
      <c r="AK207" s="59">
        <f t="shared" si="15"/>
        <v>3.125</v>
      </c>
      <c r="AL207" s="60" t="str">
        <f t="shared" si="16"/>
        <v>good</v>
      </c>
      <c r="AW207" s="22" t="str">
        <f t="shared" ref="AW207:BC207" si="1039">IF(IFERROR(SEARCH(E$1, $D207),0) &gt;= 1, E$1,0)</f>
        <v>Geschiedenis en archeologie</v>
      </c>
      <c r="AX207" s="22">
        <f t="shared" si="1039"/>
        <v>0</v>
      </c>
      <c r="AY207" s="22">
        <f t="shared" si="1039"/>
        <v>0</v>
      </c>
      <c r="AZ207" s="22" t="str">
        <f t="shared" si="1039"/>
        <v>Literatuur</v>
      </c>
      <c r="BA207" s="22">
        <f t="shared" si="1039"/>
        <v>0</v>
      </c>
      <c r="BB207" s="22" t="str">
        <f t="shared" si="1039"/>
        <v>Beeldende kunst</v>
      </c>
      <c r="BC207" s="22">
        <f t="shared" si="1039"/>
        <v>0</v>
      </c>
      <c r="BD207" s="22" t="str">
        <f t="shared" ref="BD207:BG207" si="1040">IF(L207 = true, BD$1, 0)</f>
        <v>Shop</v>
      </c>
      <c r="BE207" s="22" t="str">
        <f t="shared" si="1040"/>
        <v>Café</v>
      </c>
      <c r="BF207" s="22">
        <f t="shared" si="1040"/>
        <v>0</v>
      </c>
      <c r="BG207" s="22" t="str">
        <f t="shared" si="1040"/>
        <v>Restaurant</v>
      </c>
      <c r="BH207" s="22" t="str">
        <f>IFERROR(__xludf.DUMMYFUNCTION("""COMPUTED_VALUE"""),"iMAL")</f>
        <v>iMAL</v>
      </c>
      <c r="BI207" s="24">
        <f>IFERROR(__xludf.DUMMYFUNCTION("""COMPUTED_VALUE"""),10.0)</f>
        <v>10</v>
      </c>
      <c r="BJ207" s="22" t="b">
        <f>IFERROR(__xludf.DUMMYFUNCTION("""COMPUTED_VALUE"""),FALSE)</f>
        <v>0</v>
      </c>
      <c r="BK207" s="22" t="b">
        <f>IFERROR(__xludf.DUMMYFUNCTION("""COMPUTED_VALUE"""),TRUE)</f>
        <v>1</v>
      </c>
      <c r="BL207" s="24">
        <f>IFERROR(__xludf.DUMMYFUNCTION("""COMPUTED_VALUE"""),0.0)</f>
        <v>0</v>
      </c>
      <c r="BM207" s="22">
        <f>IFERROR(__xludf.DUMMYFUNCTION("""COMPUTED_VALUE"""),0.0)</f>
        <v>0</v>
      </c>
      <c r="BN207" s="22">
        <f>IFERROR(__xludf.DUMMYFUNCTION("""COMPUTED_VALUE"""),0.0)</f>
        <v>0</v>
      </c>
      <c r="BO207" s="22">
        <f>IFERROR(__xludf.DUMMYFUNCTION("""COMPUTED_VALUE"""),0.0)</f>
        <v>0</v>
      </c>
      <c r="BP207" s="22">
        <f>IFERROR(__xludf.DUMMYFUNCTION("""COMPUTED_VALUE"""),0.0)</f>
        <v>0</v>
      </c>
      <c r="BQ207" s="22">
        <f>IFERROR(__xludf.DUMMYFUNCTION("""COMPUTED_VALUE"""),0.0)</f>
        <v>0</v>
      </c>
      <c r="BR207" s="22">
        <f>IFERROR(__xludf.DUMMYFUNCTION("""COMPUTED_VALUE"""),0.0)</f>
        <v>0</v>
      </c>
      <c r="BS207" s="22">
        <f>IFERROR(__xludf.DUMMYFUNCTION("""COMPUTED_VALUE"""),1.0)</f>
        <v>1</v>
      </c>
      <c r="BT207" s="22">
        <f>IFERROR(__xludf.DUMMYFUNCTION("""COMPUTED_VALUE"""),0.0)</f>
        <v>0</v>
      </c>
      <c r="BU207" s="22">
        <f>IFERROR(__xludf.DUMMYFUNCTION("""COMPUTED_VALUE"""),1.0)</f>
        <v>1</v>
      </c>
      <c r="BV207" s="22">
        <f>IFERROR(__xludf.DUMMYFUNCTION("""COMPUTED_VALUE"""),1.0)</f>
        <v>1</v>
      </c>
      <c r="BW207" s="22">
        <f>IFERROR(__xludf.DUMMYFUNCTION("""COMPUTED_VALUE"""),0.0)</f>
        <v>0</v>
      </c>
      <c r="BX207" s="22">
        <f>IFERROR(__xludf.DUMMYFUNCTION("""COMPUTED_VALUE"""),1.0)</f>
        <v>1</v>
      </c>
      <c r="BY207" s="22">
        <f>IFERROR(__xludf.DUMMYFUNCTION("""COMPUTED_VALUE"""),0.0)</f>
        <v>0</v>
      </c>
      <c r="BZ207" s="22">
        <f>IFERROR(__xludf.DUMMYFUNCTION("""COMPUTED_VALUE"""),0.0)</f>
        <v>0</v>
      </c>
      <c r="CA207" s="22">
        <f>IFERROR(__xludf.DUMMYFUNCTION("""COMPUTED_VALUE"""),1.0)</f>
        <v>1</v>
      </c>
      <c r="CB207" s="22">
        <f>IFERROR(__xludf.DUMMYFUNCTION("""COMPUTED_VALUE"""),3.0)</f>
        <v>3</v>
      </c>
      <c r="CC207" s="61">
        <f>IFERROR(__xludf.DUMMYFUNCTION("""COMPUTED_VALUE"""),1.875)</f>
        <v>1.875</v>
      </c>
      <c r="CD207" s="62" t="str">
        <f>IFERROR(__xludf.DUMMYFUNCTION("""COMPUTED_VALUE"""),"subpar")</f>
        <v>subpar</v>
      </c>
      <c r="CE207" s="22" t="s">
        <v>429</v>
      </c>
      <c r="CF207" s="24">
        <v>10.0</v>
      </c>
      <c r="CG207" s="22" t="b">
        <v>0</v>
      </c>
      <c r="CH207" s="22" t="b">
        <v>1</v>
      </c>
      <c r="CI207" s="24">
        <v>0.0</v>
      </c>
      <c r="CJ207" s="22">
        <v>0.0</v>
      </c>
      <c r="CK207" s="22">
        <v>0.0</v>
      </c>
      <c r="CL207" s="22">
        <v>0.0</v>
      </c>
      <c r="CM207" s="22">
        <v>0.0</v>
      </c>
      <c r="CN207" s="22">
        <v>0.0</v>
      </c>
      <c r="CO207" s="22">
        <v>0.0</v>
      </c>
      <c r="CP207" s="22">
        <v>1.0</v>
      </c>
      <c r="CQ207" s="22">
        <v>0.0</v>
      </c>
      <c r="CR207" s="22">
        <v>1.0</v>
      </c>
      <c r="CS207" s="22">
        <v>1.0</v>
      </c>
      <c r="CT207" s="22">
        <v>0.0</v>
      </c>
      <c r="CU207" s="22">
        <v>1.0</v>
      </c>
      <c r="CV207" s="22">
        <v>0.0</v>
      </c>
      <c r="CW207" s="22">
        <v>0.0</v>
      </c>
      <c r="CX207" s="22">
        <v>1.0</v>
      </c>
      <c r="CY207" s="22">
        <v>3.0</v>
      </c>
      <c r="CZ207" s="61">
        <v>1.875</v>
      </c>
      <c r="DA207" s="62" t="s">
        <v>568</v>
      </c>
    </row>
    <row r="208">
      <c r="A208" s="16" t="s">
        <v>435</v>
      </c>
      <c r="B208" s="16" t="s">
        <v>436</v>
      </c>
      <c r="C208" s="17" t="s">
        <v>51</v>
      </c>
      <c r="D208" s="16" t="s">
        <v>437</v>
      </c>
      <c r="E208" s="17" t="b">
        <f t="shared" ref="E208:K208" si="1041">If(IFERROR(SEARCH(E$1, $D208),0) &gt;= 1, true,false)</f>
        <v>1</v>
      </c>
      <c r="F208" s="17" t="b">
        <f t="shared" si="1041"/>
        <v>0</v>
      </c>
      <c r="G208" s="17" t="b">
        <f t="shared" si="1041"/>
        <v>0</v>
      </c>
      <c r="H208" s="17" t="b">
        <f t="shared" si="1041"/>
        <v>0</v>
      </c>
      <c r="I208" s="17" t="b">
        <f t="shared" si="1041"/>
        <v>1</v>
      </c>
      <c r="J208" s="17" t="b">
        <f t="shared" si="1041"/>
        <v>0</v>
      </c>
      <c r="K208" s="17" t="b">
        <f t="shared" si="1041"/>
        <v>1</v>
      </c>
      <c r="L208" s="18" t="b">
        <v>1</v>
      </c>
      <c r="M208" s="18" t="b">
        <v>0</v>
      </c>
      <c r="N208" s="18" t="b">
        <v>0</v>
      </c>
      <c r="O208" s="18" t="b">
        <v>0</v>
      </c>
      <c r="P208" s="16" t="str">
        <f t="shared" si="7"/>
        <v>LAB·AN x Hotel van Eetvelde</v>
      </c>
      <c r="Q208" s="19">
        <v>12.0</v>
      </c>
      <c r="R208" s="18" t="b">
        <v>0</v>
      </c>
      <c r="S208" s="18" t="b">
        <v>0</v>
      </c>
      <c r="U208" s="21">
        <f t="shared" si="8"/>
        <v>0</v>
      </c>
      <c r="V208" s="21">
        <f t="shared" ref="V208:AB208" si="1042">if(OR(AW208 = $AO$4, AW208 = $AQ$4), 1, 0)</f>
        <v>1</v>
      </c>
      <c r="W208" s="21">
        <f t="shared" si="1042"/>
        <v>0</v>
      </c>
      <c r="X208" s="21">
        <f t="shared" si="1042"/>
        <v>0</v>
      </c>
      <c r="Y208" s="21">
        <f t="shared" si="1042"/>
        <v>0</v>
      </c>
      <c r="Z208" s="21">
        <f t="shared" si="1042"/>
        <v>0</v>
      </c>
      <c r="AA208" s="21">
        <f t="shared" si="1042"/>
        <v>0</v>
      </c>
      <c r="AB208" s="21">
        <f t="shared" si="1042"/>
        <v>0</v>
      </c>
      <c r="AC208" s="21">
        <f t="shared" si="10"/>
        <v>1</v>
      </c>
      <c r="AD208" s="21">
        <f t="shared" si="11"/>
        <v>0</v>
      </c>
      <c r="AE208" s="21">
        <f t="shared" ref="AE208:AH208" si="1043">if(OR(BD208 = $AO$6, BD208 = $AS$6, BD208 = $AT$6, BD208 = $AU$6), 1, 0)</f>
        <v>1</v>
      </c>
      <c r="AF208" s="21">
        <f t="shared" si="1043"/>
        <v>0</v>
      </c>
      <c r="AG208" s="21">
        <f t="shared" si="1043"/>
        <v>0</v>
      </c>
      <c r="AH208" s="21">
        <f t="shared" si="1043"/>
        <v>0</v>
      </c>
      <c r="AI208" s="21">
        <f t="shared" si="13"/>
        <v>1</v>
      </c>
      <c r="AJ208" s="21">
        <f t="shared" si="14"/>
        <v>2</v>
      </c>
      <c r="AK208" s="59">
        <f t="shared" si="15"/>
        <v>1.25</v>
      </c>
      <c r="AL208" s="60" t="str">
        <f t="shared" si="16"/>
        <v>subpar</v>
      </c>
      <c r="AW208" s="22" t="str">
        <f t="shared" ref="AW208:BC208" si="1044">IF(IFERROR(SEARCH(E$1, $D208),0) &gt;= 1, E$1,0)</f>
        <v>Geschiedenis en archeologie</v>
      </c>
      <c r="AX208" s="22">
        <f t="shared" si="1044"/>
        <v>0</v>
      </c>
      <c r="AY208" s="22">
        <f t="shared" si="1044"/>
        <v>0</v>
      </c>
      <c r="AZ208" s="22">
        <f t="shared" si="1044"/>
        <v>0</v>
      </c>
      <c r="BA208" s="22" t="str">
        <f t="shared" si="1044"/>
        <v>Architectuur</v>
      </c>
      <c r="BB208" s="22">
        <f t="shared" si="1044"/>
        <v>0</v>
      </c>
      <c r="BC208" s="22" t="str">
        <f t="shared" si="1044"/>
        <v>Toegepaste kunst en design</v>
      </c>
      <c r="BD208" s="22" t="str">
        <f t="shared" ref="BD208:BG208" si="1045">IF(L208 = true, BD$1, 0)</f>
        <v>Shop</v>
      </c>
      <c r="BE208" s="22">
        <f t="shared" si="1045"/>
        <v>0</v>
      </c>
      <c r="BF208" s="22">
        <f t="shared" si="1045"/>
        <v>0</v>
      </c>
      <c r="BG208" s="22">
        <f t="shared" si="1045"/>
        <v>0</v>
      </c>
      <c r="BH208" s="22" t="str">
        <f>IFERROR(__xludf.DUMMYFUNCTION("""COMPUTED_VALUE"""),"Brussels Museum voor Arbeid en Industrie")</f>
        <v>Brussels Museum voor Arbeid en Industrie</v>
      </c>
      <c r="BI208" s="24">
        <f>IFERROR(__xludf.DUMMYFUNCTION("""COMPUTED_VALUE"""),8.0)</f>
        <v>8</v>
      </c>
      <c r="BJ208" s="22" t="b">
        <f>IFERROR(__xludf.DUMMYFUNCTION("""COMPUTED_VALUE"""),FALSE)</f>
        <v>0</v>
      </c>
      <c r="BK208" s="22" t="b">
        <f>IFERROR(__xludf.DUMMYFUNCTION("""COMPUTED_VALUE"""),TRUE)</f>
        <v>1</v>
      </c>
      <c r="BL208" s="24">
        <f>IFERROR(__xludf.DUMMYFUNCTION("""COMPUTED_VALUE"""),8.0)</f>
        <v>8</v>
      </c>
      <c r="BM208" s="22">
        <f>IFERROR(__xludf.DUMMYFUNCTION("""COMPUTED_VALUE"""),0.0)</f>
        <v>0</v>
      </c>
      <c r="BN208" s="22">
        <f>IFERROR(__xludf.DUMMYFUNCTION("""COMPUTED_VALUE"""),1.0)</f>
        <v>1</v>
      </c>
      <c r="BO208" s="22">
        <f>IFERROR(__xludf.DUMMYFUNCTION("""COMPUTED_VALUE"""),0.0)</f>
        <v>0</v>
      </c>
      <c r="BP208" s="22">
        <f>IFERROR(__xludf.DUMMYFUNCTION("""COMPUTED_VALUE"""),0.0)</f>
        <v>0</v>
      </c>
      <c r="BQ208" s="22">
        <f>IFERROR(__xludf.DUMMYFUNCTION("""COMPUTED_VALUE"""),0.0)</f>
        <v>0</v>
      </c>
      <c r="BR208" s="22">
        <f>IFERROR(__xludf.DUMMYFUNCTION("""COMPUTED_VALUE"""),0.0)</f>
        <v>0</v>
      </c>
      <c r="BS208" s="22">
        <f>IFERROR(__xludf.DUMMYFUNCTION("""COMPUTED_VALUE"""),0.0)</f>
        <v>0</v>
      </c>
      <c r="BT208" s="22">
        <f>IFERROR(__xludf.DUMMYFUNCTION("""COMPUTED_VALUE"""),0.0)</f>
        <v>0</v>
      </c>
      <c r="BU208" s="22">
        <f>IFERROR(__xludf.DUMMYFUNCTION("""COMPUTED_VALUE"""),1.0)</f>
        <v>1</v>
      </c>
      <c r="BV208" s="22">
        <f>IFERROR(__xludf.DUMMYFUNCTION("""COMPUTED_VALUE"""),1.0)</f>
        <v>1</v>
      </c>
      <c r="BW208" s="22">
        <f>IFERROR(__xludf.DUMMYFUNCTION("""COMPUTED_VALUE"""),0.0)</f>
        <v>0</v>
      </c>
      <c r="BX208" s="22">
        <f>IFERROR(__xludf.DUMMYFUNCTION("""COMPUTED_VALUE"""),1.0)</f>
        <v>1</v>
      </c>
      <c r="BY208" s="22">
        <f>IFERROR(__xludf.DUMMYFUNCTION("""COMPUTED_VALUE"""),0.0)</f>
        <v>0</v>
      </c>
      <c r="BZ208" s="22">
        <f>IFERROR(__xludf.DUMMYFUNCTION("""COMPUTED_VALUE"""),0.0)</f>
        <v>0</v>
      </c>
      <c r="CA208" s="22">
        <f>IFERROR(__xludf.DUMMYFUNCTION("""COMPUTED_VALUE"""),1.0)</f>
        <v>1</v>
      </c>
      <c r="CB208" s="22">
        <f>IFERROR(__xludf.DUMMYFUNCTION("""COMPUTED_VALUE"""),3.0)</f>
        <v>3</v>
      </c>
      <c r="CC208" s="61">
        <f>IFERROR(__xludf.DUMMYFUNCTION("""COMPUTED_VALUE"""),1.875)</f>
        <v>1.875</v>
      </c>
      <c r="CD208" s="62" t="str">
        <f>IFERROR(__xludf.DUMMYFUNCTION("""COMPUTED_VALUE"""),"subpar")</f>
        <v>subpar</v>
      </c>
      <c r="CE208" s="22" t="s">
        <v>438</v>
      </c>
      <c r="CF208" s="24">
        <v>8.0</v>
      </c>
      <c r="CG208" s="22" t="b">
        <v>0</v>
      </c>
      <c r="CH208" s="22" t="b">
        <v>1</v>
      </c>
      <c r="CI208" s="24">
        <v>8.0</v>
      </c>
      <c r="CJ208" s="22">
        <v>0.0</v>
      </c>
      <c r="CK208" s="22">
        <v>1.0</v>
      </c>
      <c r="CL208" s="22">
        <v>0.0</v>
      </c>
      <c r="CM208" s="22">
        <v>0.0</v>
      </c>
      <c r="CN208" s="22">
        <v>0.0</v>
      </c>
      <c r="CO208" s="22">
        <v>0.0</v>
      </c>
      <c r="CP208" s="22">
        <v>0.0</v>
      </c>
      <c r="CQ208" s="22">
        <v>0.0</v>
      </c>
      <c r="CR208" s="22">
        <v>1.0</v>
      </c>
      <c r="CS208" s="22">
        <v>1.0</v>
      </c>
      <c r="CT208" s="22">
        <v>0.0</v>
      </c>
      <c r="CU208" s="22">
        <v>1.0</v>
      </c>
      <c r="CV208" s="22">
        <v>0.0</v>
      </c>
      <c r="CW208" s="22">
        <v>0.0</v>
      </c>
      <c r="CX208" s="22">
        <v>1.0</v>
      </c>
      <c r="CY208" s="22">
        <v>3.0</v>
      </c>
      <c r="CZ208" s="61">
        <v>1.875</v>
      </c>
      <c r="DA208" s="62" t="s">
        <v>568</v>
      </c>
    </row>
    <row r="209">
      <c r="A209" s="16" t="s">
        <v>438</v>
      </c>
      <c r="B209" s="16" t="s">
        <v>439</v>
      </c>
      <c r="C209" s="17" t="s">
        <v>51</v>
      </c>
      <c r="D209" s="16" t="s">
        <v>4</v>
      </c>
      <c r="E209" s="17" t="b">
        <f t="shared" ref="E209:K209" si="1046">If(IFERROR(SEARCH(E$1, $D209),0) &gt;= 1, true,false)</f>
        <v>1</v>
      </c>
      <c r="F209" s="17" t="b">
        <f t="shared" si="1046"/>
        <v>0</v>
      </c>
      <c r="G209" s="17" t="b">
        <f t="shared" si="1046"/>
        <v>0</v>
      </c>
      <c r="H209" s="17" t="b">
        <f t="shared" si="1046"/>
        <v>0</v>
      </c>
      <c r="I209" s="17" t="b">
        <f t="shared" si="1046"/>
        <v>0</v>
      </c>
      <c r="J209" s="17" t="b">
        <f t="shared" si="1046"/>
        <v>0</v>
      </c>
      <c r="K209" s="17" t="b">
        <f t="shared" si="1046"/>
        <v>0</v>
      </c>
      <c r="L209" s="18" t="b">
        <v>0</v>
      </c>
      <c r="M209" s="18" t="b">
        <v>1</v>
      </c>
      <c r="N209" s="18" t="b">
        <v>0</v>
      </c>
      <c r="O209" s="18" t="b">
        <v>0</v>
      </c>
      <c r="P209" s="16" t="str">
        <f t="shared" si="7"/>
        <v>Brussels Museum voor Arbeid en Industrie</v>
      </c>
      <c r="Q209" s="19">
        <v>8.0</v>
      </c>
      <c r="R209" s="18" t="b">
        <v>0</v>
      </c>
      <c r="S209" s="18" t="b">
        <v>1</v>
      </c>
      <c r="T209" s="27">
        <v>8.0</v>
      </c>
      <c r="U209" s="21">
        <f t="shared" si="8"/>
        <v>0</v>
      </c>
      <c r="V209" s="21">
        <f t="shared" ref="V209:AB209" si="1047">if(OR(AW209 = $AO$4, AW209 = $AQ$4), 1, 0)</f>
        <v>1</v>
      </c>
      <c r="W209" s="21">
        <f t="shared" si="1047"/>
        <v>0</v>
      </c>
      <c r="X209" s="21">
        <f t="shared" si="1047"/>
        <v>0</v>
      </c>
      <c r="Y209" s="21">
        <f t="shared" si="1047"/>
        <v>0</v>
      </c>
      <c r="Z209" s="21">
        <f t="shared" si="1047"/>
        <v>0</v>
      </c>
      <c r="AA209" s="21">
        <f t="shared" si="1047"/>
        <v>0</v>
      </c>
      <c r="AB209" s="21">
        <f t="shared" si="1047"/>
        <v>0</v>
      </c>
      <c r="AC209" s="21">
        <f t="shared" si="10"/>
        <v>1</v>
      </c>
      <c r="AD209" s="21">
        <f t="shared" si="11"/>
        <v>1</v>
      </c>
      <c r="AE209" s="21">
        <f t="shared" ref="AE209:AH209" si="1048">if(OR(BD209 = $AO$6, BD209 = $AS$6, BD209 = $AT$6, BD209 = $AU$6), 1, 0)</f>
        <v>0</v>
      </c>
      <c r="AF209" s="21">
        <f t="shared" si="1048"/>
        <v>1</v>
      </c>
      <c r="AG209" s="21">
        <f t="shared" si="1048"/>
        <v>0</v>
      </c>
      <c r="AH209" s="21">
        <f t="shared" si="1048"/>
        <v>0</v>
      </c>
      <c r="AI209" s="21">
        <f t="shared" si="13"/>
        <v>1</v>
      </c>
      <c r="AJ209" s="21">
        <f t="shared" si="14"/>
        <v>3</v>
      </c>
      <c r="AK209" s="59">
        <f t="shared" si="15"/>
        <v>1.875</v>
      </c>
      <c r="AL209" s="60" t="str">
        <f t="shared" si="16"/>
        <v>subpar</v>
      </c>
      <c r="AW209" s="22" t="str">
        <f t="shared" ref="AW209:BC209" si="1049">IF(IFERROR(SEARCH(E$1, $D209),0) &gt;= 1, E$1,0)</f>
        <v>Geschiedenis en archeologie</v>
      </c>
      <c r="AX209" s="22">
        <f t="shared" si="1049"/>
        <v>0</v>
      </c>
      <c r="AY209" s="22">
        <f t="shared" si="1049"/>
        <v>0</v>
      </c>
      <c r="AZ209" s="22">
        <f t="shared" si="1049"/>
        <v>0</v>
      </c>
      <c r="BA209" s="22">
        <f t="shared" si="1049"/>
        <v>0</v>
      </c>
      <c r="BB209" s="22">
        <f t="shared" si="1049"/>
        <v>0</v>
      </c>
      <c r="BC209" s="22">
        <f t="shared" si="1049"/>
        <v>0</v>
      </c>
      <c r="BD209" s="22">
        <f t="shared" ref="BD209:BG209" si="1050">IF(L209 = true, BD$1, 0)</f>
        <v>0</v>
      </c>
      <c r="BE209" s="22" t="str">
        <f t="shared" si="1050"/>
        <v>Café</v>
      </c>
      <c r="BF209" s="22">
        <f t="shared" si="1050"/>
        <v>0</v>
      </c>
      <c r="BG209" s="22">
        <f t="shared" si="1050"/>
        <v>0</v>
      </c>
      <c r="BH209" s="22" t="str">
        <f>IFERROR(__xludf.DUMMYFUNCTION("""COMPUTED_VALUE"""),"Gemeentelijk Museum van Sint-Jans-Molenbeek")</f>
        <v>Gemeentelijk Museum van Sint-Jans-Molenbeek</v>
      </c>
      <c r="BI209" s="24">
        <f>IFERROR(__xludf.DUMMYFUNCTION("""COMPUTED_VALUE"""),5.0)</f>
        <v>5</v>
      </c>
      <c r="BJ209" s="22" t="b">
        <f>IFERROR(__xludf.DUMMYFUNCTION("""COMPUTED_VALUE"""),FALSE)</f>
        <v>0</v>
      </c>
      <c r="BK209" s="22" t="b">
        <f>IFERROR(__xludf.DUMMYFUNCTION("""COMPUTED_VALUE"""),FALSE)</f>
        <v>0</v>
      </c>
      <c r="BL209" s="22"/>
      <c r="BM209" s="22">
        <f>IFERROR(__xludf.DUMMYFUNCTION("""COMPUTED_VALUE"""),0.0)</f>
        <v>0</v>
      </c>
      <c r="BN209" s="22">
        <f>IFERROR(__xludf.DUMMYFUNCTION("""COMPUTED_VALUE"""),1.0)</f>
        <v>1</v>
      </c>
      <c r="BO209" s="22">
        <f>IFERROR(__xludf.DUMMYFUNCTION("""COMPUTED_VALUE"""),0.0)</f>
        <v>0</v>
      </c>
      <c r="BP209" s="22">
        <f>IFERROR(__xludf.DUMMYFUNCTION("""COMPUTED_VALUE"""),0.0)</f>
        <v>0</v>
      </c>
      <c r="BQ209" s="22">
        <f>IFERROR(__xludf.DUMMYFUNCTION("""COMPUTED_VALUE"""),0.0)</f>
        <v>0</v>
      </c>
      <c r="BR209" s="22">
        <f>IFERROR(__xludf.DUMMYFUNCTION("""COMPUTED_VALUE"""),0.0)</f>
        <v>0</v>
      </c>
      <c r="BS209" s="22">
        <f>IFERROR(__xludf.DUMMYFUNCTION("""COMPUTED_VALUE"""),0.0)</f>
        <v>0</v>
      </c>
      <c r="BT209" s="22">
        <f>IFERROR(__xludf.DUMMYFUNCTION("""COMPUTED_VALUE"""),0.0)</f>
        <v>0</v>
      </c>
      <c r="BU209" s="22">
        <f>IFERROR(__xludf.DUMMYFUNCTION("""COMPUTED_VALUE"""),1.0)</f>
        <v>1</v>
      </c>
      <c r="BV209" s="22">
        <f>IFERROR(__xludf.DUMMYFUNCTION("""COMPUTED_VALUE"""),1.0)</f>
        <v>1</v>
      </c>
      <c r="BW209" s="22">
        <f>IFERROR(__xludf.DUMMYFUNCTION("""COMPUTED_VALUE"""),0.0)</f>
        <v>0</v>
      </c>
      <c r="BX209" s="22">
        <f>IFERROR(__xludf.DUMMYFUNCTION("""COMPUTED_VALUE"""),0.0)</f>
        <v>0</v>
      </c>
      <c r="BY209" s="22">
        <f>IFERROR(__xludf.DUMMYFUNCTION("""COMPUTED_VALUE"""),1.0)</f>
        <v>1</v>
      </c>
      <c r="BZ209" s="22">
        <f>IFERROR(__xludf.DUMMYFUNCTION("""COMPUTED_VALUE"""),0.0)</f>
        <v>0</v>
      </c>
      <c r="CA209" s="22">
        <f>IFERROR(__xludf.DUMMYFUNCTION("""COMPUTED_VALUE"""),1.0)</f>
        <v>1</v>
      </c>
      <c r="CB209" s="22">
        <f>IFERROR(__xludf.DUMMYFUNCTION("""COMPUTED_VALUE"""),3.0)</f>
        <v>3</v>
      </c>
      <c r="CC209" s="61">
        <f>IFERROR(__xludf.DUMMYFUNCTION("""COMPUTED_VALUE"""),1.875)</f>
        <v>1.875</v>
      </c>
      <c r="CD209" s="62" t="str">
        <f>IFERROR(__xludf.DUMMYFUNCTION("""COMPUTED_VALUE"""),"subpar")</f>
        <v>subpar</v>
      </c>
      <c r="CE209" s="22" t="s">
        <v>452</v>
      </c>
      <c r="CF209" s="24">
        <v>5.0</v>
      </c>
      <c r="CG209" s="22" t="b">
        <v>0</v>
      </c>
      <c r="CH209" s="22" t="b">
        <v>0</v>
      </c>
      <c r="CI209" s="22"/>
      <c r="CJ209" s="22">
        <v>0.0</v>
      </c>
      <c r="CK209" s="22">
        <v>1.0</v>
      </c>
      <c r="CL209" s="22">
        <v>0.0</v>
      </c>
      <c r="CM209" s="22">
        <v>0.0</v>
      </c>
      <c r="CN209" s="22">
        <v>0.0</v>
      </c>
      <c r="CO209" s="22">
        <v>0.0</v>
      </c>
      <c r="CP209" s="22">
        <v>0.0</v>
      </c>
      <c r="CQ209" s="22">
        <v>0.0</v>
      </c>
      <c r="CR209" s="22">
        <v>1.0</v>
      </c>
      <c r="CS209" s="22">
        <v>1.0</v>
      </c>
      <c r="CT209" s="22">
        <v>0.0</v>
      </c>
      <c r="CU209" s="22">
        <v>0.0</v>
      </c>
      <c r="CV209" s="22">
        <v>1.0</v>
      </c>
      <c r="CW209" s="22">
        <v>0.0</v>
      </c>
      <c r="CX209" s="22">
        <v>1.0</v>
      </c>
      <c r="CY209" s="22">
        <v>3.0</v>
      </c>
      <c r="CZ209" s="61">
        <v>1.875</v>
      </c>
      <c r="DA209" s="62" t="s">
        <v>568</v>
      </c>
    </row>
    <row r="210">
      <c r="A210" s="16" t="s">
        <v>440</v>
      </c>
      <c r="B210" s="16" t="s">
        <v>441</v>
      </c>
      <c r="C210" s="17" t="s">
        <v>51</v>
      </c>
      <c r="D210" s="16" t="s">
        <v>341</v>
      </c>
      <c r="E210" s="17" t="b">
        <f t="shared" ref="E210:K210" si="1051">If(IFERROR(SEARCH(E$1, $D210),0) &gt;= 1, true,false)</f>
        <v>0</v>
      </c>
      <c r="F210" s="17" t="b">
        <f t="shared" si="1051"/>
        <v>0</v>
      </c>
      <c r="G210" s="17" t="b">
        <f t="shared" si="1051"/>
        <v>0</v>
      </c>
      <c r="H210" s="17" t="b">
        <f t="shared" si="1051"/>
        <v>0</v>
      </c>
      <c r="I210" s="17" t="b">
        <f t="shared" si="1051"/>
        <v>1</v>
      </c>
      <c r="J210" s="17" t="b">
        <f t="shared" si="1051"/>
        <v>0</v>
      </c>
      <c r="K210" s="17" t="b">
        <f t="shared" si="1051"/>
        <v>0</v>
      </c>
      <c r="L210" s="18" t="b">
        <v>1</v>
      </c>
      <c r="M210" s="18" t="b">
        <v>0</v>
      </c>
      <c r="N210" s="18" t="b">
        <v>0</v>
      </c>
      <c r="O210" s="18" t="b">
        <v>0</v>
      </c>
      <c r="P210" s="16" t="str">
        <f t="shared" si="7"/>
        <v>Het Autrique Huis</v>
      </c>
      <c r="Q210" s="19">
        <v>9.0</v>
      </c>
      <c r="R210" s="18" t="b">
        <v>0</v>
      </c>
      <c r="S210" s="18" t="b">
        <v>0</v>
      </c>
      <c r="U210" s="21">
        <f t="shared" si="8"/>
        <v>0</v>
      </c>
      <c r="V210" s="21">
        <f t="shared" ref="V210:AB210" si="1052">if(OR(AW210 = $AO$4, AW210 = $AQ$4), 1, 0)</f>
        <v>0</v>
      </c>
      <c r="W210" s="21">
        <f t="shared" si="1052"/>
        <v>0</v>
      </c>
      <c r="X210" s="21">
        <f t="shared" si="1052"/>
        <v>0</v>
      </c>
      <c r="Y210" s="21">
        <f t="shared" si="1052"/>
        <v>0</v>
      </c>
      <c r="Z210" s="21">
        <f t="shared" si="1052"/>
        <v>0</v>
      </c>
      <c r="AA210" s="21">
        <f t="shared" si="1052"/>
        <v>0</v>
      </c>
      <c r="AB210" s="21">
        <f t="shared" si="1052"/>
        <v>0</v>
      </c>
      <c r="AC210" s="21">
        <f t="shared" si="10"/>
        <v>0</v>
      </c>
      <c r="AD210" s="21">
        <f t="shared" si="11"/>
        <v>1</v>
      </c>
      <c r="AE210" s="21">
        <f t="shared" ref="AE210:AH210" si="1053">if(OR(BD210 = $AO$6, BD210 = $AS$6, BD210 = $AT$6, BD210 = $AU$6), 1, 0)</f>
        <v>1</v>
      </c>
      <c r="AF210" s="21">
        <f t="shared" si="1053"/>
        <v>0</v>
      </c>
      <c r="AG210" s="21">
        <f t="shared" si="1053"/>
        <v>0</v>
      </c>
      <c r="AH210" s="21">
        <f t="shared" si="1053"/>
        <v>0</v>
      </c>
      <c r="AI210" s="21">
        <f t="shared" si="13"/>
        <v>1</v>
      </c>
      <c r="AJ210" s="21">
        <f t="shared" si="14"/>
        <v>2</v>
      </c>
      <c r="AK210" s="59">
        <f t="shared" si="15"/>
        <v>1.25</v>
      </c>
      <c r="AL210" s="60" t="str">
        <f t="shared" si="16"/>
        <v>subpar</v>
      </c>
      <c r="AW210" s="22">
        <f t="shared" ref="AW210:BC210" si="1054">IF(IFERROR(SEARCH(E$1, $D210),0) &gt;= 1, E$1,0)</f>
        <v>0</v>
      </c>
      <c r="AX210" s="22">
        <f t="shared" si="1054"/>
        <v>0</v>
      </c>
      <c r="AY210" s="22">
        <f t="shared" si="1054"/>
        <v>0</v>
      </c>
      <c r="AZ210" s="22">
        <f t="shared" si="1054"/>
        <v>0</v>
      </c>
      <c r="BA210" s="22" t="str">
        <f t="shared" si="1054"/>
        <v>Architectuur</v>
      </c>
      <c r="BB210" s="22">
        <f t="shared" si="1054"/>
        <v>0</v>
      </c>
      <c r="BC210" s="22">
        <f t="shared" si="1054"/>
        <v>0</v>
      </c>
      <c r="BD210" s="22" t="str">
        <f t="shared" ref="BD210:BG210" si="1055">IF(L210 = true, BD$1, 0)</f>
        <v>Shop</v>
      </c>
      <c r="BE210" s="22">
        <f t="shared" si="1055"/>
        <v>0</v>
      </c>
      <c r="BF210" s="22">
        <f t="shared" si="1055"/>
        <v>0</v>
      </c>
      <c r="BG210" s="22">
        <f t="shared" si="1055"/>
        <v>0</v>
      </c>
      <c r="BH210" s="22" t="str">
        <f>IFERROR(__xludf.DUMMYFUNCTION("""COMPUTED_VALUE"""),"Brussels Museum van de Molen en de Voeding")</f>
        <v>Brussels Museum van de Molen en de Voeding</v>
      </c>
      <c r="BI210" s="24">
        <f>IFERROR(__xludf.DUMMYFUNCTION("""COMPUTED_VALUE"""),5.0)</f>
        <v>5</v>
      </c>
      <c r="BJ210" s="22" t="b">
        <f>IFERROR(__xludf.DUMMYFUNCTION("""COMPUTED_VALUE"""),FALSE)</f>
        <v>0</v>
      </c>
      <c r="BK210" s="22" t="b">
        <f>IFERROR(__xludf.DUMMYFUNCTION("""COMPUTED_VALUE"""),TRUE)</f>
        <v>1</v>
      </c>
      <c r="BL210" s="24">
        <f>IFERROR(__xludf.DUMMYFUNCTION("""COMPUTED_VALUE"""),4.0)</f>
        <v>4</v>
      </c>
      <c r="BM210" s="22">
        <f>IFERROR(__xludf.DUMMYFUNCTION("""COMPUTED_VALUE"""),0.0)</f>
        <v>0</v>
      </c>
      <c r="BN210" s="22">
        <f>IFERROR(__xludf.DUMMYFUNCTION("""COMPUTED_VALUE"""),1.0)</f>
        <v>1</v>
      </c>
      <c r="BO210" s="22">
        <f>IFERROR(__xludf.DUMMYFUNCTION("""COMPUTED_VALUE"""),0.0)</f>
        <v>0</v>
      </c>
      <c r="BP210" s="22">
        <f>IFERROR(__xludf.DUMMYFUNCTION("""COMPUTED_VALUE"""),0.0)</f>
        <v>0</v>
      </c>
      <c r="BQ210" s="22">
        <f>IFERROR(__xludf.DUMMYFUNCTION("""COMPUTED_VALUE"""),0.0)</f>
        <v>0</v>
      </c>
      <c r="BR210" s="22">
        <f>IFERROR(__xludf.DUMMYFUNCTION("""COMPUTED_VALUE"""),0.0)</f>
        <v>0</v>
      </c>
      <c r="BS210" s="22">
        <f>IFERROR(__xludf.DUMMYFUNCTION("""COMPUTED_VALUE"""),0.0)</f>
        <v>0</v>
      </c>
      <c r="BT210" s="22">
        <f>IFERROR(__xludf.DUMMYFUNCTION("""COMPUTED_VALUE"""),0.0)</f>
        <v>0</v>
      </c>
      <c r="BU210" s="22">
        <f>IFERROR(__xludf.DUMMYFUNCTION("""COMPUTED_VALUE"""),1.0)</f>
        <v>1</v>
      </c>
      <c r="BV210" s="22">
        <f>IFERROR(__xludf.DUMMYFUNCTION("""COMPUTED_VALUE"""),1.0)</f>
        <v>1</v>
      </c>
      <c r="BW210" s="22">
        <f>IFERROR(__xludf.DUMMYFUNCTION("""COMPUTED_VALUE"""),1.0)</f>
        <v>1</v>
      </c>
      <c r="BX210" s="22">
        <f>IFERROR(__xludf.DUMMYFUNCTION("""COMPUTED_VALUE"""),0.0)</f>
        <v>0</v>
      </c>
      <c r="BY210" s="22">
        <f>IFERROR(__xludf.DUMMYFUNCTION("""COMPUTED_VALUE"""),0.0)</f>
        <v>0</v>
      </c>
      <c r="BZ210" s="22">
        <f>IFERROR(__xludf.DUMMYFUNCTION("""COMPUTED_VALUE"""),0.0)</f>
        <v>0</v>
      </c>
      <c r="CA210" s="22">
        <f>IFERROR(__xludf.DUMMYFUNCTION("""COMPUTED_VALUE"""),1.0)</f>
        <v>1</v>
      </c>
      <c r="CB210" s="22">
        <f>IFERROR(__xludf.DUMMYFUNCTION("""COMPUTED_VALUE"""),3.0)</f>
        <v>3</v>
      </c>
      <c r="CC210" s="61">
        <f>IFERROR(__xludf.DUMMYFUNCTION("""COMPUTED_VALUE"""),1.875)</f>
        <v>1.875</v>
      </c>
      <c r="CD210" s="62" t="str">
        <f>IFERROR(__xludf.DUMMYFUNCTION("""COMPUTED_VALUE"""),"subpar")</f>
        <v>subpar</v>
      </c>
      <c r="CE210" s="22" t="s">
        <v>461</v>
      </c>
      <c r="CF210" s="24">
        <v>5.0</v>
      </c>
      <c r="CG210" s="22" t="b">
        <v>0</v>
      </c>
      <c r="CH210" s="22" t="b">
        <v>1</v>
      </c>
      <c r="CI210" s="24">
        <v>4.0</v>
      </c>
      <c r="CJ210" s="22">
        <v>0.0</v>
      </c>
      <c r="CK210" s="22">
        <v>1.0</v>
      </c>
      <c r="CL210" s="22">
        <v>0.0</v>
      </c>
      <c r="CM210" s="22">
        <v>0.0</v>
      </c>
      <c r="CN210" s="22">
        <v>0.0</v>
      </c>
      <c r="CO210" s="22">
        <v>0.0</v>
      </c>
      <c r="CP210" s="22">
        <v>0.0</v>
      </c>
      <c r="CQ210" s="22">
        <v>0.0</v>
      </c>
      <c r="CR210" s="22">
        <v>1.0</v>
      </c>
      <c r="CS210" s="22">
        <v>1.0</v>
      </c>
      <c r="CT210" s="22">
        <v>1.0</v>
      </c>
      <c r="CU210" s="22">
        <v>0.0</v>
      </c>
      <c r="CV210" s="22">
        <v>0.0</v>
      </c>
      <c r="CW210" s="22">
        <v>0.0</v>
      </c>
      <c r="CX210" s="22">
        <v>1.0</v>
      </c>
      <c r="CY210" s="22">
        <v>3.0</v>
      </c>
      <c r="CZ210" s="61">
        <v>1.875</v>
      </c>
      <c r="DA210" s="62" t="s">
        <v>568</v>
      </c>
    </row>
    <row r="211">
      <c r="A211" s="16" t="s">
        <v>442</v>
      </c>
      <c r="B211" s="16" t="s">
        <v>443</v>
      </c>
      <c r="C211" s="17" t="s">
        <v>51</v>
      </c>
      <c r="D211" s="16" t="s">
        <v>444</v>
      </c>
      <c r="E211" s="17" t="b">
        <f t="shared" ref="E211:K211" si="1056">If(IFERROR(SEARCH(E$1, $D211),0) &gt;= 1, true,false)</f>
        <v>1</v>
      </c>
      <c r="F211" s="17" t="b">
        <f t="shared" si="1056"/>
        <v>0</v>
      </c>
      <c r="G211" s="17" t="b">
        <f t="shared" si="1056"/>
        <v>0</v>
      </c>
      <c r="H211" s="17" t="b">
        <f t="shared" si="1056"/>
        <v>0</v>
      </c>
      <c r="I211" s="17" t="b">
        <f t="shared" si="1056"/>
        <v>1</v>
      </c>
      <c r="J211" s="17" t="b">
        <f t="shared" si="1056"/>
        <v>1</v>
      </c>
      <c r="K211" s="17" t="b">
        <f t="shared" si="1056"/>
        <v>0</v>
      </c>
      <c r="L211" s="18" t="b">
        <v>0</v>
      </c>
      <c r="M211" s="18" t="b">
        <v>0</v>
      </c>
      <c r="N211" s="18" t="b">
        <v>0</v>
      </c>
      <c r="O211" s="18" t="b">
        <v>0</v>
      </c>
      <c r="P211" s="16" t="str">
        <f t="shared" si="7"/>
        <v>Het Stadhuis van Brussel</v>
      </c>
      <c r="Q211" s="19">
        <v>15.0</v>
      </c>
      <c r="R211" s="18" t="b">
        <v>0</v>
      </c>
      <c r="S211" s="18" t="b">
        <v>0</v>
      </c>
      <c r="U211" s="21">
        <f t="shared" si="8"/>
        <v>0</v>
      </c>
      <c r="V211" s="21">
        <f t="shared" ref="V211:AB211" si="1057">if(OR(AW211 = $AO$4, AW211 = $AQ$4), 1, 0)</f>
        <v>1</v>
      </c>
      <c r="W211" s="21">
        <f t="shared" si="1057"/>
        <v>0</v>
      </c>
      <c r="X211" s="21">
        <f t="shared" si="1057"/>
        <v>0</v>
      </c>
      <c r="Y211" s="21">
        <f t="shared" si="1057"/>
        <v>0</v>
      </c>
      <c r="Z211" s="21">
        <f t="shared" si="1057"/>
        <v>0</v>
      </c>
      <c r="AA211" s="21">
        <f t="shared" si="1057"/>
        <v>1</v>
      </c>
      <c r="AB211" s="21">
        <f t="shared" si="1057"/>
        <v>0</v>
      </c>
      <c r="AC211" s="21">
        <f t="shared" si="10"/>
        <v>2</v>
      </c>
      <c r="AD211" s="21">
        <f t="shared" si="11"/>
        <v>0</v>
      </c>
      <c r="AE211" s="21">
        <f t="shared" ref="AE211:AH211" si="1058">if(OR(BD211 = $AO$6, BD211 = $AS$6, BD211 = $AT$6, BD211 = $AU$6), 1, 0)</f>
        <v>0</v>
      </c>
      <c r="AF211" s="21">
        <f t="shared" si="1058"/>
        <v>0</v>
      </c>
      <c r="AG211" s="21">
        <f t="shared" si="1058"/>
        <v>0</v>
      </c>
      <c r="AH211" s="21">
        <f t="shared" si="1058"/>
        <v>0</v>
      </c>
      <c r="AI211" s="21">
        <f t="shared" si="13"/>
        <v>0</v>
      </c>
      <c r="AJ211" s="21">
        <f t="shared" si="14"/>
        <v>2</v>
      </c>
      <c r="AK211" s="59">
        <f t="shared" si="15"/>
        <v>1.25</v>
      </c>
      <c r="AL211" s="60" t="str">
        <f t="shared" si="16"/>
        <v>subpar</v>
      </c>
      <c r="AW211" s="22" t="str">
        <f t="shared" ref="AW211:BC211" si="1059">IF(IFERROR(SEARCH(E$1, $D211),0) &gt;= 1, E$1,0)</f>
        <v>Geschiedenis en archeologie</v>
      </c>
      <c r="AX211" s="22">
        <f t="shared" si="1059"/>
        <v>0</v>
      </c>
      <c r="AY211" s="22">
        <f t="shared" si="1059"/>
        <v>0</v>
      </c>
      <c r="AZ211" s="22">
        <f t="shared" si="1059"/>
        <v>0</v>
      </c>
      <c r="BA211" s="22" t="str">
        <f t="shared" si="1059"/>
        <v>Architectuur</v>
      </c>
      <c r="BB211" s="22" t="str">
        <f t="shared" si="1059"/>
        <v>Beeldende kunst</v>
      </c>
      <c r="BC211" s="22">
        <f t="shared" si="1059"/>
        <v>0</v>
      </c>
      <c r="BD211" s="22">
        <f t="shared" ref="BD211:BG211" si="1060">IF(L211 = true, BD$1, 0)</f>
        <v>0</v>
      </c>
      <c r="BE211" s="22">
        <f t="shared" si="1060"/>
        <v>0</v>
      </c>
      <c r="BF211" s="22">
        <f t="shared" si="1060"/>
        <v>0</v>
      </c>
      <c r="BG211" s="22">
        <f t="shared" si="1060"/>
        <v>0</v>
      </c>
      <c r="BH211" s="22" t="str">
        <f>IFERROR(__xludf.DUMMYFUNCTION("""COMPUTED_VALUE"""),"Charlier Museum")</f>
        <v>Charlier Museum</v>
      </c>
      <c r="BI211" s="24">
        <f>IFERROR(__xludf.DUMMYFUNCTION("""COMPUTED_VALUE"""),9.0)</f>
        <v>9</v>
      </c>
      <c r="BJ211" s="22" t="b">
        <f>IFERROR(__xludf.DUMMYFUNCTION("""COMPUTED_VALUE"""),FALSE)</f>
        <v>0</v>
      </c>
      <c r="BK211" s="22" t="b">
        <f>IFERROR(__xludf.DUMMYFUNCTION("""COMPUTED_VALUE"""),FALSE)</f>
        <v>0</v>
      </c>
      <c r="BL211" s="22"/>
      <c r="BM211" s="22">
        <f>IFERROR(__xludf.DUMMYFUNCTION("""COMPUTED_VALUE"""),0.0)</f>
        <v>0</v>
      </c>
      <c r="BN211" s="22">
        <f>IFERROR(__xludf.DUMMYFUNCTION("""COMPUTED_VALUE"""),0.0)</f>
        <v>0</v>
      </c>
      <c r="BO211" s="22">
        <f>IFERROR(__xludf.DUMMYFUNCTION("""COMPUTED_VALUE"""),0.0)</f>
        <v>0</v>
      </c>
      <c r="BP211" s="22">
        <f>IFERROR(__xludf.DUMMYFUNCTION("""COMPUTED_VALUE"""),0.0)</f>
        <v>0</v>
      </c>
      <c r="BQ211" s="22">
        <f>IFERROR(__xludf.DUMMYFUNCTION("""COMPUTED_VALUE"""),0.0)</f>
        <v>0</v>
      </c>
      <c r="BR211" s="22">
        <f>IFERROR(__xludf.DUMMYFUNCTION("""COMPUTED_VALUE"""),0.0)</f>
        <v>0</v>
      </c>
      <c r="BS211" s="22">
        <f>IFERROR(__xludf.DUMMYFUNCTION("""COMPUTED_VALUE"""),1.0)</f>
        <v>1</v>
      </c>
      <c r="BT211" s="22">
        <f>IFERROR(__xludf.DUMMYFUNCTION("""COMPUTED_VALUE"""),0.0)</f>
        <v>0</v>
      </c>
      <c r="BU211" s="22">
        <f>IFERROR(__xludf.DUMMYFUNCTION("""COMPUTED_VALUE"""),1.0)</f>
        <v>1</v>
      </c>
      <c r="BV211" s="22">
        <f>IFERROR(__xludf.DUMMYFUNCTION("""COMPUTED_VALUE"""),1.0)</f>
        <v>1</v>
      </c>
      <c r="BW211" s="22">
        <f>IFERROR(__xludf.DUMMYFUNCTION("""COMPUTED_VALUE"""),1.0)</f>
        <v>1</v>
      </c>
      <c r="BX211" s="22">
        <f>IFERROR(__xludf.DUMMYFUNCTION("""COMPUTED_VALUE"""),0.0)</f>
        <v>0</v>
      </c>
      <c r="BY211" s="22">
        <f>IFERROR(__xludf.DUMMYFUNCTION("""COMPUTED_VALUE"""),0.0)</f>
        <v>0</v>
      </c>
      <c r="BZ211" s="22">
        <f>IFERROR(__xludf.DUMMYFUNCTION("""COMPUTED_VALUE"""),0.0)</f>
        <v>0</v>
      </c>
      <c r="CA211" s="22">
        <f>IFERROR(__xludf.DUMMYFUNCTION("""COMPUTED_VALUE"""),1.0)</f>
        <v>1</v>
      </c>
      <c r="CB211" s="22">
        <f>IFERROR(__xludf.DUMMYFUNCTION("""COMPUTED_VALUE"""),3.0)</f>
        <v>3</v>
      </c>
      <c r="CC211" s="61">
        <f>IFERROR(__xludf.DUMMYFUNCTION("""COMPUTED_VALUE"""),1.875)</f>
        <v>1.875</v>
      </c>
      <c r="CD211" s="62" t="str">
        <f>IFERROR(__xludf.DUMMYFUNCTION("""COMPUTED_VALUE"""),"subpar")</f>
        <v>subpar</v>
      </c>
      <c r="CE211" s="22" t="s">
        <v>463</v>
      </c>
      <c r="CF211" s="24">
        <v>9.0</v>
      </c>
      <c r="CG211" s="22" t="b">
        <v>0</v>
      </c>
      <c r="CH211" s="22" t="b">
        <v>0</v>
      </c>
      <c r="CI211" s="22"/>
      <c r="CJ211" s="22">
        <v>0.0</v>
      </c>
      <c r="CK211" s="22">
        <v>0.0</v>
      </c>
      <c r="CL211" s="22">
        <v>0.0</v>
      </c>
      <c r="CM211" s="22">
        <v>0.0</v>
      </c>
      <c r="CN211" s="22">
        <v>0.0</v>
      </c>
      <c r="CO211" s="22">
        <v>0.0</v>
      </c>
      <c r="CP211" s="22">
        <v>1.0</v>
      </c>
      <c r="CQ211" s="22">
        <v>0.0</v>
      </c>
      <c r="CR211" s="22">
        <v>1.0</v>
      </c>
      <c r="CS211" s="22">
        <v>1.0</v>
      </c>
      <c r="CT211" s="22">
        <v>1.0</v>
      </c>
      <c r="CU211" s="22">
        <v>0.0</v>
      </c>
      <c r="CV211" s="22">
        <v>0.0</v>
      </c>
      <c r="CW211" s="22">
        <v>0.0</v>
      </c>
      <c r="CX211" s="22">
        <v>1.0</v>
      </c>
      <c r="CY211" s="22">
        <v>3.0</v>
      </c>
      <c r="CZ211" s="61">
        <v>1.875</v>
      </c>
      <c r="DA211" s="62" t="s">
        <v>568</v>
      </c>
    </row>
    <row r="212">
      <c r="A212" s="16" t="s">
        <v>445</v>
      </c>
      <c r="B212" s="16" t="s">
        <v>446</v>
      </c>
      <c r="C212" s="17" t="s">
        <v>51</v>
      </c>
      <c r="D212" s="16" t="s">
        <v>362</v>
      </c>
      <c r="E212" s="17" t="b">
        <f t="shared" ref="E212:K212" si="1061">If(IFERROR(SEARCH(E$1, $D212),0) &gt;= 1, true,false)</f>
        <v>1</v>
      </c>
      <c r="F212" s="17" t="b">
        <f t="shared" si="1061"/>
        <v>0</v>
      </c>
      <c r="G212" s="17" t="b">
        <f t="shared" si="1061"/>
        <v>0</v>
      </c>
      <c r="H212" s="17" t="b">
        <f t="shared" si="1061"/>
        <v>1</v>
      </c>
      <c r="I212" s="17" t="b">
        <f t="shared" si="1061"/>
        <v>1</v>
      </c>
      <c r="J212" s="17" t="b">
        <f t="shared" si="1061"/>
        <v>1</v>
      </c>
      <c r="K212" s="17" t="b">
        <f t="shared" si="1061"/>
        <v>0</v>
      </c>
      <c r="L212" s="18" t="b">
        <v>1</v>
      </c>
      <c r="M212" s="18" t="b">
        <v>0</v>
      </c>
      <c r="N212" s="18" t="b">
        <v>0</v>
      </c>
      <c r="O212" s="18" t="b">
        <v>0</v>
      </c>
      <c r="P212" s="16" t="str">
        <f t="shared" si="7"/>
        <v>Erasmushuis &amp; Begijnhof</v>
      </c>
      <c r="Q212" s="19">
        <v>5.0</v>
      </c>
      <c r="R212" s="18" t="b">
        <v>0</v>
      </c>
      <c r="S212" s="18" t="b">
        <v>0</v>
      </c>
      <c r="U212" s="21">
        <f t="shared" si="8"/>
        <v>0</v>
      </c>
      <c r="V212" s="21">
        <f t="shared" ref="V212:AB212" si="1062">if(OR(AW212 = $AO$4, AW212 = $AQ$4), 1, 0)</f>
        <v>1</v>
      </c>
      <c r="W212" s="21">
        <f t="shared" si="1062"/>
        <v>0</v>
      </c>
      <c r="X212" s="21">
        <f t="shared" si="1062"/>
        <v>0</v>
      </c>
      <c r="Y212" s="21">
        <f t="shared" si="1062"/>
        <v>0</v>
      </c>
      <c r="Z212" s="21">
        <f t="shared" si="1062"/>
        <v>0</v>
      </c>
      <c r="AA212" s="21">
        <f t="shared" si="1062"/>
        <v>1</v>
      </c>
      <c r="AB212" s="21">
        <f t="shared" si="1062"/>
        <v>0</v>
      </c>
      <c r="AC212" s="21">
        <f t="shared" si="10"/>
        <v>2</v>
      </c>
      <c r="AD212" s="21">
        <f t="shared" si="11"/>
        <v>1</v>
      </c>
      <c r="AE212" s="21">
        <f t="shared" ref="AE212:AH212" si="1063">if(OR(BD212 = $AO$6, BD212 = $AS$6, BD212 = $AT$6, BD212 = $AU$6), 1, 0)</f>
        <v>1</v>
      </c>
      <c r="AF212" s="21">
        <f t="shared" si="1063"/>
        <v>0</v>
      </c>
      <c r="AG212" s="21">
        <f t="shared" si="1063"/>
        <v>0</v>
      </c>
      <c r="AH212" s="21">
        <f t="shared" si="1063"/>
        <v>0</v>
      </c>
      <c r="AI212" s="21">
        <f t="shared" si="13"/>
        <v>1</v>
      </c>
      <c r="AJ212" s="21">
        <f t="shared" si="14"/>
        <v>4</v>
      </c>
      <c r="AK212" s="59">
        <f t="shared" si="15"/>
        <v>2.5</v>
      </c>
      <c r="AL212" s="60" t="str">
        <f t="shared" si="16"/>
        <v>subpar</v>
      </c>
      <c r="AW212" s="22" t="str">
        <f t="shared" ref="AW212:BC212" si="1064">IF(IFERROR(SEARCH(E$1, $D212),0) &gt;= 1, E$1,0)</f>
        <v>Geschiedenis en archeologie</v>
      </c>
      <c r="AX212" s="22">
        <f t="shared" si="1064"/>
        <v>0</v>
      </c>
      <c r="AY212" s="22">
        <f t="shared" si="1064"/>
        <v>0</v>
      </c>
      <c r="AZ212" s="22" t="str">
        <f t="shared" si="1064"/>
        <v>Literatuur</v>
      </c>
      <c r="BA212" s="22" t="str">
        <f t="shared" si="1064"/>
        <v>Architectuur</v>
      </c>
      <c r="BB212" s="22" t="str">
        <f t="shared" si="1064"/>
        <v>Beeldende kunst</v>
      </c>
      <c r="BC212" s="22">
        <f t="shared" si="1064"/>
        <v>0</v>
      </c>
      <c r="BD212" s="22" t="str">
        <f t="shared" ref="BD212:BG212" si="1065">IF(L212 = true, BD$1, 0)</f>
        <v>Shop</v>
      </c>
      <c r="BE212" s="22">
        <f t="shared" si="1065"/>
        <v>0</v>
      </c>
      <c r="BF212" s="22">
        <f t="shared" si="1065"/>
        <v>0</v>
      </c>
      <c r="BG212" s="22">
        <f t="shared" si="1065"/>
        <v>0</v>
      </c>
      <c r="BH212" s="22" t="str">
        <f>IFERROR(__xludf.DUMMYFUNCTION("""COMPUTED_VALUE"""),"Museum voor Spontane Kunst")</f>
        <v>Museum voor Spontane Kunst</v>
      </c>
      <c r="BI212" s="24">
        <f>IFERROR(__xludf.DUMMYFUNCTION("""COMPUTED_VALUE"""),4.0)</f>
        <v>4</v>
      </c>
      <c r="BJ212" s="22" t="b">
        <f>IFERROR(__xludf.DUMMYFUNCTION("""COMPUTED_VALUE"""),FALSE)</f>
        <v>0</v>
      </c>
      <c r="BK212" s="22" t="b">
        <f>IFERROR(__xludf.DUMMYFUNCTION("""COMPUTED_VALUE"""),FALSE)</f>
        <v>0</v>
      </c>
      <c r="BL212" s="22"/>
      <c r="BM212" s="22">
        <f>IFERROR(__xludf.DUMMYFUNCTION("""COMPUTED_VALUE"""),0.0)</f>
        <v>0</v>
      </c>
      <c r="BN212" s="22">
        <f>IFERROR(__xludf.DUMMYFUNCTION("""COMPUTED_VALUE"""),0.0)</f>
        <v>0</v>
      </c>
      <c r="BO212" s="22">
        <f>IFERROR(__xludf.DUMMYFUNCTION("""COMPUTED_VALUE"""),0.0)</f>
        <v>0</v>
      </c>
      <c r="BP212" s="22">
        <f>IFERROR(__xludf.DUMMYFUNCTION("""COMPUTED_VALUE"""),0.0)</f>
        <v>0</v>
      </c>
      <c r="BQ212" s="22">
        <f>IFERROR(__xludf.DUMMYFUNCTION("""COMPUTED_VALUE"""),0.0)</f>
        <v>0</v>
      </c>
      <c r="BR212" s="22">
        <f>IFERROR(__xludf.DUMMYFUNCTION("""COMPUTED_VALUE"""),0.0)</f>
        <v>0</v>
      </c>
      <c r="BS212" s="22">
        <f>IFERROR(__xludf.DUMMYFUNCTION("""COMPUTED_VALUE"""),1.0)</f>
        <v>1</v>
      </c>
      <c r="BT212" s="22">
        <f>IFERROR(__xludf.DUMMYFUNCTION("""COMPUTED_VALUE"""),0.0)</f>
        <v>0</v>
      </c>
      <c r="BU212" s="22">
        <f>IFERROR(__xludf.DUMMYFUNCTION("""COMPUTED_VALUE"""),1.0)</f>
        <v>1</v>
      </c>
      <c r="BV212" s="22">
        <f>IFERROR(__xludf.DUMMYFUNCTION("""COMPUTED_VALUE"""),1.0)</f>
        <v>1</v>
      </c>
      <c r="BW212" s="22">
        <f>IFERROR(__xludf.DUMMYFUNCTION("""COMPUTED_VALUE"""),1.0)</f>
        <v>1</v>
      </c>
      <c r="BX212" s="22">
        <f>IFERROR(__xludf.DUMMYFUNCTION("""COMPUTED_VALUE"""),0.0)</f>
        <v>0</v>
      </c>
      <c r="BY212" s="22">
        <f>IFERROR(__xludf.DUMMYFUNCTION("""COMPUTED_VALUE"""),0.0)</f>
        <v>0</v>
      </c>
      <c r="BZ212" s="22">
        <f>IFERROR(__xludf.DUMMYFUNCTION("""COMPUTED_VALUE"""),0.0)</f>
        <v>0</v>
      </c>
      <c r="CA212" s="22">
        <f>IFERROR(__xludf.DUMMYFUNCTION("""COMPUTED_VALUE"""),1.0)</f>
        <v>1</v>
      </c>
      <c r="CB212" s="22">
        <f>IFERROR(__xludf.DUMMYFUNCTION("""COMPUTED_VALUE"""),3.0)</f>
        <v>3</v>
      </c>
      <c r="CC212" s="61">
        <f>IFERROR(__xludf.DUMMYFUNCTION("""COMPUTED_VALUE"""),1.875)</f>
        <v>1.875</v>
      </c>
      <c r="CD212" s="62" t="str">
        <f>IFERROR(__xludf.DUMMYFUNCTION("""COMPUTED_VALUE"""),"subpar")</f>
        <v>subpar</v>
      </c>
      <c r="CE212" s="22" t="s">
        <v>465</v>
      </c>
      <c r="CF212" s="24">
        <v>4.0</v>
      </c>
      <c r="CG212" s="22" t="b">
        <v>0</v>
      </c>
      <c r="CH212" s="22" t="b">
        <v>0</v>
      </c>
      <c r="CI212" s="22"/>
      <c r="CJ212" s="22">
        <v>0.0</v>
      </c>
      <c r="CK212" s="22">
        <v>0.0</v>
      </c>
      <c r="CL212" s="22">
        <v>0.0</v>
      </c>
      <c r="CM212" s="22">
        <v>0.0</v>
      </c>
      <c r="CN212" s="22">
        <v>0.0</v>
      </c>
      <c r="CO212" s="22">
        <v>0.0</v>
      </c>
      <c r="CP212" s="22">
        <v>1.0</v>
      </c>
      <c r="CQ212" s="22">
        <v>0.0</v>
      </c>
      <c r="CR212" s="22">
        <v>1.0</v>
      </c>
      <c r="CS212" s="22">
        <v>1.0</v>
      </c>
      <c r="CT212" s="22">
        <v>1.0</v>
      </c>
      <c r="CU212" s="22">
        <v>0.0</v>
      </c>
      <c r="CV212" s="22">
        <v>0.0</v>
      </c>
      <c r="CW212" s="22">
        <v>0.0</v>
      </c>
      <c r="CX212" s="22">
        <v>1.0</v>
      </c>
      <c r="CY212" s="22">
        <v>3.0</v>
      </c>
      <c r="CZ212" s="61">
        <v>1.875</v>
      </c>
      <c r="DA212" s="62" t="s">
        <v>568</v>
      </c>
    </row>
    <row r="213">
      <c r="A213" s="16"/>
      <c r="B213" s="16" t="s">
        <v>447</v>
      </c>
      <c r="C213" s="17" t="s">
        <v>51</v>
      </c>
      <c r="D213" s="16" t="s">
        <v>281</v>
      </c>
      <c r="E213" s="17" t="b">
        <f t="shared" ref="E213:K213" si="1066">If(IFERROR(SEARCH(E$1, $D213),0) &gt;= 1, true,false)</f>
        <v>0</v>
      </c>
      <c r="F213" s="17" t="b">
        <f t="shared" si="1066"/>
        <v>0</v>
      </c>
      <c r="G213" s="17" t="b">
        <f t="shared" si="1066"/>
        <v>0</v>
      </c>
      <c r="H213" s="17" t="b">
        <f t="shared" si="1066"/>
        <v>0</v>
      </c>
      <c r="I213" s="17" t="b">
        <f t="shared" si="1066"/>
        <v>1</v>
      </c>
      <c r="J213" s="17" t="b">
        <f t="shared" si="1066"/>
        <v>1</v>
      </c>
      <c r="K213" s="17" t="b">
        <f t="shared" si="1066"/>
        <v>1</v>
      </c>
      <c r="L213" s="18" t="b">
        <v>1</v>
      </c>
      <c r="M213" s="18" t="b">
        <v>0</v>
      </c>
      <c r="N213" s="18" t="b">
        <v>0</v>
      </c>
      <c r="O213" s="18" t="b">
        <v>0</v>
      </c>
      <c r="P213" s="16" t="str">
        <f t="shared" si="7"/>
        <v>Maison Hannon</v>
      </c>
      <c r="Q213" s="19">
        <v>14.0</v>
      </c>
      <c r="R213" s="18" t="b">
        <v>0</v>
      </c>
      <c r="S213" s="18" t="b">
        <v>1</v>
      </c>
      <c r="T213" s="27">
        <v>14.0</v>
      </c>
      <c r="U213" s="21">
        <f t="shared" si="8"/>
        <v>0</v>
      </c>
      <c r="V213" s="21">
        <f t="shared" ref="V213:AB213" si="1067">if(OR(AW213 = $AO$4, AW213 = $AQ$4), 1, 0)</f>
        <v>0</v>
      </c>
      <c r="W213" s="21">
        <f t="shared" si="1067"/>
        <v>0</v>
      </c>
      <c r="X213" s="21">
        <f t="shared" si="1067"/>
        <v>0</v>
      </c>
      <c r="Y213" s="21">
        <f t="shared" si="1067"/>
        <v>0</v>
      </c>
      <c r="Z213" s="21">
        <f t="shared" si="1067"/>
        <v>0</v>
      </c>
      <c r="AA213" s="21">
        <f t="shared" si="1067"/>
        <v>1</v>
      </c>
      <c r="AB213" s="21">
        <f t="shared" si="1067"/>
        <v>0</v>
      </c>
      <c r="AC213" s="21">
        <f t="shared" si="10"/>
        <v>1</v>
      </c>
      <c r="AD213" s="21">
        <f t="shared" si="11"/>
        <v>0</v>
      </c>
      <c r="AE213" s="21">
        <f t="shared" ref="AE213:AH213" si="1068">if(OR(BD213 = $AO$6, BD213 = $AS$6, BD213 = $AT$6, BD213 = $AU$6), 1, 0)</f>
        <v>1</v>
      </c>
      <c r="AF213" s="21">
        <f t="shared" si="1068"/>
        <v>0</v>
      </c>
      <c r="AG213" s="21">
        <f t="shared" si="1068"/>
        <v>0</v>
      </c>
      <c r="AH213" s="21">
        <f t="shared" si="1068"/>
        <v>0</v>
      </c>
      <c r="AI213" s="21">
        <f t="shared" si="13"/>
        <v>1</v>
      </c>
      <c r="AJ213" s="21">
        <f t="shared" si="14"/>
        <v>2</v>
      </c>
      <c r="AK213" s="59">
        <f t="shared" si="15"/>
        <v>1.25</v>
      </c>
      <c r="AL213" s="60" t="str">
        <f t="shared" si="16"/>
        <v>subpar</v>
      </c>
      <c r="AW213" s="22">
        <f t="shared" ref="AW213:BC213" si="1069">IF(IFERROR(SEARCH(E$1, $D213),0) &gt;= 1, E$1,0)</f>
        <v>0</v>
      </c>
      <c r="AX213" s="22">
        <f t="shared" si="1069"/>
        <v>0</v>
      </c>
      <c r="AY213" s="22">
        <f t="shared" si="1069"/>
        <v>0</v>
      </c>
      <c r="AZ213" s="22">
        <f t="shared" si="1069"/>
        <v>0</v>
      </c>
      <c r="BA213" s="22" t="str">
        <f t="shared" si="1069"/>
        <v>Architectuur</v>
      </c>
      <c r="BB213" s="22" t="str">
        <f t="shared" si="1069"/>
        <v>Beeldende kunst</v>
      </c>
      <c r="BC213" s="22" t="str">
        <f t="shared" si="1069"/>
        <v>Toegepaste kunst en design</v>
      </c>
      <c r="BD213" s="22" t="str">
        <f t="shared" ref="BD213:BG213" si="1070">IF(L213 = true, BD$1, 0)</f>
        <v>Shop</v>
      </c>
      <c r="BE213" s="22">
        <f t="shared" si="1070"/>
        <v>0</v>
      </c>
      <c r="BF213" s="22">
        <f t="shared" si="1070"/>
        <v>0</v>
      </c>
      <c r="BG213" s="22">
        <f t="shared" si="1070"/>
        <v>0</v>
      </c>
      <c r="BH213" s="22" t="str">
        <f>IFERROR(__xludf.DUMMYFUNCTION("""COMPUTED_VALUE"""),"Riolenmuseum")</f>
        <v>Riolenmuseum</v>
      </c>
      <c r="BI213" s="24">
        <f>IFERROR(__xludf.DUMMYFUNCTION("""COMPUTED_VALUE"""),10.0)</f>
        <v>10</v>
      </c>
      <c r="BJ213" s="22" t="b">
        <f>IFERROR(__xludf.DUMMYFUNCTION("""COMPUTED_VALUE"""),FALSE)</f>
        <v>0</v>
      </c>
      <c r="BK213" s="22" t="b">
        <f>IFERROR(__xludf.DUMMYFUNCTION("""COMPUTED_VALUE"""),FALSE)</f>
        <v>0</v>
      </c>
      <c r="BL213" s="22"/>
      <c r="BM213" s="22">
        <f>IFERROR(__xludf.DUMMYFUNCTION("""COMPUTED_VALUE"""),0.0)</f>
        <v>0</v>
      </c>
      <c r="BN213" s="22">
        <f>IFERROR(__xludf.DUMMYFUNCTION("""COMPUTED_VALUE"""),1.0)</f>
        <v>1</v>
      </c>
      <c r="BO213" s="22">
        <f>IFERROR(__xludf.DUMMYFUNCTION("""COMPUTED_VALUE"""),0.0)</f>
        <v>0</v>
      </c>
      <c r="BP213" s="22">
        <f>IFERROR(__xludf.DUMMYFUNCTION("""COMPUTED_VALUE"""),0.0)</f>
        <v>0</v>
      </c>
      <c r="BQ213" s="22">
        <f>IFERROR(__xludf.DUMMYFUNCTION("""COMPUTED_VALUE"""),0.0)</f>
        <v>0</v>
      </c>
      <c r="BR213" s="22">
        <f>IFERROR(__xludf.DUMMYFUNCTION("""COMPUTED_VALUE"""),0.0)</f>
        <v>0</v>
      </c>
      <c r="BS213" s="22">
        <f>IFERROR(__xludf.DUMMYFUNCTION("""COMPUTED_VALUE"""),0.0)</f>
        <v>0</v>
      </c>
      <c r="BT213" s="22">
        <f>IFERROR(__xludf.DUMMYFUNCTION("""COMPUTED_VALUE"""),0.0)</f>
        <v>0</v>
      </c>
      <c r="BU213" s="22">
        <f>IFERROR(__xludf.DUMMYFUNCTION("""COMPUTED_VALUE"""),1.0)</f>
        <v>1</v>
      </c>
      <c r="BV213" s="22">
        <f>IFERROR(__xludf.DUMMYFUNCTION("""COMPUTED_VALUE"""),1.0)</f>
        <v>1</v>
      </c>
      <c r="BW213" s="22">
        <f>IFERROR(__xludf.DUMMYFUNCTION("""COMPUTED_VALUE"""),1.0)</f>
        <v>1</v>
      </c>
      <c r="BX213" s="22">
        <f>IFERROR(__xludf.DUMMYFUNCTION("""COMPUTED_VALUE"""),0.0)</f>
        <v>0</v>
      </c>
      <c r="BY213" s="22">
        <f>IFERROR(__xludf.DUMMYFUNCTION("""COMPUTED_VALUE"""),0.0)</f>
        <v>0</v>
      </c>
      <c r="BZ213" s="22">
        <f>IFERROR(__xludf.DUMMYFUNCTION("""COMPUTED_VALUE"""),0.0)</f>
        <v>0</v>
      </c>
      <c r="CA213" s="22">
        <f>IFERROR(__xludf.DUMMYFUNCTION("""COMPUTED_VALUE"""),1.0)</f>
        <v>1</v>
      </c>
      <c r="CB213" s="22">
        <f>IFERROR(__xludf.DUMMYFUNCTION("""COMPUTED_VALUE"""),3.0)</f>
        <v>3</v>
      </c>
      <c r="CC213" s="61">
        <f>IFERROR(__xludf.DUMMYFUNCTION("""COMPUTED_VALUE"""),1.875)</f>
        <v>1.875</v>
      </c>
      <c r="CD213" s="62" t="str">
        <f>IFERROR(__xludf.DUMMYFUNCTION("""COMPUTED_VALUE"""),"subpar")</f>
        <v>subpar</v>
      </c>
      <c r="CE213" s="22" t="s">
        <v>467</v>
      </c>
      <c r="CF213" s="24">
        <v>10.0</v>
      </c>
      <c r="CG213" s="22" t="b">
        <v>0</v>
      </c>
      <c r="CH213" s="22" t="b">
        <v>0</v>
      </c>
      <c r="CI213" s="22"/>
      <c r="CJ213" s="22">
        <v>0.0</v>
      </c>
      <c r="CK213" s="22">
        <v>1.0</v>
      </c>
      <c r="CL213" s="22">
        <v>0.0</v>
      </c>
      <c r="CM213" s="22">
        <v>0.0</v>
      </c>
      <c r="CN213" s="22">
        <v>0.0</v>
      </c>
      <c r="CO213" s="22">
        <v>0.0</v>
      </c>
      <c r="CP213" s="22">
        <v>0.0</v>
      </c>
      <c r="CQ213" s="22">
        <v>0.0</v>
      </c>
      <c r="CR213" s="22">
        <v>1.0</v>
      </c>
      <c r="CS213" s="22">
        <v>1.0</v>
      </c>
      <c r="CT213" s="22">
        <v>1.0</v>
      </c>
      <c r="CU213" s="22">
        <v>0.0</v>
      </c>
      <c r="CV213" s="22">
        <v>0.0</v>
      </c>
      <c r="CW213" s="22">
        <v>0.0</v>
      </c>
      <c r="CX213" s="22">
        <v>1.0</v>
      </c>
      <c r="CY213" s="22">
        <v>3.0</v>
      </c>
      <c r="CZ213" s="61">
        <v>1.875</v>
      </c>
      <c r="DA213" s="62" t="s">
        <v>568</v>
      </c>
    </row>
    <row r="214">
      <c r="A214" s="16" t="s">
        <v>448</v>
      </c>
      <c r="B214" s="16" t="s">
        <v>449</v>
      </c>
      <c r="C214" s="17" t="s">
        <v>51</v>
      </c>
      <c r="D214" s="16" t="s">
        <v>95</v>
      </c>
      <c r="E214" s="17" t="b">
        <f t="shared" ref="E214:K214" si="1071">If(IFERROR(SEARCH(E$1, $D214),0) &gt;= 1, true,false)</f>
        <v>1</v>
      </c>
      <c r="F214" s="17" t="b">
        <f t="shared" si="1071"/>
        <v>0</v>
      </c>
      <c r="G214" s="17" t="b">
        <f t="shared" si="1071"/>
        <v>0</v>
      </c>
      <c r="H214" s="17" t="b">
        <f t="shared" si="1071"/>
        <v>0</v>
      </c>
      <c r="I214" s="17" t="b">
        <f t="shared" si="1071"/>
        <v>0</v>
      </c>
      <c r="J214" s="17" t="b">
        <f t="shared" si="1071"/>
        <v>1</v>
      </c>
      <c r="K214" s="17" t="b">
        <f t="shared" si="1071"/>
        <v>0</v>
      </c>
      <c r="L214" s="18" t="b">
        <v>1</v>
      </c>
      <c r="M214" s="18" t="b">
        <v>0</v>
      </c>
      <c r="N214" s="18" t="b">
        <v>0</v>
      </c>
      <c r="O214" s="18" t="b">
        <v>0</v>
      </c>
      <c r="P214" s="16" t="str">
        <f t="shared" si="7"/>
        <v>MigratieMuseum</v>
      </c>
      <c r="Q214" s="19">
        <v>8.0</v>
      </c>
      <c r="R214" s="18" t="b">
        <v>0</v>
      </c>
      <c r="S214" s="18" t="b">
        <v>0</v>
      </c>
      <c r="U214" s="21">
        <f t="shared" si="8"/>
        <v>0</v>
      </c>
      <c r="V214" s="21">
        <f t="shared" ref="V214:AB214" si="1072">if(OR(AW214 = $AO$4, AW214 = $AQ$4), 1, 0)</f>
        <v>1</v>
      </c>
      <c r="W214" s="21">
        <f t="shared" si="1072"/>
        <v>0</v>
      </c>
      <c r="X214" s="21">
        <f t="shared" si="1072"/>
        <v>0</v>
      </c>
      <c r="Y214" s="21">
        <f t="shared" si="1072"/>
        <v>0</v>
      </c>
      <c r="Z214" s="21">
        <f t="shared" si="1072"/>
        <v>0</v>
      </c>
      <c r="AA214" s="21">
        <f t="shared" si="1072"/>
        <v>1</v>
      </c>
      <c r="AB214" s="21">
        <f t="shared" si="1072"/>
        <v>0</v>
      </c>
      <c r="AC214" s="21">
        <f t="shared" si="10"/>
        <v>2</v>
      </c>
      <c r="AD214" s="21">
        <f t="shared" si="11"/>
        <v>1</v>
      </c>
      <c r="AE214" s="21">
        <f t="shared" ref="AE214:AH214" si="1073">if(OR(BD214 = $AO$6, BD214 = $AS$6, BD214 = $AT$6, BD214 = $AU$6), 1, 0)</f>
        <v>1</v>
      </c>
      <c r="AF214" s="21">
        <f t="shared" si="1073"/>
        <v>0</v>
      </c>
      <c r="AG214" s="21">
        <f t="shared" si="1073"/>
        <v>0</v>
      </c>
      <c r="AH214" s="21">
        <f t="shared" si="1073"/>
        <v>0</v>
      </c>
      <c r="AI214" s="21">
        <f t="shared" si="13"/>
        <v>1</v>
      </c>
      <c r="AJ214" s="21">
        <f t="shared" si="14"/>
        <v>4</v>
      </c>
      <c r="AK214" s="59">
        <f t="shared" si="15"/>
        <v>2.5</v>
      </c>
      <c r="AL214" s="60" t="str">
        <f t="shared" si="16"/>
        <v>subpar</v>
      </c>
      <c r="AW214" s="22" t="str">
        <f t="shared" ref="AW214:BC214" si="1074">IF(IFERROR(SEARCH(E$1, $D214),0) &gt;= 1, E$1,0)</f>
        <v>Geschiedenis en archeologie</v>
      </c>
      <c r="AX214" s="22">
        <f t="shared" si="1074"/>
        <v>0</v>
      </c>
      <c r="AY214" s="22">
        <f t="shared" si="1074"/>
        <v>0</v>
      </c>
      <c r="AZ214" s="22">
        <f t="shared" si="1074"/>
        <v>0</v>
      </c>
      <c r="BA214" s="22">
        <f t="shared" si="1074"/>
        <v>0</v>
      </c>
      <c r="BB214" s="22" t="str">
        <f t="shared" si="1074"/>
        <v>Beeldende kunst</v>
      </c>
      <c r="BC214" s="22">
        <f t="shared" si="1074"/>
        <v>0</v>
      </c>
      <c r="BD214" s="22" t="str">
        <f t="shared" ref="BD214:BG214" si="1075">IF(L214 = true, BD$1, 0)</f>
        <v>Shop</v>
      </c>
      <c r="BE214" s="22">
        <f t="shared" si="1075"/>
        <v>0</v>
      </c>
      <c r="BF214" s="22">
        <f t="shared" si="1075"/>
        <v>0</v>
      </c>
      <c r="BG214" s="22">
        <f t="shared" si="1075"/>
        <v>0</v>
      </c>
      <c r="BH214" s="22" t="str">
        <f>IFERROR(__xludf.DUMMYFUNCTION("""COMPUTED_VALUE"""),"Stripmuseum Brussel")</f>
        <v>Stripmuseum Brussel</v>
      </c>
      <c r="BI214" s="24">
        <f>IFERROR(__xludf.DUMMYFUNCTION("""COMPUTED_VALUE"""),14.0)</f>
        <v>14</v>
      </c>
      <c r="BJ214" s="22" t="b">
        <f>IFERROR(__xludf.DUMMYFUNCTION("""COMPUTED_VALUE"""),FALSE)</f>
        <v>0</v>
      </c>
      <c r="BK214" s="22" t="b">
        <f>IFERROR(__xludf.DUMMYFUNCTION("""COMPUTED_VALUE"""),TRUE)</f>
        <v>1</v>
      </c>
      <c r="BL214" s="24">
        <f>IFERROR(__xludf.DUMMYFUNCTION("""COMPUTED_VALUE"""),0.0)</f>
        <v>0</v>
      </c>
      <c r="BM214" s="22">
        <f>IFERROR(__xludf.DUMMYFUNCTION("""COMPUTED_VALUE"""),0.0)</f>
        <v>0</v>
      </c>
      <c r="BN214" s="22">
        <f>IFERROR(__xludf.DUMMYFUNCTION("""COMPUTED_VALUE"""),0.0)</f>
        <v>0</v>
      </c>
      <c r="BO214" s="22">
        <f>IFERROR(__xludf.DUMMYFUNCTION("""COMPUTED_VALUE"""),0.0)</f>
        <v>0</v>
      </c>
      <c r="BP214" s="22">
        <f>IFERROR(__xludf.DUMMYFUNCTION("""COMPUTED_VALUE"""),0.0)</f>
        <v>0</v>
      </c>
      <c r="BQ214" s="22">
        <f>IFERROR(__xludf.DUMMYFUNCTION("""COMPUTED_VALUE"""),0.0)</f>
        <v>0</v>
      </c>
      <c r="BR214" s="22">
        <f>IFERROR(__xludf.DUMMYFUNCTION("""COMPUTED_VALUE"""),0.0)</f>
        <v>0</v>
      </c>
      <c r="BS214" s="22">
        <f>IFERROR(__xludf.DUMMYFUNCTION("""COMPUTED_VALUE"""),1.0)</f>
        <v>1</v>
      </c>
      <c r="BT214" s="22">
        <f>IFERROR(__xludf.DUMMYFUNCTION("""COMPUTED_VALUE"""),0.0)</f>
        <v>0</v>
      </c>
      <c r="BU214" s="22">
        <f>IFERROR(__xludf.DUMMYFUNCTION("""COMPUTED_VALUE"""),1.0)</f>
        <v>1</v>
      </c>
      <c r="BV214" s="22">
        <f>IFERROR(__xludf.DUMMYFUNCTION("""COMPUTED_VALUE"""),0.0)</f>
        <v>0</v>
      </c>
      <c r="BW214" s="22">
        <f>IFERROR(__xludf.DUMMYFUNCTION("""COMPUTED_VALUE"""),1.0)</f>
        <v>1</v>
      </c>
      <c r="BX214" s="22">
        <f>IFERROR(__xludf.DUMMYFUNCTION("""COMPUTED_VALUE"""),1.0)</f>
        <v>1</v>
      </c>
      <c r="BY214" s="22">
        <f>IFERROR(__xludf.DUMMYFUNCTION("""COMPUTED_VALUE"""),0.0)</f>
        <v>0</v>
      </c>
      <c r="BZ214" s="22">
        <f>IFERROR(__xludf.DUMMYFUNCTION("""COMPUTED_VALUE"""),0.0)</f>
        <v>0</v>
      </c>
      <c r="CA214" s="22">
        <f>IFERROR(__xludf.DUMMYFUNCTION("""COMPUTED_VALUE"""),2.0)</f>
        <v>2</v>
      </c>
      <c r="CB214" s="22">
        <f>IFERROR(__xludf.DUMMYFUNCTION("""COMPUTED_VALUE"""),3.0)</f>
        <v>3</v>
      </c>
      <c r="CC214" s="61">
        <f>IFERROR(__xludf.DUMMYFUNCTION("""COMPUTED_VALUE"""),1.875)</f>
        <v>1.875</v>
      </c>
      <c r="CD214" s="62" t="str">
        <f>IFERROR(__xludf.DUMMYFUNCTION("""COMPUTED_VALUE"""),"subpar")</f>
        <v>subpar</v>
      </c>
      <c r="CE214" s="22" t="s">
        <v>469</v>
      </c>
      <c r="CF214" s="24">
        <v>14.0</v>
      </c>
      <c r="CG214" s="22" t="b">
        <v>0</v>
      </c>
      <c r="CH214" s="22" t="b">
        <v>1</v>
      </c>
      <c r="CI214" s="24">
        <v>0.0</v>
      </c>
      <c r="CJ214" s="22">
        <v>0.0</v>
      </c>
      <c r="CK214" s="22">
        <v>0.0</v>
      </c>
      <c r="CL214" s="22">
        <v>0.0</v>
      </c>
      <c r="CM214" s="22">
        <v>0.0</v>
      </c>
      <c r="CN214" s="22">
        <v>0.0</v>
      </c>
      <c r="CO214" s="22">
        <v>0.0</v>
      </c>
      <c r="CP214" s="22">
        <v>1.0</v>
      </c>
      <c r="CQ214" s="22">
        <v>0.0</v>
      </c>
      <c r="CR214" s="22">
        <v>1.0</v>
      </c>
      <c r="CS214" s="22">
        <v>0.0</v>
      </c>
      <c r="CT214" s="22">
        <v>1.0</v>
      </c>
      <c r="CU214" s="22">
        <v>1.0</v>
      </c>
      <c r="CV214" s="22">
        <v>0.0</v>
      </c>
      <c r="CW214" s="22">
        <v>0.0</v>
      </c>
      <c r="CX214" s="22">
        <v>2.0</v>
      </c>
      <c r="CY214" s="22">
        <v>3.0</v>
      </c>
      <c r="CZ214" s="61">
        <v>1.875</v>
      </c>
      <c r="DA214" s="62" t="s">
        <v>568</v>
      </c>
    </row>
    <row r="215">
      <c r="A215" s="16" t="s">
        <v>450</v>
      </c>
      <c r="B215" s="16" t="s">
        <v>451</v>
      </c>
      <c r="C215" s="17" t="s">
        <v>51</v>
      </c>
      <c r="D215" s="16" t="s">
        <v>144</v>
      </c>
      <c r="E215" s="17" t="b">
        <f t="shared" ref="E215:K215" si="1076">If(IFERROR(SEARCH(E$1, $D215),0) &gt;= 1, true,false)</f>
        <v>1</v>
      </c>
      <c r="F215" s="17" t="b">
        <f t="shared" si="1076"/>
        <v>0</v>
      </c>
      <c r="G215" s="17" t="b">
        <f t="shared" si="1076"/>
        <v>0</v>
      </c>
      <c r="H215" s="17" t="b">
        <f t="shared" si="1076"/>
        <v>0</v>
      </c>
      <c r="I215" s="17" t="b">
        <f t="shared" si="1076"/>
        <v>1</v>
      </c>
      <c r="J215" s="17" t="b">
        <f t="shared" si="1076"/>
        <v>0</v>
      </c>
      <c r="K215" s="17" t="b">
        <f t="shared" si="1076"/>
        <v>0</v>
      </c>
      <c r="L215" s="18" t="b">
        <v>1</v>
      </c>
      <c r="M215" s="18" t="b">
        <v>1</v>
      </c>
      <c r="N215" s="18" t="b">
        <v>0</v>
      </c>
      <c r="O215" s="18" t="b">
        <v>1</v>
      </c>
      <c r="P215" s="16" t="str">
        <f t="shared" si="7"/>
        <v>muziekinstrumentenmuseum</v>
      </c>
      <c r="Q215" s="19">
        <v>15.0</v>
      </c>
      <c r="R215" s="18" t="b">
        <v>0</v>
      </c>
      <c r="S215" s="18" t="b">
        <v>0</v>
      </c>
      <c r="U215" s="21">
        <f t="shared" si="8"/>
        <v>0</v>
      </c>
      <c r="V215" s="21">
        <f t="shared" ref="V215:AB215" si="1077">if(OR(AW215 = $AO$4, AW215 = $AQ$4), 1, 0)</f>
        <v>1</v>
      </c>
      <c r="W215" s="21">
        <f t="shared" si="1077"/>
        <v>0</v>
      </c>
      <c r="X215" s="21">
        <f t="shared" si="1077"/>
        <v>0</v>
      </c>
      <c r="Y215" s="21">
        <f t="shared" si="1077"/>
        <v>0</v>
      </c>
      <c r="Z215" s="21">
        <f t="shared" si="1077"/>
        <v>0</v>
      </c>
      <c r="AA215" s="21">
        <f t="shared" si="1077"/>
        <v>0</v>
      </c>
      <c r="AB215" s="21">
        <f t="shared" si="1077"/>
        <v>0</v>
      </c>
      <c r="AC215" s="21">
        <f t="shared" si="10"/>
        <v>1</v>
      </c>
      <c r="AD215" s="21">
        <f t="shared" si="11"/>
        <v>0</v>
      </c>
      <c r="AE215" s="21">
        <f t="shared" ref="AE215:AH215" si="1078">if(OR(BD215 = $AO$6, BD215 = $AS$6, BD215 = $AT$6, BD215 = $AU$6), 1, 0)</f>
        <v>1</v>
      </c>
      <c r="AF215" s="21">
        <f t="shared" si="1078"/>
        <v>1</v>
      </c>
      <c r="AG215" s="21">
        <f t="shared" si="1078"/>
        <v>0</v>
      </c>
      <c r="AH215" s="21">
        <f t="shared" si="1078"/>
        <v>1</v>
      </c>
      <c r="AI215" s="21">
        <f t="shared" si="13"/>
        <v>3</v>
      </c>
      <c r="AJ215" s="21">
        <f t="shared" si="14"/>
        <v>4</v>
      </c>
      <c r="AK215" s="59">
        <f t="shared" si="15"/>
        <v>2.5</v>
      </c>
      <c r="AL215" s="60" t="str">
        <f t="shared" si="16"/>
        <v>subpar</v>
      </c>
      <c r="AW215" s="22" t="str">
        <f t="shared" ref="AW215:BC215" si="1079">IF(IFERROR(SEARCH(E$1, $D215),0) &gt;= 1, E$1,0)</f>
        <v>Geschiedenis en archeologie</v>
      </c>
      <c r="AX215" s="22">
        <f t="shared" si="1079"/>
        <v>0</v>
      </c>
      <c r="AY215" s="22">
        <f t="shared" si="1079"/>
        <v>0</v>
      </c>
      <c r="AZ215" s="22">
        <f t="shared" si="1079"/>
        <v>0</v>
      </c>
      <c r="BA215" s="22" t="str">
        <f t="shared" si="1079"/>
        <v>Architectuur</v>
      </c>
      <c r="BB215" s="22">
        <f t="shared" si="1079"/>
        <v>0</v>
      </c>
      <c r="BC215" s="22">
        <f t="shared" si="1079"/>
        <v>0</v>
      </c>
      <c r="BD215" s="22" t="str">
        <f t="shared" ref="BD215:BG215" si="1080">IF(L215 = true, BD$1, 0)</f>
        <v>Shop</v>
      </c>
      <c r="BE215" s="22" t="str">
        <f t="shared" si="1080"/>
        <v>Café</v>
      </c>
      <c r="BF215" s="22">
        <f t="shared" si="1080"/>
        <v>0</v>
      </c>
      <c r="BG215" s="22" t="str">
        <f t="shared" si="1080"/>
        <v>Restaurant</v>
      </c>
      <c r="BH215" s="22" t="str">
        <f>IFERROR(__xludf.DUMMYFUNCTION("""COMPUTED_VALUE"""),"Museum en Tuinen van Buuren")</f>
        <v>Museum en Tuinen van Buuren</v>
      </c>
      <c r="BI215" s="24">
        <f>IFERROR(__xludf.DUMMYFUNCTION("""COMPUTED_VALUE"""),18.0)</f>
        <v>18</v>
      </c>
      <c r="BJ215" s="22" t="b">
        <f>IFERROR(__xludf.DUMMYFUNCTION("""COMPUTED_VALUE"""),FALSE)</f>
        <v>0</v>
      </c>
      <c r="BK215" s="22" t="b">
        <f>IFERROR(__xludf.DUMMYFUNCTION("""COMPUTED_VALUE"""),FALSE)</f>
        <v>0</v>
      </c>
      <c r="BL215" s="22"/>
      <c r="BM215" s="22">
        <f>IFERROR(__xludf.DUMMYFUNCTION("""COMPUTED_VALUE"""),0.0)</f>
        <v>0</v>
      </c>
      <c r="BN215" s="22">
        <f>IFERROR(__xludf.DUMMYFUNCTION("""COMPUTED_VALUE"""),1.0)</f>
        <v>1</v>
      </c>
      <c r="BO215" s="22">
        <f>IFERROR(__xludf.DUMMYFUNCTION("""COMPUTED_VALUE"""),0.0)</f>
        <v>0</v>
      </c>
      <c r="BP215" s="22">
        <f>IFERROR(__xludf.DUMMYFUNCTION("""COMPUTED_VALUE"""),0.0)</f>
        <v>0</v>
      </c>
      <c r="BQ215" s="22">
        <f>IFERROR(__xludf.DUMMYFUNCTION("""COMPUTED_VALUE"""),0.0)</f>
        <v>0</v>
      </c>
      <c r="BR215" s="22">
        <f>IFERROR(__xludf.DUMMYFUNCTION("""COMPUTED_VALUE"""),0.0)</f>
        <v>0</v>
      </c>
      <c r="BS215" s="22">
        <f>IFERROR(__xludf.DUMMYFUNCTION("""COMPUTED_VALUE"""),1.0)</f>
        <v>1</v>
      </c>
      <c r="BT215" s="22">
        <f>IFERROR(__xludf.DUMMYFUNCTION("""COMPUTED_VALUE"""),0.0)</f>
        <v>0</v>
      </c>
      <c r="BU215" s="22">
        <f>IFERROR(__xludf.DUMMYFUNCTION("""COMPUTED_VALUE"""),2.0)</f>
        <v>2</v>
      </c>
      <c r="BV215" s="22">
        <f>IFERROR(__xludf.DUMMYFUNCTION("""COMPUTED_VALUE"""),0.0)</f>
        <v>0</v>
      </c>
      <c r="BW215" s="22">
        <f>IFERROR(__xludf.DUMMYFUNCTION("""COMPUTED_VALUE"""),1.0)</f>
        <v>1</v>
      </c>
      <c r="BX215" s="22">
        <f>IFERROR(__xludf.DUMMYFUNCTION("""COMPUTED_VALUE"""),0.0)</f>
        <v>0</v>
      </c>
      <c r="BY215" s="22">
        <f>IFERROR(__xludf.DUMMYFUNCTION("""COMPUTED_VALUE"""),0.0)</f>
        <v>0</v>
      </c>
      <c r="BZ215" s="22">
        <f>IFERROR(__xludf.DUMMYFUNCTION("""COMPUTED_VALUE"""),0.0)</f>
        <v>0</v>
      </c>
      <c r="CA215" s="22">
        <f>IFERROR(__xludf.DUMMYFUNCTION("""COMPUTED_VALUE"""),1.0)</f>
        <v>1</v>
      </c>
      <c r="CB215" s="22">
        <f>IFERROR(__xludf.DUMMYFUNCTION("""COMPUTED_VALUE"""),3.0)</f>
        <v>3</v>
      </c>
      <c r="CC215" s="61">
        <f>IFERROR(__xludf.DUMMYFUNCTION("""COMPUTED_VALUE"""),1.875)</f>
        <v>1.875</v>
      </c>
      <c r="CD215" s="62" t="str">
        <f>IFERROR(__xludf.DUMMYFUNCTION("""COMPUTED_VALUE"""),"subpar")</f>
        <v>subpar</v>
      </c>
      <c r="CE215" s="22" t="s">
        <v>477</v>
      </c>
      <c r="CF215" s="24">
        <v>18.0</v>
      </c>
      <c r="CG215" s="22" t="b">
        <v>0</v>
      </c>
      <c r="CH215" s="22" t="b">
        <v>0</v>
      </c>
      <c r="CI215" s="22"/>
      <c r="CJ215" s="22">
        <v>0.0</v>
      </c>
      <c r="CK215" s="22">
        <v>1.0</v>
      </c>
      <c r="CL215" s="22">
        <v>0.0</v>
      </c>
      <c r="CM215" s="22">
        <v>0.0</v>
      </c>
      <c r="CN215" s="22">
        <v>0.0</v>
      </c>
      <c r="CO215" s="22">
        <v>0.0</v>
      </c>
      <c r="CP215" s="22">
        <v>1.0</v>
      </c>
      <c r="CQ215" s="22">
        <v>0.0</v>
      </c>
      <c r="CR215" s="22">
        <v>2.0</v>
      </c>
      <c r="CS215" s="22">
        <v>0.0</v>
      </c>
      <c r="CT215" s="22">
        <v>1.0</v>
      </c>
      <c r="CU215" s="22">
        <v>0.0</v>
      </c>
      <c r="CV215" s="22">
        <v>0.0</v>
      </c>
      <c r="CW215" s="22">
        <v>0.0</v>
      </c>
      <c r="CX215" s="22">
        <v>1.0</v>
      </c>
      <c r="CY215" s="22">
        <v>3.0</v>
      </c>
      <c r="CZ215" s="61">
        <v>1.875</v>
      </c>
      <c r="DA215" s="62" t="s">
        <v>568</v>
      </c>
    </row>
    <row r="216">
      <c r="A216" s="16" t="s">
        <v>452</v>
      </c>
      <c r="B216" s="16" t="s">
        <v>453</v>
      </c>
      <c r="C216" s="17" t="s">
        <v>51</v>
      </c>
      <c r="D216" s="16" t="s">
        <v>344</v>
      </c>
      <c r="E216" s="17" t="b">
        <f t="shared" ref="E216:K216" si="1081">If(IFERROR(SEARCH(E$1, $D216),0) &gt;= 1, true,false)</f>
        <v>1</v>
      </c>
      <c r="F216" s="17" t="b">
        <f t="shared" si="1081"/>
        <v>0</v>
      </c>
      <c r="G216" s="17" t="b">
        <f t="shared" si="1081"/>
        <v>0</v>
      </c>
      <c r="H216" s="17" t="b">
        <f t="shared" si="1081"/>
        <v>0</v>
      </c>
      <c r="I216" s="17" t="b">
        <f t="shared" si="1081"/>
        <v>0</v>
      </c>
      <c r="J216" s="17" t="b">
        <f t="shared" si="1081"/>
        <v>0</v>
      </c>
      <c r="K216" s="17" t="b">
        <f t="shared" si="1081"/>
        <v>0</v>
      </c>
      <c r="L216" s="18" t="b">
        <v>0</v>
      </c>
      <c r="M216" s="18" t="b">
        <v>0</v>
      </c>
      <c r="N216" s="18" t="b">
        <v>1</v>
      </c>
      <c r="O216" s="18" t="b">
        <v>0</v>
      </c>
      <c r="P216" s="16" t="str">
        <f t="shared" si="7"/>
        <v>Gemeentelijk Museum van Sint-Jans-Molenbeek</v>
      </c>
      <c r="Q216" s="19">
        <v>5.0</v>
      </c>
      <c r="R216" s="18" t="b">
        <v>0</v>
      </c>
      <c r="S216" s="18" t="b">
        <v>0</v>
      </c>
      <c r="U216" s="21">
        <f t="shared" si="8"/>
        <v>0</v>
      </c>
      <c r="V216" s="21">
        <f t="shared" ref="V216:AB216" si="1082">if(OR(AW216 = $AO$4, AW216 = $AQ$4), 1, 0)</f>
        <v>1</v>
      </c>
      <c r="W216" s="21">
        <f t="shared" si="1082"/>
        <v>0</v>
      </c>
      <c r="X216" s="21">
        <f t="shared" si="1082"/>
        <v>0</v>
      </c>
      <c r="Y216" s="21">
        <f t="shared" si="1082"/>
        <v>0</v>
      </c>
      <c r="Z216" s="21">
        <f t="shared" si="1082"/>
        <v>0</v>
      </c>
      <c r="AA216" s="21">
        <f t="shared" si="1082"/>
        <v>0</v>
      </c>
      <c r="AB216" s="21">
        <f t="shared" si="1082"/>
        <v>0</v>
      </c>
      <c r="AC216" s="21">
        <f t="shared" si="10"/>
        <v>1</v>
      </c>
      <c r="AD216" s="21">
        <f t="shared" si="11"/>
        <v>1</v>
      </c>
      <c r="AE216" s="21">
        <f t="shared" ref="AE216:AH216" si="1083">if(OR(BD216 = $AO$6, BD216 = $AS$6, BD216 = $AT$6, BD216 = $AU$6), 1, 0)</f>
        <v>0</v>
      </c>
      <c r="AF216" s="21">
        <f t="shared" si="1083"/>
        <v>0</v>
      </c>
      <c r="AG216" s="21">
        <f t="shared" si="1083"/>
        <v>1</v>
      </c>
      <c r="AH216" s="21">
        <f t="shared" si="1083"/>
        <v>0</v>
      </c>
      <c r="AI216" s="21">
        <f t="shared" si="13"/>
        <v>1</v>
      </c>
      <c r="AJ216" s="21">
        <f t="shared" si="14"/>
        <v>3</v>
      </c>
      <c r="AK216" s="59">
        <f t="shared" si="15"/>
        <v>1.875</v>
      </c>
      <c r="AL216" s="60" t="str">
        <f t="shared" si="16"/>
        <v>subpar</v>
      </c>
      <c r="AW216" s="22" t="str">
        <f t="shared" ref="AW216:BC216" si="1084">IF(IFERROR(SEARCH(E$1, $D216),0) &gt;= 1, E$1,0)</f>
        <v>Geschiedenis en archeologie</v>
      </c>
      <c r="AX216" s="22">
        <f t="shared" si="1084"/>
        <v>0</v>
      </c>
      <c r="AY216" s="22">
        <f t="shared" si="1084"/>
        <v>0</v>
      </c>
      <c r="AZ216" s="22">
        <f t="shared" si="1084"/>
        <v>0</v>
      </c>
      <c r="BA216" s="22">
        <f t="shared" si="1084"/>
        <v>0</v>
      </c>
      <c r="BB216" s="22">
        <f t="shared" si="1084"/>
        <v>0</v>
      </c>
      <c r="BC216" s="22">
        <f t="shared" si="1084"/>
        <v>0</v>
      </c>
      <c r="BD216" s="22">
        <f t="shared" ref="BD216:BG216" si="1085">IF(L216 = true, BD$1, 0)</f>
        <v>0</v>
      </c>
      <c r="BE216" s="22">
        <f t="shared" si="1085"/>
        <v>0</v>
      </c>
      <c r="BF216" s="22" t="str">
        <f t="shared" si="1085"/>
        <v>Parking</v>
      </c>
      <c r="BG216" s="22">
        <f t="shared" si="1085"/>
        <v>0</v>
      </c>
      <c r="BH216" s="22" t="str">
        <f>IFERROR(__xludf.DUMMYFUNCTION("""COMPUTED_VALUE"""),"Joods Museum van België")</f>
        <v>Joods Museum van België</v>
      </c>
      <c r="BI216" s="24">
        <f>IFERROR(__xludf.DUMMYFUNCTION("""COMPUTED_VALUE"""),10.0)</f>
        <v>10</v>
      </c>
      <c r="BJ216" s="22" t="b">
        <f>IFERROR(__xludf.DUMMYFUNCTION("""COMPUTED_VALUE"""),TRUE)</f>
        <v>1</v>
      </c>
      <c r="BK216" s="22" t="b">
        <f>IFERROR(__xludf.DUMMYFUNCTION("""COMPUTED_VALUE"""),FALSE)</f>
        <v>0</v>
      </c>
      <c r="BL216" s="22"/>
      <c r="BM216" s="22">
        <f>IFERROR(__xludf.DUMMYFUNCTION("""COMPUTED_VALUE"""),0.0)</f>
        <v>0</v>
      </c>
      <c r="BN216" s="22">
        <f>IFERROR(__xludf.DUMMYFUNCTION("""COMPUTED_VALUE"""),1.0)</f>
        <v>1</v>
      </c>
      <c r="BO216" s="22">
        <f>IFERROR(__xludf.DUMMYFUNCTION("""COMPUTED_VALUE"""),0.0)</f>
        <v>0</v>
      </c>
      <c r="BP216" s="22">
        <f>IFERROR(__xludf.DUMMYFUNCTION("""COMPUTED_VALUE"""),0.0)</f>
        <v>0</v>
      </c>
      <c r="BQ216" s="22">
        <f>IFERROR(__xludf.DUMMYFUNCTION("""COMPUTED_VALUE"""),0.0)</f>
        <v>0</v>
      </c>
      <c r="BR216" s="22">
        <f>IFERROR(__xludf.DUMMYFUNCTION("""COMPUTED_VALUE"""),0.0)</f>
        <v>0</v>
      </c>
      <c r="BS216" s="22">
        <f>IFERROR(__xludf.DUMMYFUNCTION("""COMPUTED_VALUE"""),1.0)</f>
        <v>1</v>
      </c>
      <c r="BT216" s="22">
        <f>IFERROR(__xludf.DUMMYFUNCTION("""COMPUTED_VALUE"""),0.0)</f>
        <v>0</v>
      </c>
      <c r="BU216" s="22">
        <f>IFERROR(__xludf.DUMMYFUNCTION("""COMPUTED_VALUE"""),2.0)</f>
        <v>2</v>
      </c>
      <c r="BV216" s="22">
        <f>IFERROR(__xludf.DUMMYFUNCTION("""COMPUTED_VALUE"""),1.0)</f>
        <v>1</v>
      </c>
      <c r="BW216" s="22">
        <f>IFERROR(__xludf.DUMMYFUNCTION("""COMPUTED_VALUE"""),0.0)</f>
        <v>0</v>
      </c>
      <c r="BX216" s="22">
        <f>IFERROR(__xludf.DUMMYFUNCTION("""COMPUTED_VALUE"""),0.0)</f>
        <v>0</v>
      </c>
      <c r="BY216" s="22">
        <f>IFERROR(__xludf.DUMMYFUNCTION("""COMPUTED_VALUE"""),0.0)</f>
        <v>0</v>
      </c>
      <c r="BZ216" s="22">
        <f>IFERROR(__xludf.DUMMYFUNCTION("""COMPUTED_VALUE"""),0.0)</f>
        <v>0</v>
      </c>
      <c r="CA216" s="22">
        <f>IFERROR(__xludf.DUMMYFUNCTION("""COMPUTED_VALUE"""),0.0)</f>
        <v>0</v>
      </c>
      <c r="CB216" s="22">
        <f>IFERROR(__xludf.DUMMYFUNCTION("""COMPUTED_VALUE"""),3.0)</f>
        <v>3</v>
      </c>
      <c r="CC216" s="61">
        <f>IFERROR(__xludf.DUMMYFUNCTION("""COMPUTED_VALUE"""),1.875)</f>
        <v>1.875</v>
      </c>
      <c r="CD216" s="62" t="str">
        <f>IFERROR(__xludf.DUMMYFUNCTION("""COMPUTED_VALUE"""),"subpar")</f>
        <v>subpar</v>
      </c>
      <c r="CE216" s="22" t="s">
        <v>481</v>
      </c>
      <c r="CF216" s="24">
        <v>10.0</v>
      </c>
      <c r="CG216" s="22" t="b">
        <v>1</v>
      </c>
      <c r="CH216" s="22" t="b">
        <v>0</v>
      </c>
      <c r="CI216" s="22"/>
      <c r="CJ216" s="22">
        <v>0.0</v>
      </c>
      <c r="CK216" s="22">
        <v>1.0</v>
      </c>
      <c r="CL216" s="22">
        <v>0.0</v>
      </c>
      <c r="CM216" s="22">
        <v>0.0</v>
      </c>
      <c r="CN216" s="22">
        <v>0.0</v>
      </c>
      <c r="CO216" s="22">
        <v>0.0</v>
      </c>
      <c r="CP216" s="22">
        <v>1.0</v>
      </c>
      <c r="CQ216" s="22">
        <v>0.0</v>
      </c>
      <c r="CR216" s="22">
        <v>2.0</v>
      </c>
      <c r="CS216" s="22">
        <v>1.0</v>
      </c>
      <c r="CT216" s="22">
        <v>0.0</v>
      </c>
      <c r="CU216" s="22">
        <v>0.0</v>
      </c>
      <c r="CV216" s="22">
        <v>0.0</v>
      </c>
      <c r="CW216" s="22">
        <v>0.0</v>
      </c>
      <c r="CX216" s="22">
        <v>0.0</v>
      </c>
      <c r="CY216" s="22">
        <v>3.0</v>
      </c>
      <c r="CZ216" s="61">
        <v>1.875</v>
      </c>
      <c r="DA216" s="62" t="s">
        <v>568</v>
      </c>
    </row>
    <row r="217">
      <c r="A217" s="16" t="s">
        <v>454</v>
      </c>
      <c r="B217" s="16" t="s">
        <v>455</v>
      </c>
      <c r="C217" s="17" t="s">
        <v>51</v>
      </c>
      <c r="D217" s="16" t="s">
        <v>344</v>
      </c>
      <c r="E217" s="17" t="b">
        <f t="shared" ref="E217:K217" si="1086">If(IFERROR(SEARCH(E$1, $D217),0) &gt;= 1, true,false)</f>
        <v>1</v>
      </c>
      <c r="F217" s="17" t="b">
        <f t="shared" si="1086"/>
        <v>0</v>
      </c>
      <c r="G217" s="17" t="b">
        <f t="shared" si="1086"/>
        <v>0</v>
      </c>
      <c r="H217" s="17" t="b">
        <f t="shared" si="1086"/>
        <v>0</v>
      </c>
      <c r="I217" s="17" t="b">
        <f t="shared" si="1086"/>
        <v>0</v>
      </c>
      <c r="J217" s="17" t="b">
        <f t="shared" si="1086"/>
        <v>0</v>
      </c>
      <c r="K217" s="17" t="b">
        <f t="shared" si="1086"/>
        <v>0</v>
      </c>
      <c r="L217" s="18" t="b">
        <v>1</v>
      </c>
      <c r="M217" s="18" t="b">
        <v>1</v>
      </c>
      <c r="N217" s="18" t="b">
        <v>1</v>
      </c>
      <c r="O217" s="18" t="b">
        <v>1</v>
      </c>
      <c r="P217" s="16" t="str">
        <f t="shared" si="7"/>
        <v>Museum Kunst &amp; Geschiedenis</v>
      </c>
      <c r="Q217" s="19">
        <v>10.0</v>
      </c>
      <c r="R217" s="18" t="b">
        <v>0</v>
      </c>
      <c r="S217" s="18" t="b">
        <v>0</v>
      </c>
      <c r="U217" s="21">
        <f t="shared" si="8"/>
        <v>0</v>
      </c>
      <c r="V217" s="21">
        <f t="shared" ref="V217:AB217" si="1087">if(OR(AW217 = $AO$4, AW217 = $AQ$4), 1, 0)</f>
        <v>1</v>
      </c>
      <c r="W217" s="21">
        <f t="shared" si="1087"/>
        <v>0</v>
      </c>
      <c r="X217" s="21">
        <f t="shared" si="1087"/>
        <v>0</v>
      </c>
      <c r="Y217" s="21">
        <f t="shared" si="1087"/>
        <v>0</v>
      </c>
      <c r="Z217" s="21">
        <f t="shared" si="1087"/>
        <v>0</v>
      </c>
      <c r="AA217" s="21">
        <f t="shared" si="1087"/>
        <v>0</v>
      </c>
      <c r="AB217" s="21">
        <f t="shared" si="1087"/>
        <v>0</v>
      </c>
      <c r="AC217" s="21">
        <f t="shared" si="10"/>
        <v>1</v>
      </c>
      <c r="AD217" s="21">
        <f t="shared" si="11"/>
        <v>1</v>
      </c>
      <c r="AE217" s="21">
        <f t="shared" ref="AE217:AH217" si="1088">if(OR(BD217 = $AO$6, BD217 = $AS$6, BD217 = $AT$6, BD217 = $AU$6), 1, 0)</f>
        <v>1</v>
      </c>
      <c r="AF217" s="21">
        <f t="shared" si="1088"/>
        <v>1</v>
      </c>
      <c r="AG217" s="21">
        <f t="shared" si="1088"/>
        <v>1</v>
      </c>
      <c r="AH217" s="21">
        <f t="shared" si="1088"/>
        <v>1</v>
      </c>
      <c r="AI217" s="21">
        <f t="shared" si="13"/>
        <v>4</v>
      </c>
      <c r="AJ217" s="21">
        <f t="shared" si="14"/>
        <v>6</v>
      </c>
      <c r="AK217" s="59">
        <f t="shared" si="15"/>
        <v>3.75</v>
      </c>
      <c r="AL217" s="60" t="str">
        <f t="shared" si="16"/>
        <v>good</v>
      </c>
      <c r="AW217" s="22" t="str">
        <f t="shared" ref="AW217:BC217" si="1089">IF(IFERROR(SEARCH(E$1, $D217),0) &gt;= 1, E$1,0)</f>
        <v>Geschiedenis en archeologie</v>
      </c>
      <c r="AX217" s="22">
        <f t="shared" si="1089"/>
        <v>0</v>
      </c>
      <c r="AY217" s="22">
        <f t="shared" si="1089"/>
        <v>0</v>
      </c>
      <c r="AZ217" s="22">
        <f t="shared" si="1089"/>
        <v>0</v>
      </c>
      <c r="BA217" s="22">
        <f t="shared" si="1089"/>
        <v>0</v>
      </c>
      <c r="BB217" s="22">
        <f t="shared" si="1089"/>
        <v>0</v>
      </c>
      <c r="BC217" s="22">
        <f t="shared" si="1089"/>
        <v>0</v>
      </c>
      <c r="BD217" s="22" t="str">
        <f t="shared" ref="BD217:BG217" si="1090">IF(L217 = true, BD$1, 0)</f>
        <v>Shop</v>
      </c>
      <c r="BE217" s="22" t="str">
        <f t="shared" si="1090"/>
        <v>Café</v>
      </c>
      <c r="BF217" s="22" t="str">
        <f t="shared" si="1090"/>
        <v>Parking</v>
      </c>
      <c r="BG217" s="22" t="str">
        <f t="shared" si="1090"/>
        <v>Restaurant</v>
      </c>
      <c r="BH217" s="22" t="str">
        <f>IFERROR(__xludf.DUMMYFUNCTION("""COMPUTED_VALUE"""),"Mode &amp; Kant Museum")</f>
        <v>Mode &amp; Kant Museum</v>
      </c>
      <c r="BI217" s="24">
        <f>IFERROR(__xludf.DUMMYFUNCTION("""COMPUTED_VALUE"""),10.0)</f>
        <v>10</v>
      </c>
      <c r="BJ217" s="22" t="b">
        <f>IFERROR(__xludf.DUMMYFUNCTION("""COMPUTED_VALUE"""),FALSE)</f>
        <v>0</v>
      </c>
      <c r="BK217" s="22" t="b">
        <f>IFERROR(__xludf.DUMMYFUNCTION("""COMPUTED_VALUE"""),TRUE)</f>
        <v>1</v>
      </c>
      <c r="BL217" s="24">
        <f>IFERROR(__xludf.DUMMYFUNCTION("""COMPUTED_VALUE"""),10.0)</f>
        <v>10</v>
      </c>
      <c r="BM217" s="22">
        <f>IFERROR(__xludf.DUMMYFUNCTION("""COMPUTED_VALUE"""),0.0)</f>
        <v>0</v>
      </c>
      <c r="BN217" s="22">
        <f>IFERROR(__xludf.DUMMYFUNCTION("""COMPUTED_VALUE"""),0.0)</f>
        <v>0</v>
      </c>
      <c r="BO217" s="22">
        <f>IFERROR(__xludf.DUMMYFUNCTION("""COMPUTED_VALUE"""),0.0)</f>
        <v>0</v>
      </c>
      <c r="BP217" s="22">
        <f>IFERROR(__xludf.DUMMYFUNCTION("""COMPUTED_VALUE"""),0.0)</f>
        <v>0</v>
      </c>
      <c r="BQ217" s="22">
        <f>IFERROR(__xludf.DUMMYFUNCTION("""COMPUTED_VALUE"""),0.0)</f>
        <v>0</v>
      </c>
      <c r="BR217" s="22">
        <f>IFERROR(__xludf.DUMMYFUNCTION("""COMPUTED_VALUE"""),0.0)</f>
        <v>0</v>
      </c>
      <c r="BS217" s="22">
        <f>IFERROR(__xludf.DUMMYFUNCTION("""COMPUTED_VALUE"""),1.0)</f>
        <v>1</v>
      </c>
      <c r="BT217" s="22">
        <f>IFERROR(__xludf.DUMMYFUNCTION("""COMPUTED_VALUE"""),0.0)</f>
        <v>0</v>
      </c>
      <c r="BU217" s="22">
        <f>IFERROR(__xludf.DUMMYFUNCTION("""COMPUTED_VALUE"""),1.0)</f>
        <v>1</v>
      </c>
      <c r="BV217" s="22">
        <f>IFERROR(__xludf.DUMMYFUNCTION("""COMPUTED_VALUE"""),1.0)</f>
        <v>1</v>
      </c>
      <c r="BW217" s="22">
        <f>IFERROR(__xludf.DUMMYFUNCTION("""COMPUTED_VALUE"""),1.0)</f>
        <v>1</v>
      </c>
      <c r="BX217" s="22">
        <f>IFERROR(__xludf.DUMMYFUNCTION("""COMPUTED_VALUE"""),0.0)</f>
        <v>0</v>
      </c>
      <c r="BY217" s="22">
        <f>IFERROR(__xludf.DUMMYFUNCTION("""COMPUTED_VALUE"""),0.0)</f>
        <v>0</v>
      </c>
      <c r="BZ217" s="22">
        <f>IFERROR(__xludf.DUMMYFUNCTION("""COMPUTED_VALUE"""),0.0)</f>
        <v>0</v>
      </c>
      <c r="CA217" s="22">
        <f>IFERROR(__xludf.DUMMYFUNCTION("""COMPUTED_VALUE"""),1.0)</f>
        <v>1</v>
      </c>
      <c r="CB217" s="22">
        <f>IFERROR(__xludf.DUMMYFUNCTION("""COMPUTED_VALUE"""),3.0)</f>
        <v>3</v>
      </c>
      <c r="CC217" s="61">
        <f>IFERROR(__xludf.DUMMYFUNCTION("""COMPUTED_VALUE"""),1.875)</f>
        <v>1.875</v>
      </c>
      <c r="CD217" s="62" t="str">
        <f>IFERROR(__xludf.DUMMYFUNCTION("""COMPUTED_VALUE"""),"subpar")</f>
        <v>subpar</v>
      </c>
      <c r="CE217" s="22" t="s">
        <v>483</v>
      </c>
      <c r="CF217" s="24">
        <v>10.0</v>
      </c>
      <c r="CG217" s="22" t="b">
        <v>0</v>
      </c>
      <c r="CH217" s="22" t="b">
        <v>1</v>
      </c>
      <c r="CI217" s="24">
        <v>10.0</v>
      </c>
      <c r="CJ217" s="22">
        <v>0.0</v>
      </c>
      <c r="CK217" s="22">
        <v>0.0</v>
      </c>
      <c r="CL217" s="22">
        <v>0.0</v>
      </c>
      <c r="CM217" s="22">
        <v>0.0</v>
      </c>
      <c r="CN217" s="22">
        <v>0.0</v>
      </c>
      <c r="CO217" s="22">
        <v>0.0</v>
      </c>
      <c r="CP217" s="22">
        <v>1.0</v>
      </c>
      <c r="CQ217" s="22">
        <v>0.0</v>
      </c>
      <c r="CR217" s="22">
        <v>1.0</v>
      </c>
      <c r="CS217" s="22">
        <v>1.0</v>
      </c>
      <c r="CT217" s="22">
        <v>1.0</v>
      </c>
      <c r="CU217" s="22">
        <v>0.0</v>
      </c>
      <c r="CV217" s="22">
        <v>0.0</v>
      </c>
      <c r="CW217" s="22">
        <v>0.0</v>
      </c>
      <c r="CX217" s="22">
        <v>1.0</v>
      </c>
      <c r="CY217" s="22">
        <v>3.0</v>
      </c>
      <c r="CZ217" s="61">
        <v>1.875</v>
      </c>
      <c r="DA217" s="62" t="s">
        <v>568</v>
      </c>
    </row>
    <row r="218">
      <c r="A218" s="16" t="s">
        <v>456</v>
      </c>
      <c r="B218" s="16" t="s">
        <v>457</v>
      </c>
      <c r="C218" s="17" t="s">
        <v>51</v>
      </c>
      <c r="D218" s="16" t="s">
        <v>458</v>
      </c>
      <c r="E218" s="17" t="b">
        <f t="shared" ref="E218:K218" si="1091">If(IFERROR(SEARCH(E$1, $D218),0) &gt;= 1, true,false)</f>
        <v>1</v>
      </c>
      <c r="F218" s="17" t="b">
        <f t="shared" si="1091"/>
        <v>0</v>
      </c>
      <c r="G218" s="17" t="b">
        <f t="shared" si="1091"/>
        <v>0</v>
      </c>
      <c r="H218" s="17" t="b">
        <f t="shared" si="1091"/>
        <v>0</v>
      </c>
      <c r="I218" s="17" t="b">
        <f t="shared" si="1091"/>
        <v>1</v>
      </c>
      <c r="J218" s="17" t="b">
        <f t="shared" si="1091"/>
        <v>1</v>
      </c>
      <c r="K218" s="17" t="b">
        <f t="shared" si="1091"/>
        <v>1</v>
      </c>
      <c r="L218" s="18" t="b">
        <v>1</v>
      </c>
      <c r="M218" s="18" t="b">
        <v>0</v>
      </c>
      <c r="N218" s="18" t="b">
        <v>0</v>
      </c>
      <c r="O218" s="18" t="b">
        <v>0</v>
      </c>
      <c r="P218" s="16" t="str">
        <f t="shared" si="7"/>
        <v>Belgisch Museum van de Vrijmetselarij</v>
      </c>
      <c r="Q218" s="19">
        <v>10.0</v>
      </c>
      <c r="R218" s="18" t="b">
        <v>0</v>
      </c>
      <c r="S218" s="18" t="b">
        <v>1</v>
      </c>
      <c r="T218" s="27">
        <v>10.0</v>
      </c>
      <c r="U218" s="21">
        <f t="shared" si="8"/>
        <v>0</v>
      </c>
      <c r="V218" s="21">
        <f t="shared" ref="V218:AB218" si="1092">if(OR(AW218 = $AO$4, AW218 = $AQ$4), 1, 0)</f>
        <v>1</v>
      </c>
      <c r="W218" s="21">
        <f t="shared" si="1092"/>
        <v>0</v>
      </c>
      <c r="X218" s="21">
        <f t="shared" si="1092"/>
        <v>0</v>
      </c>
      <c r="Y218" s="21">
        <f t="shared" si="1092"/>
        <v>0</v>
      </c>
      <c r="Z218" s="21">
        <f t="shared" si="1092"/>
        <v>0</v>
      </c>
      <c r="AA218" s="21">
        <f t="shared" si="1092"/>
        <v>1</v>
      </c>
      <c r="AB218" s="21">
        <f t="shared" si="1092"/>
        <v>0</v>
      </c>
      <c r="AC218" s="21">
        <f t="shared" si="10"/>
        <v>2</v>
      </c>
      <c r="AD218" s="21">
        <f t="shared" si="11"/>
        <v>1</v>
      </c>
      <c r="AE218" s="21">
        <f t="shared" ref="AE218:AH218" si="1093">if(OR(BD218 = $AO$6, BD218 = $AS$6, BD218 = $AT$6, BD218 = $AU$6), 1, 0)</f>
        <v>1</v>
      </c>
      <c r="AF218" s="21">
        <f t="shared" si="1093"/>
        <v>0</v>
      </c>
      <c r="AG218" s="21">
        <f t="shared" si="1093"/>
        <v>0</v>
      </c>
      <c r="AH218" s="21">
        <f t="shared" si="1093"/>
        <v>0</v>
      </c>
      <c r="AI218" s="21">
        <f t="shared" si="13"/>
        <v>1</v>
      </c>
      <c r="AJ218" s="21">
        <f t="shared" si="14"/>
        <v>4</v>
      </c>
      <c r="AK218" s="59">
        <f t="shared" si="15"/>
        <v>2.5</v>
      </c>
      <c r="AL218" s="60" t="str">
        <f t="shared" si="16"/>
        <v>subpar</v>
      </c>
      <c r="AW218" s="22" t="str">
        <f t="shared" ref="AW218:BC218" si="1094">IF(IFERROR(SEARCH(E$1, $D218),0) &gt;= 1, E$1,0)</f>
        <v>Geschiedenis en archeologie</v>
      </c>
      <c r="AX218" s="22">
        <f t="shared" si="1094"/>
        <v>0</v>
      </c>
      <c r="AY218" s="22">
        <f t="shared" si="1094"/>
        <v>0</v>
      </c>
      <c r="AZ218" s="22">
        <f t="shared" si="1094"/>
        <v>0</v>
      </c>
      <c r="BA218" s="22" t="str">
        <f t="shared" si="1094"/>
        <v>Architectuur</v>
      </c>
      <c r="BB218" s="22" t="str">
        <f t="shared" si="1094"/>
        <v>Beeldende kunst</v>
      </c>
      <c r="BC218" s="22" t="str">
        <f t="shared" si="1094"/>
        <v>Toegepaste kunst en design</v>
      </c>
      <c r="BD218" s="22" t="str">
        <f t="shared" ref="BD218:BG218" si="1095">IF(L218 = true, BD$1, 0)</f>
        <v>Shop</v>
      </c>
      <c r="BE218" s="22">
        <f t="shared" si="1095"/>
        <v>0</v>
      </c>
      <c r="BF218" s="22">
        <f t="shared" si="1095"/>
        <v>0</v>
      </c>
      <c r="BG218" s="22">
        <f t="shared" si="1095"/>
        <v>0</v>
      </c>
      <c r="BH218" s="22" t="str">
        <f>IFERROR(__xludf.DUMMYFUNCTION("""COMPUTED_VALUE"""),"Planetarium Brussel")</f>
        <v>Planetarium Brussel</v>
      </c>
      <c r="BI218" s="24">
        <f>IFERROR(__xludf.DUMMYFUNCTION("""COMPUTED_VALUE"""),8.0)</f>
        <v>8</v>
      </c>
      <c r="BJ218" s="22" t="b">
        <f>IFERROR(__xludf.DUMMYFUNCTION("""COMPUTED_VALUE"""),FALSE)</f>
        <v>0</v>
      </c>
      <c r="BK218" s="22" t="b">
        <f>IFERROR(__xludf.DUMMYFUNCTION("""COMPUTED_VALUE"""),FALSE)</f>
        <v>0</v>
      </c>
      <c r="BL218" s="22"/>
      <c r="BM218" s="22">
        <f>IFERROR(__xludf.DUMMYFUNCTION("""COMPUTED_VALUE"""),0.0)</f>
        <v>0</v>
      </c>
      <c r="BN218" s="22">
        <f>IFERROR(__xludf.DUMMYFUNCTION("""COMPUTED_VALUE"""),0.0)</f>
        <v>0</v>
      </c>
      <c r="BO218" s="22">
        <f>IFERROR(__xludf.DUMMYFUNCTION("""COMPUTED_VALUE"""),0.0)</f>
        <v>0</v>
      </c>
      <c r="BP218" s="22">
        <f>IFERROR(__xludf.DUMMYFUNCTION("""COMPUTED_VALUE"""),0.0)</f>
        <v>0</v>
      </c>
      <c r="BQ218" s="22">
        <f>IFERROR(__xludf.DUMMYFUNCTION("""COMPUTED_VALUE"""),0.0)</f>
        <v>0</v>
      </c>
      <c r="BR218" s="22">
        <f>IFERROR(__xludf.DUMMYFUNCTION("""COMPUTED_VALUE"""),0.0)</f>
        <v>0</v>
      </c>
      <c r="BS218" s="22">
        <f>IFERROR(__xludf.DUMMYFUNCTION("""COMPUTED_VALUE"""),0.0)</f>
        <v>0</v>
      </c>
      <c r="BT218" s="22">
        <f>IFERROR(__xludf.DUMMYFUNCTION("""COMPUTED_VALUE"""),0.0)</f>
        <v>0</v>
      </c>
      <c r="BU218" s="22">
        <f>IFERROR(__xludf.DUMMYFUNCTION("""COMPUTED_VALUE"""),0.0)</f>
        <v>0</v>
      </c>
      <c r="BV218" s="22">
        <f>IFERROR(__xludf.DUMMYFUNCTION("""COMPUTED_VALUE"""),1.0)</f>
        <v>1</v>
      </c>
      <c r="BW218" s="22">
        <f>IFERROR(__xludf.DUMMYFUNCTION("""COMPUTED_VALUE"""),1.0)</f>
        <v>1</v>
      </c>
      <c r="BX218" s="22">
        <f>IFERROR(__xludf.DUMMYFUNCTION("""COMPUTED_VALUE"""),0.0)</f>
        <v>0</v>
      </c>
      <c r="BY218" s="22">
        <f>IFERROR(__xludf.DUMMYFUNCTION("""COMPUTED_VALUE"""),1.0)</f>
        <v>1</v>
      </c>
      <c r="BZ218" s="22">
        <f>IFERROR(__xludf.DUMMYFUNCTION("""COMPUTED_VALUE"""),0.0)</f>
        <v>0</v>
      </c>
      <c r="CA218" s="22">
        <f>IFERROR(__xludf.DUMMYFUNCTION("""COMPUTED_VALUE"""),2.0)</f>
        <v>2</v>
      </c>
      <c r="CB218" s="22">
        <f>IFERROR(__xludf.DUMMYFUNCTION("""COMPUTED_VALUE"""),3.0)</f>
        <v>3</v>
      </c>
      <c r="CC218" s="61">
        <f>IFERROR(__xludf.DUMMYFUNCTION("""COMPUTED_VALUE"""),1.875)</f>
        <v>1.875</v>
      </c>
      <c r="CD218" s="62" t="str">
        <f>IFERROR(__xludf.DUMMYFUNCTION("""COMPUTED_VALUE"""),"subpar")</f>
        <v>subpar</v>
      </c>
      <c r="CE218" s="22" t="s">
        <v>492</v>
      </c>
      <c r="CF218" s="24">
        <v>8.0</v>
      </c>
      <c r="CG218" s="22" t="b">
        <v>0</v>
      </c>
      <c r="CH218" s="22" t="b">
        <v>0</v>
      </c>
      <c r="CI218" s="22"/>
      <c r="CJ218" s="22">
        <v>0.0</v>
      </c>
      <c r="CK218" s="22">
        <v>0.0</v>
      </c>
      <c r="CL218" s="22">
        <v>0.0</v>
      </c>
      <c r="CM218" s="22">
        <v>0.0</v>
      </c>
      <c r="CN218" s="22">
        <v>0.0</v>
      </c>
      <c r="CO218" s="22">
        <v>0.0</v>
      </c>
      <c r="CP218" s="22">
        <v>0.0</v>
      </c>
      <c r="CQ218" s="22">
        <v>0.0</v>
      </c>
      <c r="CR218" s="22">
        <v>0.0</v>
      </c>
      <c r="CS218" s="22">
        <v>1.0</v>
      </c>
      <c r="CT218" s="22">
        <v>1.0</v>
      </c>
      <c r="CU218" s="22">
        <v>0.0</v>
      </c>
      <c r="CV218" s="22">
        <v>1.0</v>
      </c>
      <c r="CW218" s="22">
        <v>0.0</v>
      </c>
      <c r="CX218" s="22">
        <v>2.0</v>
      </c>
      <c r="CY218" s="22">
        <v>3.0</v>
      </c>
      <c r="CZ218" s="61">
        <v>1.875</v>
      </c>
      <c r="DA218" s="62" t="s">
        <v>568</v>
      </c>
    </row>
    <row r="219">
      <c r="A219" s="16" t="s">
        <v>459</v>
      </c>
      <c r="B219" s="16" t="s">
        <v>460</v>
      </c>
      <c r="C219" s="17" t="s">
        <v>51</v>
      </c>
      <c r="D219" s="16" t="s">
        <v>4</v>
      </c>
      <c r="E219" s="17" t="b">
        <f t="shared" ref="E219:K219" si="1096">If(IFERROR(SEARCH(E$1, $D219),0) &gt;= 1, true,false)</f>
        <v>1</v>
      </c>
      <c r="F219" s="17" t="b">
        <f t="shared" si="1096"/>
        <v>0</v>
      </c>
      <c r="G219" s="17" t="b">
        <f t="shared" si="1096"/>
        <v>0</v>
      </c>
      <c r="H219" s="17" t="b">
        <f t="shared" si="1096"/>
        <v>0</v>
      </c>
      <c r="I219" s="17" t="b">
        <f t="shared" si="1096"/>
        <v>0</v>
      </c>
      <c r="J219" s="17" t="b">
        <f t="shared" si="1096"/>
        <v>0</v>
      </c>
      <c r="K219" s="17" t="b">
        <f t="shared" si="1096"/>
        <v>0</v>
      </c>
      <c r="L219" s="18" t="b">
        <v>1</v>
      </c>
      <c r="M219" s="18" t="b">
        <v>1</v>
      </c>
      <c r="N219" s="18" t="b">
        <v>0</v>
      </c>
      <c r="O219" s="18" t="b">
        <v>1</v>
      </c>
      <c r="P219" s="16" t="str">
        <f t="shared" si="7"/>
        <v>BELvue museum</v>
      </c>
      <c r="Q219" s="19">
        <v>10.0</v>
      </c>
      <c r="R219" s="18" t="b">
        <v>0</v>
      </c>
      <c r="S219" s="18" t="b">
        <v>1</v>
      </c>
      <c r="T219" s="27">
        <v>0.0</v>
      </c>
      <c r="U219" s="21">
        <f t="shared" si="8"/>
        <v>0</v>
      </c>
      <c r="V219" s="21">
        <f t="shared" ref="V219:AB219" si="1097">if(OR(AW219 = $AO$4, AW219 = $AQ$4), 1, 0)</f>
        <v>1</v>
      </c>
      <c r="W219" s="21">
        <f t="shared" si="1097"/>
        <v>0</v>
      </c>
      <c r="X219" s="21">
        <f t="shared" si="1097"/>
        <v>0</v>
      </c>
      <c r="Y219" s="21">
        <f t="shared" si="1097"/>
        <v>0</v>
      </c>
      <c r="Z219" s="21">
        <f t="shared" si="1097"/>
        <v>0</v>
      </c>
      <c r="AA219" s="21">
        <f t="shared" si="1097"/>
        <v>0</v>
      </c>
      <c r="AB219" s="21">
        <f t="shared" si="1097"/>
        <v>0</v>
      </c>
      <c r="AC219" s="21">
        <f t="shared" si="10"/>
        <v>1</v>
      </c>
      <c r="AD219" s="21">
        <f t="shared" si="11"/>
        <v>1</v>
      </c>
      <c r="AE219" s="21">
        <f t="shared" ref="AE219:AH219" si="1098">if(OR(BD219 = $AO$6, BD219 = $AS$6, BD219 = $AT$6, BD219 = $AU$6), 1, 0)</f>
        <v>1</v>
      </c>
      <c r="AF219" s="21">
        <f t="shared" si="1098"/>
        <v>1</v>
      </c>
      <c r="AG219" s="21">
        <f t="shared" si="1098"/>
        <v>0</v>
      </c>
      <c r="AH219" s="21">
        <f t="shared" si="1098"/>
        <v>1</v>
      </c>
      <c r="AI219" s="21">
        <f t="shared" si="13"/>
        <v>3</v>
      </c>
      <c r="AJ219" s="21">
        <f t="shared" si="14"/>
        <v>5</v>
      </c>
      <c r="AK219" s="59">
        <f t="shared" si="15"/>
        <v>3.125</v>
      </c>
      <c r="AL219" s="60" t="str">
        <f t="shared" si="16"/>
        <v>good</v>
      </c>
      <c r="AW219" s="22" t="str">
        <f t="shared" ref="AW219:BC219" si="1099">IF(IFERROR(SEARCH(E$1, $D219),0) &gt;= 1, E$1,0)</f>
        <v>Geschiedenis en archeologie</v>
      </c>
      <c r="AX219" s="22">
        <f t="shared" si="1099"/>
        <v>0</v>
      </c>
      <c r="AY219" s="22">
        <f t="shared" si="1099"/>
        <v>0</v>
      </c>
      <c r="AZ219" s="22">
        <f t="shared" si="1099"/>
        <v>0</v>
      </c>
      <c r="BA219" s="22">
        <f t="shared" si="1099"/>
        <v>0</v>
      </c>
      <c r="BB219" s="22">
        <f t="shared" si="1099"/>
        <v>0</v>
      </c>
      <c r="BC219" s="22">
        <f t="shared" si="1099"/>
        <v>0</v>
      </c>
      <c r="BD219" s="22" t="str">
        <f t="shared" ref="BD219:BG219" si="1100">IF(L219 = true, BD$1, 0)</f>
        <v>Shop</v>
      </c>
      <c r="BE219" s="22" t="str">
        <f t="shared" si="1100"/>
        <v>Café</v>
      </c>
      <c r="BF219" s="22">
        <f t="shared" si="1100"/>
        <v>0</v>
      </c>
      <c r="BG219" s="22" t="str">
        <f t="shared" si="1100"/>
        <v>Restaurant</v>
      </c>
      <c r="BH219" s="22" t="str">
        <f>IFERROR(__xludf.DUMMYFUNCTION("""COMPUTED_VALUE"""),"Hallepoort")</f>
        <v>Hallepoort</v>
      </c>
      <c r="BI219" s="24">
        <f>IFERROR(__xludf.DUMMYFUNCTION("""COMPUTED_VALUE"""),7.0)</f>
        <v>7</v>
      </c>
      <c r="BJ219" s="22" t="b">
        <f>IFERROR(__xludf.DUMMYFUNCTION("""COMPUTED_VALUE"""),FALSE)</f>
        <v>0</v>
      </c>
      <c r="BK219" s="22" t="b">
        <f>IFERROR(__xludf.DUMMYFUNCTION("""COMPUTED_VALUE"""),FALSE)</f>
        <v>0</v>
      </c>
      <c r="BL219" s="22"/>
      <c r="BM219" s="22">
        <f>IFERROR(__xludf.DUMMYFUNCTION("""COMPUTED_VALUE"""),0.0)</f>
        <v>0</v>
      </c>
      <c r="BN219" s="22">
        <f>IFERROR(__xludf.DUMMYFUNCTION("""COMPUTED_VALUE"""),1.0)</f>
        <v>1</v>
      </c>
      <c r="BO219" s="22">
        <f>IFERROR(__xludf.DUMMYFUNCTION("""COMPUTED_VALUE"""),0.0)</f>
        <v>0</v>
      </c>
      <c r="BP219" s="22">
        <f>IFERROR(__xludf.DUMMYFUNCTION("""COMPUTED_VALUE"""),0.0)</f>
        <v>0</v>
      </c>
      <c r="BQ219" s="22">
        <f>IFERROR(__xludf.DUMMYFUNCTION("""COMPUTED_VALUE"""),0.0)</f>
        <v>0</v>
      </c>
      <c r="BR219" s="22">
        <f>IFERROR(__xludf.DUMMYFUNCTION("""COMPUTED_VALUE"""),0.0)</f>
        <v>0</v>
      </c>
      <c r="BS219" s="22">
        <f>IFERROR(__xludf.DUMMYFUNCTION("""COMPUTED_VALUE"""),0.0)</f>
        <v>0</v>
      </c>
      <c r="BT219" s="22">
        <f>IFERROR(__xludf.DUMMYFUNCTION("""COMPUTED_VALUE"""),0.0)</f>
        <v>0</v>
      </c>
      <c r="BU219" s="22">
        <f>IFERROR(__xludf.DUMMYFUNCTION("""COMPUTED_VALUE"""),1.0)</f>
        <v>1</v>
      </c>
      <c r="BV219" s="22">
        <f>IFERROR(__xludf.DUMMYFUNCTION("""COMPUTED_VALUE"""),1.0)</f>
        <v>1</v>
      </c>
      <c r="BW219" s="22">
        <f>IFERROR(__xludf.DUMMYFUNCTION("""COMPUTED_VALUE"""),1.0)</f>
        <v>1</v>
      </c>
      <c r="BX219" s="22">
        <f>IFERROR(__xludf.DUMMYFUNCTION("""COMPUTED_VALUE"""),0.0)</f>
        <v>0</v>
      </c>
      <c r="BY219" s="22">
        <f>IFERROR(__xludf.DUMMYFUNCTION("""COMPUTED_VALUE"""),0.0)</f>
        <v>0</v>
      </c>
      <c r="BZ219" s="22">
        <f>IFERROR(__xludf.DUMMYFUNCTION("""COMPUTED_VALUE"""),0.0)</f>
        <v>0</v>
      </c>
      <c r="CA219" s="22">
        <f>IFERROR(__xludf.DUMMYFUNCTION("""COMPUTED_VALUE"""),1.0)</f>
        <v>1</v>
      </c>
      <c r="CB219" s="22">
        <f>IFERROR(__xludf.DUMMYFUNCTION("""COMPUTED_VALUE"""),3.0)</f>
        <v>3</v>
      </c>
      <c r="CC219" s="61">
        <f>IFERROR(__xludf.DUMMYFUNCTION("""COMPUTED_VALUE"""),1.875)</f>
        <v>1.875</v>
      </c>
      <c r="CD219" s="62" t="str">
        <f>IFERROR(__xludf.DUMMYFUNCTION("""COMPUTED_VALUE"""),"subpar")</f>
        <v>subpar</v>
      </c>
      <c r="CE219" s="22" t="s">
        <v>494</v>
      </c>
      <c r="CF219" s="24">
        <v>7.0</v>
      </c>
      <c r="CG219" s="22" t="b">
        <v>0</v>
      </c>
      <c r="CH219" s="22" t="b">
        <v>0</v>
      </c>
      <c r="CI219" s="22"/>
      <c r="CJ219" s="22">
        <v>0.0</v>
      </c>
      <c r="CK219" s="22">
        <v>1.0</v>
      </c>
      <c r="CL219" s="22">
        <v>0.0</v>
      </c>
      <c r="CM219" s="22">
        <v>0.0</v>
      </c>
      <c r="CN219" s="22">
        <v>0.0</v>
      </c>
      <c r="CO219" s="22">
        <v>0.0</v>
      </c>
      <c r="CP219" s="22">
        <v>0.0</v>
      </c>
      <c r="CQ219" s="22">
        <v>0.0</v>
      </c>
      <c r="CR219" s="22">
        <v>1.0</v>
      </c>
      <c r="CS219" s="22">
        <v>1.0</v>
      </c>
      <c r="CT219" s="22">
        <v>1.0</v>
      </c>
      <c r="CU219" s="22">
        <v>0.0</v>
      </c>
      <c r="CV219" s="22">
        <v>0.0</v>
      </c>
      <c r="CW219" s="22">
        <v>0.0</v>
      </c>
      <c r="CX219" s="22">
        <v>1.0</v>
      </c>
      <c r="CY219" s="22">
        <v>3.0</v>
      </c>
      <c r="CZ219" s="61">
        <v>1.875</v>
      </c>
      <c r="DA219" s="62" t="s">
        <v>568</v>
      </c>
    </row>
    <row r="220">
      <c r="A220" s="16" t="s">
        <v>461</v>
      </c>
      <c r="B220" s="16" t="s">
        <v>462</v>
      </c>
      <c r="C220" s="17" t="s">
        <v>51</v>
      </c>
      <c r="D220" s="16" t="s">
        <v>4</v>
      </c>
      <c r="E220" s="17" t="b">
        <f t="shared" ref="E220:K220" si="1101">If(IFERROR(SEARCH(E$1, $D220),0) &gt;= 1, true,false)</f>
        <v>1</v>
      </c>
      <c r="F220" s="17" t="b">
        <f t="shared" si="1101"/>
        <v>0</v>
      </c>
      <c r="G220" s="17" t="b">
        <f t="shared" si="1101"/>
        <v>0</v>
      </c>
      <c r="H220" s="17" t="b">
        <f t="shared" si="1101"/>
        <v>0</v>
      </c>
      <c r="I220" s="17" t="b">
        <f t="shared" si="1101"/>
        <v>0</v>
      </c>
      <c r="J220" s="17" t="b">
        <f t="shared" si="1101"/>
        <v>0</v>
      </c>
      <c r="K220" s="17" t="b">
        <f t="shared" si="1101"/>
        <v>0</v>
      </c>
      <c r="L220" s="18" t="b">
        <v>1</v>
      </c>
      <c r="M220" s="18" t="b">
        <v>0</v>
      </c>
      <c r="N220" s="18" t="b">
        <v>0</v>
      </c>
      <c r="O220" s="18" t="b">
        <v>0</v>
      </c>
      <c r="P220" s="16" t="str">
        <f t="shared" si="7"/>
        <v>Brussels Museum van de Molen en de Voeding</v>
      </c>
      <c r="Q220" s="19">
        <v>5.0</v>
      </c>
      <c r="R220" s="18" t="b">
        <v>0</v>
      </c>
      <c r="S220" s="18" t="b">
        <v>1</v>
      </c>
      <c r="T220" s="30">
        <v>4.0</v>
      </c>
      <c r="U220" s="21">
        <f t="shared" si="8"/>
        <v>0</v>
      </c>
      <c r="V220" s="21">
        <f t="shared" ref="V220:AB220" si="1102">if(OR(AW220 = $AO$4, AW220 = $AQ$4), 1, 0)</f>
        <v>1</v>
      </c>
      <c r="W220" s="21">
        <f t="shared" si="1102"/>
        <v>0</v>
      </c>
      <c r="X220" s="21">
        <f t="shared" si="1102"/>
        <v>0</v>
      </c>
      <c r="Y220" s="21">
        <f t="shared" si="1102"/>
        <v>0</v>
      </c>
      <c r="Z220" s="21">
        <f t="shared" si="1102"/>
        <v>0</v>
      </c>
      <c r="AA220" s="21">
        <f t="shared" si="1102"/>
        <v>0</v>
      </c>
      <c r="AB220" s="21">
        <f t="shared" si="1102"/>
        <v>0</v>
      </c>
      <c r="AC220" s="21">
        <f t="shared" si="10"/>
        <v>1</v>
      </c>
      <c r="AD220" s="21">
        <f t="shared" si="11"/>
        <v>1</v>
      </c>
      <c r="AE220" s="21">
        <f t="shared" ref="AE220:AH220" si="1103">if(OR(BD220 = $AO$6, BD220 = $AS$6, BD220 = $AT$6, BD220 = $AU$6), 1, 0)</f>
        <v>1</v>
      </c>
      <c r="AF220" s="21">
        <f t="shared" si="1103"/>
        <v>0</v>
      </c>
      <c r="AG220" s="21">
        <f t="shared" si="1103"/>
        <v>0</v>
      </c>
      <c r="AH220" s="21">
        <f t="shared" si="1103"/>
        <v>0</v>
      </c>
      <c r="AI220" s="21">
        <f t="shared" si="13"/>
        <v>1</v>
      </c>
      <c r="AJ220" s="21">
        <f t="shared" si="14"/>
        <v>3</v>
      </c>
      <c r="AK220" s="59">
        <f t="shared" si="15"/>
        <v>1.875</v>
      </c>
      <c r="AL220" s="60" t="str">
        <f t="shared" si="16"/>
        <v>subpar</v>
      </c>
      <c r="AW220" s="22" t="str">
        <f t="shared" ref="AW220:BC220" si="1104">IF(IFERROR(SEARCH(E$1, $D220),0) &gt;= 1, E$1,0)</f>
        <v>Geschiedenis en archeologie</v>
      </c>
      <c r="AX220" s="22">
        <f t="shared" si="1104"/>
        <v>0</v>
      </c>
      <c r="AY220" s="22">
        <f t="shared" si="1104"/>
        <v>0</v>
      </c>
      <c r="AZ220" s="22">
        <f t="shared" si="1104"/>
        <v>0</v>
      </c>
      <c r="BA220" s="22">
        <f t="shared" si="1104"/>
        <v>0</v>
      </c>
      <c r="BB220" s="22">
        <f t="shared" si="1104"/>
        <v>0</v>
      </c>
      <c r="BC220" s="22">
        <f t="shared" si="1104"/>
        <v>0</v>
      </c>
      <c r="BD220" s="22" t="str">
        <f t="shared" ref="BD220:BG220" si="1105">IF(L220 = true, BD$1, 0)</f>
        <v>Shop</v>
      </c>
      <c r="BE220" s="22">
        <f t="shared" si="1105"/>
        <v>0</v>
      </c>
      <c r="BF220" s="22">
        <f t="shared" si="1105"/>
        <v>0</v>
      </c>
      <c r="BG220" s="22">
        <f t="shared" si="1105"/>
        <v>0</v>
      </c>
      <c r="BH220" s="22" t="str">
        <f>IFERROR(__xludf.DUMMYFUNCTION("""COMPUTED_VALUE"""),"Wittockiana")</f>
        <v>Wittockiana</v>
      </c>
      <c r="BI220" s="24">
        <f>IFERROR(__xludf.DUMMYFUNCTION("""COMPUTED_VALUE"""),7.0)</f>
        <v>7</v>
      </c>
      <c r="BJ220" s="22" t="b">
        <f>IFERROR(__xludf.DUMMYFUNCTION("""COMPUTED_VALUE"""),FALSE)</f>
        <v>0</v>
      </c>
      <c r="BK220" s="22" t="b">
        <f>IFERROR(__xludf.DUMMYFUNCTION("""COMPUTED_VALUE"""),FALSE)</f>
        <v>0</v>
      </c>
      <c r="BL220" s="22"/>
      <c r="BM220" s="22">
        <f>IFERROR(__xludf.DUMMYFUNCTION("""COMPUTED_VALUE"""),0.0)</f>
        <v>0</v>
      </c>
      <c r="BN220" s="22">
        <f>IFERROR(__xludf.DUMMYFUNCTION("""COMPUTED_VALUE"""),0.0)</f>
        <v>0</v>
      </c>
      <c r="BO220" s="22">
        <f>IFERROR(__xludf.DUMMYFUNCTION("""COMPUTED_VALUE"""),0.0)</f>
        <v>0</v>
      </c>
      <c r="BP220" s="22">
        <f>IFERROR(__xludf.DUMMYFUNCTION("""COMPUTED_VALUE"""),0.0)</f>
        <v>0</v>
      </c>
      <c r="BQ220" s="22">
        <f>IFERROR(__xludf.DUMMYFUNCTION("""COMPUTED_VALUE"""),0.0)</f>
        <v>0</v>
      </c>
      <c r="BR220" s="22">
        <f>IFERROR(__xludf.DUMMYFUNCTION("""COMPUTED_VALUE"""),0.0)</f>
        <v>0</v>
      </c>
      <c r="BS220" s="22">
        <f>IFERROR(__xludf.DUMMYFUNCTION("""COMPUTED_VALUE"""),1.0)</f>
        <v>1</v>
      </c>
      <c r="BT220" s="22">
        <f>IFERROR(__xludf.DUMMYFUNCTION("""COMPUTED_VALUE"""),0.0)</f>
        <v>0</v>
      </c>
      <c r="BU220" s="22">
        <f>IFERROR(__xludf.DUMMYFUNCTION("""COMPUTED_VALUE"""),1.0)</f>
        <v>1</v>
      </c>
      <c r="BV220" s="22">
        <f>IFERROR(__xludf.DUMMYFUNCTION("""COMPUTED_VALUE"""),1.0)</f>
        <v>1</v>
      </c>
      <c r="BW220" s="22">
        <f>IFERROR(__xludf.DUMMYFUNCTION("""COMPUTED_VALUE"""),1.0)</f>
        <v>1</v>
      </c>
      <c r="BX220" s="22">
        <f>IFERROR(__xludf.DUMMYFUNCTION("""COMPUTED_VALUE"""),0.0)</f>
        <v>0</v>
      </c>
      <c r="BY220" s="22">
        <f>IFERROR(__xludf.DUMMYFUNCTION("""COMPUTED_VALUE"""),0.0)</f>
        <v>0</v>
      </c>
      <c r="BZ220" s="22">
        <f>IFERROR(__xludf.DUMMYFUNCTION("""COMPUTED_VALUE"""),0.0)</f>
        <v>0</v>
      </c>
      <c r="CA220" s="22">
        <f>IFERROR(__xludf.DUMMYFUNCTION("""COMPUTED_VALUE"""),1.0)</f>
        <v>1</v>
      </c>
      <c r="CB220" s="22">
        <f>IFERROR(__xludf.DUMMYFUNCTION("""COMPUTED_VALUE"""),3.0)</f>
        <v>3</v>
      </c>
      <c r="CC220" s="61">
        <f>IFERROR(__xludf.DUMMYFUNCTION("""COMPUTED_VALUE"""),1.875)</f>
        <v>1.875</v>
      </c>
      <c r="CD220" s="62" t="str">
        <f>IFERROR(__xludf.DUMMYFUNCTION("""COMPUTED_VALUE"""),"subpar")</f>
        <v>subpar</v>
      </c>
      <c r="CE220" s="22" t="s">
        <v>498</v>
      </c>
      <c r="CF220" s="24">
        <v>7.0</v>
      </c>
      <c r="CG220" s="22" t="b">
        <v>0</v>
      </c>
      <c r="CH220" s="22" t="b">
        <v>0</v>
      </c>
      <c r="CI220" s="22"/>
      <c r="CJ220" s="22">
        <v>0.0</v>
      </c>
      <c r="CK220" s="22">
        <v>0.0</v>
      </c>
      <c r="CL220" s="22">
        <v>0.0</v>
      </c>
      <c r="CM220" s="22">
        <v>0.0</v>
      </c>
      <c r="CN220" s="22">
        <v>0.0</v>
      </c>
      <c r="CO220" s="22">
        <v>0.0</v>
      </c>
      <c r="CP220" s="22">
        <v>1.0</v>
      </c>
      <c r="CQ220" s="22">
        <v>0.0</v>
      </c>
      <c r="CR220" s="22">
        <v>1.0</v>
      </c>
      <c r="CS220" s="22">
        <v>1.0</v>
      </c>
      <c r="CT220" s="22">
        <v>1.0</v>
      </c>
      <c r="CU220" s="22">
        <v>0.0</v>
      </c>
      <c r="CV220" s="22">
        <v>0.0</v>
      </c>
      <c r="CW220" s="22">
        <v>0.0</v>
      </c>
      <c r="CX220" s="22">
        <v>1.0</v>
      </c>
      <c r="CY220" s="22">
        <v>3.0</v>
      </c>
      <c r="CZ220" s="61">
        <v>1.875</v>
      </c>
      <c r="DA220" s="62" t="s">
        <v>568</v>
      </c>
    </row>
    <row r="221">
      <c r="A221" s="16" t="s">
        <v>463</v>
      </c>
      <c r="B221" s="16" t="s">
        <v>464</v>
      </c>
      <c r="C221" s="17" t="s">
        <v>51</v>
      </c>
      <c r="D221" s="16" t="s">
        <v>9</v>
      </c>
      <c r="E221" s="17" t="b">
        <f t="shared" ref="E221:K221" si="1106">If(IFERROR(SEARCH(E$1, $D221),0) &gt;= 1, true,false)</f>
        <v>0</v>
      </c>
      <c r="F221" s="17" t="b">
        <f t="shared" si="1106"/>
        <v>0</v>
      </c>
      <c r="G221" s="17" t="b">
        <f t="shared" si="1106"/>
        <v>0</v>
      </c>
      <c r="H221" s="17" t="b">
        <f t="shared" si="1106"/>
        <v>0</v>
      </c>
      <c r="I221" s="17" t="b">
        <f t="shared" si="1106"/>
        <v>0</v>
      </c>
      <c r="J221" s="17" t="b">
        <f t="shared" si="1106"/>
        <v>1</v>
      </c>
      <c r="K221" s="17" t="b">
        <f t="shared" si="1106"/>
        <v>0</v>
      </c>
      <c r="L221" s="18" t="b">
        <v>1</v>
      </c>
      <c r="M221" s="18" t="b">
        <v>0</v>
      </c>
      <c r="N221" s="18" t="b">
        <v>0</v>
      </c>
      <c r="O221" s="18" t="b">
        <v>0</v>
      </c>
      <c r="P221" s="16" t="str">
        <f t="shared" si="7"/>
        <v>Charlier Museum</v>
      </c>
      <c r="Q221" s="19">
        <v>9.0</v>
      </c>
      <c r="R221" s="18" t="b">
        <v>0</v>
      </c>
      <c r="S221" s="18" t="b">
        <v>0</v>
      </c>
      <c r="T221" s="16"/>
      <c r="U221" s="21">
        <f t="shared" si="8"/>
        <v>0</v>
      </c>
      <c r="V221" s="21">
        <f t="shared" ref="V221:AB221" si="1107">if(OR(AW221 = $AO$4, AW221 = $AQ$4), 1, 0)</f>
        <v>0</v>
      </c>
      <c r="W221" s="21">
        <f t="shared" si="1107"/>
        <v>0</v>
      </c>
      <c r="X221" s="21">
        <f t="shared" si="1107"/>
        <v>0</v>
      </c>
      <c r="Y221" s="21">
        <f t="shared" si="1107"/>
        <v>0</v>
      </c>
      <c r="Z221" s="21">
        <f t="shared" si="1107"/>
        <v>0</v>
      </c>
      <c r="AA221" s="21">
        <f t="shared" si="1107"/>
        <v>1</v>
      </c>
      <c r="AB221" s="21">
        <f t="shared" si="1107"/>
        <v>0</v>
      </c>
      <c r="AC221" s="21">
        <f t="shared" si="10"/>
        <v>1</v>
      </c>
      <c r="AD221" s="21">
        <f t="shared" si="11"/>
        <v>1</v>
      </c>
      <c r="AE221" s="21">
        <f t="shared" ref="AE221:AH221" si="1108">if(OR(BD221 = $AO$6, BD221 = $AS$6, BD221 = $AT$6, BD221 = $AU$6), 1, 0)</f>
        <v>1</v>
      </c>
      <c r="AF221" s="21">
        <f t="shared" si="1108"/>
        <v>0</v>
      </c>
      <c r="AG221" s="21">
        <f t="shared" si="1108"/>
        <v>0</v>
      </c>
      <c r="AH221" s="21">
        <f t="shared" si="1108"/>
        <v>0</v>
      </c>
      <c r="AI221" s="21">
        <f t="shared" si="13"/>
        <v>1</v>
      </c>
      <c r="AJ221" s="21">
        <f t="shared" si="14"/>
        <v>3</v>
      </c>
      <c r="AK221" s="59">
        <f t="shared" si="15"/>
        <v>1.875</v>
      </c>
      <c r="AL221" s="60" t="str">
        <f t="shared" si="16"/>
        <v>subpar</v>
      </c>
      <c r="AW221" s="22">
        <f t="shared" ref="AW221:BC221" si="1109">IF(IFERROR(SEARCH(E$1, $D221),0) &gt;= 1, E$1,0)</f>
        <v>0</v>
      </c>
      <c r="AX221" s="22">
        <f t="shared" si="1109"/>
        <v>0</v>
      </c>
      <c r="AY221" s="22">
        <f t="shared" si="1109"/>
        <v>0</v>
      </c>
      <c r="AZ221" s="22">
        <f t="shared" si="1109"/>
        <v>0</v>
      </c>
      <c r="BA221" s="22">
        <f t="shared" si="1109"/>
        <v>0</v>
      </c>
      <c r="BB221" s="22" t="str">
        <f t="shared" si="1109"/>
        <v>Beeldende kunst</v>
      </c>
      <c r="BC221" s="22">
        <f t="shared" si="1109"/>
        <v>0</v>
      </c>
      <c r="BD221" s="22" t="str">
        <f t="shared" ref="BD221:BG221" si="1110">IF(L221 = true, BD$1, 0)</f>
        <v>Shop</v>
      </c>
      <c r="BE221" s="22">
        <f t="shared" si="1110"/>
        <v>0</v>
      </c>
      <c r="BF221" s="22">
        <f t="shared" si="1110"/>
        <v>0</v>
      </c>
      <c r="BG221" s="22">
        <f t="shared" si="1110"/>
        <v>0</v>
      </c>
      <c r="BH221" s="22" t="str">
        <f>IFERROR(__xludf.DUMMYFUNCTION("""COMPUTED_VALUE"""),"Design Museum Gent")</f>
        <v>Design Museum Gent</v>
      </c>
      <c r="BI221" s="24">
        <f>IFERROR(__xludf.DUMMYFUNCTION("""COMPUTED_VALUE"""),5.0)</f>
        <v>5</v>
      </c>
      <c r="BJ221" s="22" t="b">
        <f>IFERROR(__xludf.DUMMYFUNCTION("""COMPUTED_VALUE"""),TRUE)</f>
        <v>1</v>
      </c>
      <c r="BK221" s="22" t="b">
        <f>IFERROR(__xludf.DUMMYFUNCTION("""COMPUTED_VALUE"""),FALSE)</f>
        <v>0</v>
      </c>
      <c r="BL221" s="22"/>
      <c r="BM221" s="22">
        <f>IFERROR(__xludf.DUMMYFUNCTION("""COMPUTED_VALUE"""),1.0)</f>
        <v>1</v>
      </c>
      <c r="BN221" s="22">
        <f>IFERROR(__xludf.DUMMYFUNCTION("""COMPUTED_VALUE"""),0.0)</f>
        <v>0</v>
      </c>
      <c r="BO221" s="22">
        <f>IFERROR(__xludf.DUMMYFUNCTION("""COMPUTED_VALUE"""),0.0)</f>
        <v>0</v>
      </c>
      <c r="BP221" s="22">
        <f>IFERROR(__xludf.DUMMYFUNCTION("""COMPUTED_VALUE"""),0.0)</f>
        <v>0</v>
      </c>
      <c r="BQ221" s="22">
        <f>IFERROR(__xludf.DUMMYFUNCTION("""COMPUTED_VALUE"""),0.0)</f>
        <v>0</v>
      </c>
      <c r="BR221" s="22">
        <f>IFERROR(__xludf.DUMMYFUNCTION("""COMPUTED_VALUE"""),0.0)</f>
        <v>0</v>
      </c>
      <c r="BS221" s="22">
        <f>IFERROR(__xludf.DUMMYFUNCTION("""COMPUTED_VALUE"""),0.0)</f>
        <v>0</v>
      </c>
      <c r="BT221" s="22">
        <f>IFERROR(__xludf.DUMMYFUNCTION("""COMPUTED_VALUE"""),0.0)</f>
        <v>0</v>
      </c>
      <c r="BU221" s="22">
        <f>IFERROR(__xludf.DUMMYFUNCTION("""COMPUTED_VALUE"""),0.0)</f>
        <v>0</v>
      </c>
      <c r="BV221" s="22">
        <f>IFERROR(__xludf.DUMMYFUNCTION("""COMPUTED_VALUE"""),1.0)</f>
        <v>1</v>
      </c>
      <c r="BW221" s="22">
        <f>IFERROR(__xludf.DUMMYFUNCTION("""COMPUTED_VALUE"""),1.0)</f>
        <v>1</v>
      </c>
      <c r="BX221" s="22">
        <f>IFERROR(__xludf.DUMMYFUNCTION("""COMPUTED_VALUE"""),0.0)</f>
        <v>0</v>
      </c>
      <c r="BY221" s="22">
        <f>IFERROR(__xludf.DUMMYFUNCTION("""COMPUTED_VALUE"""),0.0)</f>
        <v>0</v>
      </c>
      <c r="BZ221" s="22">
        <f>IFERROR(__xludf.DUMMYFUNCTION("""COMPUTED_VALUE"""),0.0)</f>
        <v>0</v>
      </c>
      <c r="CA221" s="22">
        <f>IFERROR(__xludf.DUMMYFUNCTION("""COMPUTED_VALUE"""),1.0)</f>
        <v>1</v>
      </c>
      <c r="CB221" s="22">
        <f>IFERROR(__xludf.DUMMYFUNCTION("""COMPUTED_VALUE"""),3.0)</f>
        <v>3</v>
      </c>
      <c r="CC221" s="61">
        <f>IFERROR(__xludf.DUMMYFUNCTION("""COMPUTED_VALUE"""),1.875)</f>
        <v>1.875</v>
      </c>
      <c r="CD221" s="62" t="str">
        <f>IFERROR(__xludf.DUMMYFUNCTION("""COMPUTED_VALUE"""),"subpar")</f>
        <v>subpar</v>
      </c>
      <c r="CE221" s="22" t="s">
        <v>505</v>
      </c>
      <c r="CF221" s="24">
        <v>5.0</v>
      </c>
      <c r="CG221" s="22" t="b">
        <v>1</v>
      </c>
      <c r="CH221" s="22" t="b">
        <v>0</v>
      </c>
      <c r="CI221" s="22"/>
      <c r="CJ221" s="22">
        <v>1.0</v>
      </c>
      <c r="CK221" s="22">
        <v>0.0</v>
      </c>
      <c r="CL221" s="22">
        <v>0.0</v>
      </c>
      <c r="CM221" s="22">
        <v>0.0</v>
      </c>
      <c r="CN221" s="22">
        <v>0.0</v>
      </c>
      <c r="CO221" s="22">
        <v>0.0</v>
      </c>
      <c r="CP221" s="22">
        <v>0.0</v>
      </c>
      <c r="CQ221" s="22">
        <v>0.0</v>
      </c>
      <c r="CR221" s="22">
        <v>0.0</v>
      </c>
      <c r="CS221" s="22">
        <v>1.0</v>
      </c>
      <c r="CT221" s="22">
        <v>1.0</v>
      </c>
      <c r="CU221" s="22">
        <v>0.0</v>
      </c>
      <c r="CV221" s="22">
        <v>0.0</v>
      </c>
      <c r="CW221" s="22">
        <v>0.0</v>
      </c>
      <c r="CX221" s="22">
        <v>1.0</v>
      </c>
      <c r="CY221" s="22">
        <v>3.0</v>
      </c>
      <c r="CZ221" s="61">
        <v>1.875</v>
      </c>
      <c r="DA221" s="62" t="s">
        <v>568</v>
      </c>
    </row>
    <row r="222">
      <c r="A222" s="40" t="s">
        <v>465</v>
      </c>
      <c r="B222" s="16" t="s">
        <v>466</v>
      </c>
      <c r="C222" s="17" t="s">
        <v>51</v>
      </c>
      <c r="D222" s="16" t="s">
        <v>9</v>
      </c>
      <c r="E222" s="17" t="b">
        <f t="shared" ref="E222:K222" si="1111">If(IFERROR(SEARCH(E$1, $D222),0) &gt;= 1, true,false)</f>
        <v>0</v>
      </c>
      <c r="F222" s="17" t="b">
        <f t="shared" si="1111"/>
        <v>0</v>
      </c>
      <c r="G222" s="17" t="b">
        <f t="shared" si="1111"/>
        <v>0</v>
      </c>
      <c r="H222" s="17" t="b">
        <f t="shared" si="1111"/>
        <v>0</v>
      </c>
      <c r="I222" s="17" t="b">
        <f t="shared" si="1111"/>
        <v>0</v>
      </c>
      <c r="J222" s="17" t="b">
        <f t="shared" si="1111"/>
        <v>1</v>
      </c>
      <c r="K222" s="17" t="b">
        <f t="shared" si="1111"/>
        <v>0</v>
      </c>
      <c r="L222" s="18" t="b">
        <v>1</v>
      </c>
      <c r="M222" s="18" t="b">
        <v>0</v>
      </c>
      <c r="N222" s="18" t="b">
        <v>0</v>
      </c>
      <c r="O222" s="18" t="b">
        <v>0</v>
      </c>
      <c r="P222" s="16" t="str">
        <f t="shared" si="7"/>
        <v>Museum voor Spontane Kunst</v>
      </c>
      <c r="Q222" s="19">
        <v>4.0</v>
      </c>
      <c r="R222" s="18" t="b">
        <v>0</v>
      </c>
      <c r="S222" s="18" t="b">
        <v>0</v>
      </c>
      <c r="T222" s="33"/>
      <c r="U222" s="21">
        <f t="shared" si="8"/>
        <v>0</v>
      </c>
      <c r="V222" s="21">
        <f t="shared" ref="V222:AB222" si="1112">if(OR(AW222 = $AO$4, AW222 = $AQ$4), 1, 0)</f>
        <v>0</v>
      </c>
      <c r="W222" s="21">
        <f t="shared" si="1112"/>
        <v>0</v>
      </c>
      <c r="X222" s="21">
        <f t="shared" si="1112"/>
        <v>0</v>
      </c>
      <c r="Y222" s="21">
        <f t="shared" si="1112"/>
        <v>0</v>
      </c>
      <c r="Z222" s="21">
        <f t="shared" si="1112"/>
        <v>0</v>
      </c>
      <c r="AA222" s="21">
        <f t="shared" si="1112"/>
        <v>1</v>
      </c>
      <c r="AB222" s="21">
        <f t="shared" si="1112"/>
        <v>0</v>
      </c>
      <c r="AC222" s="21">
        <f t="shared" si="10"/>
        <v>1</v>
      </c>
      <c r="AD222" s="21">
        <f t="shared" si="11"/>
        <v>1</v>
      </c>
      <c r="AE222" s="21">
        <f t="shared" ref="AE222:AH222" si="1113">if(OR(BD222 = $AO$6, BD222 = $AS$6, BD222 = $AT$6, BD222 = $AU$6), 1, 0)</f>
        <v>1</v>
      </c>
      <c r="AF222" s="21">
        <f t="shared" si="1113"/>
        <v>0</v>
      </c>
      <c r="AG222" s="21">
        <f t="shared" si="1113"/>
        <v>0</v>
      </c>
      <c r="AH222" s="21">
        <f t="shared" si="1113"/>
        <v>0</v>
      </c>
      <c r="AI222" s="21">
        <f t="shared" si="13"/>
        <v>1</v>
      </c>
      <c r="AJ222" s="21">
        <f t="shared" si="14"/>
        <v>3</v>
      </c>
      <c r="AK222" s="59">
        <f t="shared" si="15"/>
        <v>1.875</v>
      </c>
      <c r="AL222" s="60" t="str">
        <f t="shared" si="16"/>
        <v>subpar</v>
      </c>
      <c r="AW222" s="22">
        <f t="shared" ref="AW222:BC222" si="1114">IF(IFERROR(SEARCH(E$1, $D222),0) &gt;= 1, E$1,0)</f>
        <v>0</v>
      </c>
      <c r="AX222" s="22">
        <f t="shared" si="1114"/>
        <v>0</v>
      </c>
      <c r="AY222" s="22">
        <f t="shared" si="1114"/>
        <v>0</v>
      </c>
      <c r="AZ222" s="22">
        <f t="shared" si="1114"/>
        <v>0</v>
      </c>
      <c r="BA222" s="22">
        <f t="shared" si="1114"/>
        <v>0</v>
      </c>
      <c r="BB222" s="22" t="str">
        <f t="shared" si="1114"/>
        <v>Beeldende kunst</v>
      </c>
      <c r="BC222" s="22">
        <f t="shared" si="1114"/>
        <v>0</v>
      </c>
      <c r="BD222" s="22" t="str">
        <f t="shared" ref="BD222:BG222" si="1115">IF(L222 = true, BD$1, 0)</f>
        <v>Shop</v>
      </c>
      <c r="BE222" s="22">
        <f t="shared" si="1115"/>
        <v>0</v>
      </c>
      <c r="BF222" s="22">
        <f t="shared" si="1115"/>
        <v>0</v>
      </c>
      <c r="BG222" s="22">
        <f t="shared" si="1115"/>
        <v>0</v>
      </c>
      <c r="BH222" s="22" t="str">
        <f>IFERROR(__xludf.DUMMYFUNCTION("""COMPUTED_VALUE"""),"GUM | Gents Universiteitsmuseum")</f>
        <v>GUM | Gents Universiteitsmuseum</v>
      </c>
      <c r="BI222" s="24">
        <f>IFERROR(__xludf.DUMMYFUNCTION("""COMPUTED_VALUE"""),12.0)</f>
        <v>12</v>
      </c>
      <c r="BJ222" s="22" t="b">
        <f>IFERROR(__xludf.DUMMYFUNCTION("""COMPUTED_VALUE"""),FALSE)</f>
        <v>0</v>
      </c>
      <c r="BK222" s="22" t="b">
        <f>IFERROR(__xludf.DUMMYFUNCTION("""COMPUTED_VALUE"""),TRUE)</f>
        <v>1</v>
      </c>
      <c r="BL222" s="24">
        <f>IFERROR(__xludf.DUMMYFUNCTION("""COMPUTED_VALUE"""),12.0)</f>
        <v>12</v>
      </c>
      <c r="BM222" s="22">
        <f>IFERROR(__xludf.DUMMYFUNCTION("""COMPUTED_VALUE"""),1.0)</f>
        <v>1</v>
      </c>
      <c r="BN222" s="22">
        <f>IFERROR(__xludf.DUMMYFUNCTION("""COMPUTED_VALUE"""),1.0)</f>
        <v>1</v>
      </c>
      <c r="BO222" s="22">
        <f>IFERROR(__xludf.DUMMYFUNCTION("""COMPUTED_VALUE"""),0.0)</f>
        <v>0</v>
      </c>
      <c r="BP222" s="22">
        <f>IFERROR(__xludf.DUMMYFUNCTION("""COMPUTED_VALUE"""),0.0)</f>
        <v>0</v>
      </c>
      <c r="BQ222" s="22">
        <f>IFERROR(__xludf.DUMMYFUNCTION("""COMPUTED_VALUE"""),0.0)</f>
        <v>0</v>
      </c>
      <c r="BR222" s="22">
        <f>IFERROR(__xludf.DUMMYFUNCTION("""COMPUTED_VALUE"""),0.0)</f>
        <v>0</v>
      </c>
      <c r="BS222" s="22">
        <f>IFERROR(__xludf.DUMMYFUNCTION("""COMPUTED_VALUE"""),0.0)</f>
        <v>0</v>
      </c>
      <c r="BT222" s="22">
        <f>IFERROR(__xludf.DUMMYFUNCTION("""COMPUTED_VALUE"""),0.0)</f>
        <v>0</v>
      </c>
      <c r="BU222" s="22">
        <f>IFERROR(__xludf.DUMMYFUNCTION("""COMPUTED_VALUE"""),1.0)</f>
        <v>1</v>
      </c>
      <c r="BV222" s="22">
        <f>IFERROR(__xludf.DUMMYFUNCTION("""COMPUTED_VALUE"""),0.0)</f>
        <v>0</v>
      </c>
      <c r="BW222" s="22">
        <f>IFERROR(__xludf.DUMMYFUNCTION("""COMPUTED_VALUE"""),1.0)</f>
        <v>1</v>
      </c>
      <c r="BX222" s="22">
        <f>IFERROR(__xludf.DUMMYFUNCTION("""COMPUTED_VALUE"""),0.0)</f>
        <v>0</v>
      </c>
      <c r="BY222" s="22">
        <f>IFERROR(__xludf.DUMMYFUNCTION("""COMPUTED_VALUE"""),0.0)</f>
        <v>0</v>
      </c>
      <c r="BZ222" s="22">
        <f>IFERROR(__xludf.DUMMYFUNCTION("""COMPUTED_VALUE"""),0.0)</f>
        <v>0</v>
      </c>
      <c r="CA222" s="22">
        <f>IFERROR(__xludf.DUMMYFUNCTION("""COMPUTED_VALUE"""),1.0)</f>
        <v>1</v>
      </c>
      <c r="CB222" s="22">
        <f>IFERROR(__xludf.DUMMYFUNCTION("""COMPUTED_VALUE"""),3.0)</f>
        <v>3</v>
      </c>
      <c r="CC222" s="61">
        <f>IFERROR(__xludf.DUMMYFUNCTION("""COMPUTED_VALUE"""),1.875)</f>
        <v>1.875</v>
      </c>
      <c r="CD222" s="62" t="str">
        <f>IFERROR(__xludf.DUMMYFUNCTION("""COMPUTED_VALUE"""),"subpar")</f>
        <v>subpar</v>
      </c>
      <c r="CE222" s="22" t="s">
        <v>506</v>
      </c>
      <c r="CF222" s="24">
        <v>12.0</v>
      </c>
      <c r="CG222" s="22" t="b">
        <v>0</v>
      </c>
      <c r="CH222" s="22" t="b">
        <v>1</v>
      </c>
      <c r="CI222" s="24">
        <v>12.0</v>
      </c>
      <c r="CJ222" s="22">
        <v>1.0</v>
      </c>
      <c r="CK222" s="22">
        <v>1.0</v>
      </c>
      <c r="CL222" s="22">
        <v>0.0</v>
      </c>
      <c r="CM222" s="22">
        <v>0.0</v>
      </c>
      <c r="CN222" s="22">
        <v>0.0</v>
      </c>
      <c r="CO222" s="22">
        <v>0.0</v>
      </c>
      <c r="CP222" s="22">
        <v>0.0</v>
      </c>
      <c r="CQ222" s="22">
        <v>0.0</v>
      </c>
      <c r="CR222" s="22">
        <v>1.0</v>
      </c>
      <c r="CS222" s="22">
        <v>0.0</v>
      </c>
      <c r="CT222" s="22">
        <v>1.0</v>
      </c>
      <c r="CU222" s="22">
        <v>0.0</v>
      </c>
      <c r="CV222" s="22">
        <v>0.0</v>
      </c>
      <c r="CW222" s="22">
        <v>0.0</v>
      </c>
      <c r="CX222" s="22">
        <v>1.0</v>
      </c>
      <c r="CY222" s="22">
        <v>3.0</v>
      </c>
      <c r="CZ222" s="61">
        <v>1.875</v>
      </c>
      <c r="DA222" s="62" t="s">
        <v>568</v>
      </c>
    </row>
    <row r="223">
      <c r="A223" s="16" t="s">
        <v>467</v>
      </c>
      <c r="B223" s="16" t="s">
        <v>468</v>
      </c>
      <c r="C223" s="17" t="s">
        <v>51</v>
      </c>
      <c r="D223" s="16" t="s">
        <v>355</v>
      </c>
      <c r="E223" s="17" t="b">
        <f t="shared" ref="E223:K223" si="1116">If(IFERROR(SEARCH(E$1, $D223),0) &gt;= 1, true,false)</f>
        <v>1</v>
      </c>
      <c r="F223" s="17" t="b">
        <f t="shared" si="1116"/>
        <v>1</v>
      </c>
      <c r="G223" s="17" t="b">
        <f t="shared" si="1116"/>
        <v>0</v>
      </c>
      <c r="H223" s="17" t="b">
        <f t="shared" si="1116"/>
        <v>0</v>
      </c>
      <c r="I223" s="17" t="b">
        <f t="shared" si="1116"/>
        <v>0</v>
      </c>
      <c r="J223" s="17" t="b">
        <f t="shared" si="1116"/>
        <v>0</v>
      </c>
      <c r="K223" s="17" t="b">
        <f t="shared" si="1116"/>
        <v>0</v>
      </c>
      <c r="L223" s="18" t="b">
        <v>1</v>
      </c>
      <c r="M223" s="18" t="b">
        <v>0</v>
      </c>
      <c r="N223" s="18" t="b">
        <v>0</v>
      </c>
      <c r="O223" s="18" t="b">
        <v>0</v>
      </c>
      <c r="P223" s="16" t="str">
        <f t="shared" si="7"/>
        <v>Riolenmuseum</v>
      </c>
      <c r="Q223" s="19">
        <v>10.0</v>
      </c>
      <c r="R223" s="18" t="b">
        <v>0</v>
      </c>
      <c r="S223" s="18" t="b">
        <v>0</v>
      </c>
      <c r="T223" s="32"/>
      <c r="U223" s="21">
        <f t="shared" si="8"/>
        <v>0</v>
      </c>
      <c r="V223" s="21">
        <f t="shared" ref="V223:AB223" si="1117">if(OR(AW223 = $AO$4, AW223 = $AQ$4), 1, 0)</f>
        <v>1</v>
      </c>
      <c r="W223" s="21">
        <f t="shared" si="1117"/>
        <v>0</v>
      </c>
      <c r="X223" s="21">
        <f t="shared" si="1117"/>
        <v>0</v>
      </c>
      <c r="Y223" s="21">
        <f t="shared" si="1117"/>
        <v>0</v>
      </c>
      <c r="Z223" s="21">
        <f t="shared" si="1117"/>
        <v>0</v>
      </c>
      <c r="AA223" s="21">
        <f t="shared" si="1117"/>
        <v>0</v>
      </c>
      <c r="AB223" s="21">
        <f t="shared" si="1117"/>
        <v>0</v>
      </c>
      <c r="AC223" s="21">
        <f t="shared" si="10"/>
        <v>1</v>
      </c>
      <c r="AD223" s="21">
        <f t="shared" si="11"/>
        <v>1</v>
      </c>
      <c r="AE223" s="21">
        <f t="shared" ref="AE223:AH223" si="1118">if(OR(BD223 = $AO$6, BD223 = $AS$6, BD223 = $AT$6, BD223 = $AU$6), 1, 0)</f>
        <v>1</v>
      </c>
      <c r="AF223" s="21">
        <f t="shared" si="1118"/>
        <v>0</v>
      </c>
      <c r="AG223" s="21">
        <f t="shared" si="1118"/>
        <v>0</v>
      </c>
      <c r="AH223" s="21">
        <f t="shared" si="1118"/>
        <v>0</v>
      </c>
      <c r="AI223" s="21">
        <f t="shared" si="13"/>
        <v>1</v>
      </c>
      <c r="AJ223" s="21">
        <f t="shared" si="14"/>
        <v>3</v>
      </c>
      <c r="AK223" s="59">
        <f t="shared" si="15"/>
        <v>1.875</v>
      </c>
      <c r="AL223" s="60" t="str">
        <f t="shared" si="16"/>
        <v>subpar</v>
      </c>
      <c r="AW223" s="22" t="str">
        <f t="shared" ref="AW223:BC223" si="1119">IF(IFERROR(SEARCH(E$1, $D223),0) &gt;= 1, E$1,0)</f>
        <v>Geschiedenis en archeologie</v>
      </c>
      <c r="AX223" s="22" t="str">
        <f t="shared" si="1119"/>
        <v>Wetenschap en technologie</v>
      </c>
      <c r="AY223" s="22">
        <f t="shared" si="1119"/>
        <v>0</v>
      </c>
      <c r="AZ223" s="22">
        <f t="shared" si="1119"/>
        <v>0</v>
      </c>
      <c r="BA223" s="22">
        <f t="shared" si="1119"/>
        <v>0</v>
      </c>
      <c r="BB223" s="22">
        <f t="shared" si="1119"/>
        <v>0</v>
      </c>
      <c r="BC223" s="22">
        <f t="shared" si="1119"/>
        <v>0</v>
      </c>
      <c r="BD223" s="22" t="str">
        <f t="shared" ref="BD223:BG223" si="1120">IF(L223 = true, BD$1, 0)</f>
        <v>Shop</v>
      </c>
      <c r="BE223" s="22">
        <f t="shared" si="1120"/>
        <v>0</v>
      </c>
      <c r="BF223" s="22">
        <f t="shared" si="1120"/>
        <v>0</v>
      </c>
      <c r="BG223" s="22">
        <f t="shared" si="1120"/>
        <v>0</v>
      </c>
      <c r="BH223" s="22" t="str">
        <f>IFERROR(__xludf.DUMMYFUNCTION("""COMPUTED_VALUE"""),"Herbert Foundation")</f>
        <v>Herbert Foundation</v>
      </c>
      <c r="BI223" s="24">
        <f>IFERROR(__xludf.DUMMYFUNCTION("""COMPUTED_VALUE"""),12.0)</f>
        <v>12</v>
      </c>
      <c r="BJ223" s="22" t="b">
        <f>IFERROR(__xludf.DUMMYFUNCTION("""COMPUTED_VALUE"""),FALSE)</f>
        <v>0</v>
      </c>
      <c r="BK223" s="22" t="b">
        <f>IFERROR(__xludf.DUMMYFUNCTION("""COMPUTED_VALUE"""),FALSE)</f>
        <v>0</v>
      </c>
      <c r="BL223" s="22"/>
      <c r="BM223" s="22">
        <f>IFERROR(__xludf.DUMMYFUNCTION("""COMPUTED_VALUE"""),1.0)</f>
        <v>1</v>
      </c>
      <c r="BN223" s="22">
        <f>IFERROR(__xludf.DUMMYFUNCTION("""COMPUTED_VALUE"""),0.0)</f>
        <v>0</v>
      </c>
      <c r="BO223" s="22">
        <f>IFERROR(__xludf.DUMMYFUNCTION("""COMPUTED_VALUE"""),0.0)</f>
        <v>0</v>
      </c>
      <c r="BP223" s="22">
        <f>IFERROR(__xludf.DUMMYFUNCTION("""COMPUTED_VALUE"""),0.0)</f>
        <v>0</v>
      </c>
      <c r="BQ223" s="22">
        <f>IFERROR(__xludf.DUMMYFUNCTION("""COMPUTED_VALUE"""),0.0)</f>
        <v>0</v>
      </c>
      <c r="BR223" s="22">
        <f>IFERROR(__xludf.DUMMYFUNCTION("""COMPUTED_VALUE"""),0.0)</f>
        <v>0</v>
      </c>
      <c r="BS223" s="22">
        <f>IFERROR(__xludf.DUMMYFUNCTION("""COMPUTED_VALUE"""),1.0)</f>
        <v>1</v>
      </c>
      <c r="BT223" s="22">
        <f>IFERROR(__xludf.DUMMYFUNCTION("""COMPUTED_VALUE"""),0.0)</f>
        <v>0</v>
      </c>
      <c r="BU223" s="22">
        <f>IFERROR(__xludf.DUMMYFUNCTION("""COMPUTED_VALUE"""),1.0)</f>
        <v>1</v>
      </c>
      <c r="BV223" s="22">
        <f>IFERROR(__xludf.DUMMYFUNCTION("""COMPUTED_VALUE"""),0.0)</f>
        <v>0</v>
      </c>
      <c r="BW223" s="22">
        <f>IFERROR(__xludf.DUMMYFUNCTION("""COMPUTED_VALUE"""),1.0)</f>
        <v>1</v>
      </c>
      <c r="BX223" s="22">
        <f>IFERROR(__xludf.DUMMYFUNCTION("""COMPUTED_VALUE"""),0.0)</f>
        <v>0</v>
      </c>
      <c r="BY223" s="22">
        <f>IFERROR(__xludf.DUMMYFUNCTION("""COMPUTED_VALUE"""),0.0)</f>
        <v>0</v>
      </c>
      <c r="BZ223" s="22">
        <f>IFERROR(__xludf.DUMMYFUNCTION("""COMPUTED_VALUE"""),0.0)</f>
        <v>0</v>
      </c>
      <c r="CA223" s="22">
        <f>IFERROR(__xludf.DUMMYFUNCTION("""COMPUTED_VALUE"""),1.0)</f>
        <v>1</v>
      </c>
      <c r="CB223" s="22">
        <f>IFERROR(__xludf.DUMMYFUNCTION("""COMPUTED_VALUE"""),3.0)</f>
        <v>3</v>
      </c>
      <c r="CC223" s="61">
        <f>IFERROR(__xludf.DUMMYFUNCTION("""COMPUTED_VALUE"""),1.875)</f>
        <v>1.875</v>
      </c>
      <c r="CD223" s="62" t="str">
        <f>IFERROR(__xludf.DUMMYFUNCTION("""COMPUTED_VALUE"""),"subpar")</f>
        <v>subpar</v>
      </c>
      <c r="CE223" s="22" t="s">
        <v>508</v>
      </c>
      <c r="CF223" s="24">
        <v>12.0</v>
      </c>
      <c r="CG223" s="22" t="b">
        <v>0</v>
      </c>
      <c r="CH223" s="22" t="b">
        <v>0</v>
      </c>
      <c r="CI223" s="22"/>
      <c r="CJ223" s="22">
        <v>1.0</v>
      </c>
      <c r="CK223" s="22">
        <v>0.0</v>
      </c>
      <c r="CL223" s="22">
        <v>0.0</v>
      </c>
      <c r="CM223" s="22">
        <v>0.0</v>
      </c>
      <c r="CN223" s="22">
        <v>0.0</v>
      </c>
      <c r="CO223" s="22">
        <v>0.0</v>
      </c>
      <c r="CP223" s="22">
        <v>1.0</v>
      </c>
      <c r="CQ223" s="22">
        <v>0.0</v>
      </c>
      <c r="CR223" s="22">
        <v>1.0</v>
      </c>
      <c r="CS223" s="22">
        <v>0.0</v>
      </c>
      <c r="CT223" s="22">
        <v>1.0</v>
      </c>
      <c r="CU223" s="22">
        <v>0.0</v>
      </c>
      <c r="CV223" s="22">
        <v>0.0</v>
      </c>
      <c r="CW223" s="22">
        <v>0.0</v>
      </c>
      <c r="CX223" s="22">
        <v>1.0</v>
      </c>
      <c r="CY223" s="22">
        <v>3.0</v>
      </c>
      <c r="CZ223" s="61">
        <v>1.875</v>
      </c>
      <c r="DA223" s="62" t="s">
        <v>568</v>
      </c>
    </row>
    <row r="224">
      <c r="A224" s="16" t="s">
        <v>469</v>
      </c>
      <c r="B224" s="16" t="s">
        <v>470</v>
      </c>
      <c r="C224" s="17" t="s">
        <v>51</v>
      </c>
      <c r="D224" s="16" t="s">
        <v>180</v>
      </c>
      <c r="E224" s="17" t="b">
        <f t="shared" ref="E224:K224" si="1121">If(IFERROR(SEARCH(E$1, $D224),0) &gt;= 1, true,false)</f>
        <v>0</v>
      </c>
      <c r="F224" s="17" t="b">
        <f t="shared" si="1121"/>
        <v>0</v>
      </c>
      <c r="G224" s="17" t="b">
        <f t="shared" si="1121"/>
        <v>0</v>
      </c>
      <c r="H224" s="17" t="b">
        <f t="shared" si="1121"/>
        <v>0</v>
      </c>
      <c r="I224" s="17" t="b">
        <f t="shared" si="1121"/>
        <v>0</v>
      </c>
      <c r="J224" s="17" t="b">
        <f t="shared" si="1121"/>
        <v>1</v>
      </c>
      <c r="K224" s="17" t="b">
        <f t="shared" si="1121"/>
        <v>1</v>
      </c>
      <c r="L224" s="18" t="b">
        <v>1</v>
      </c>
      <c r="M224" s="18" t="b">
        <v>1</v>
      </c>
      <c r="N224" s="18" t="b">
        <v>0</v>
      </c>
      <c r="O224" s="18" t="b">
        <v>0</v>
      </c>
      <c r="P224" s="16" t="str">
        <f t="shared" si="7"/>
        <v>Stripmuseum Brussel</v>
      </c>
      <c r="Q224" s="19">
        <v>14.0</v>
      </c>
      <c r="R224" s="18" t="b">
        <v>0</v>
      </c>
      <c r="S224" s="18" t="b">
        <v>1</v>
      </c>
      <c r="T224" s="31">
        <v>0.0</v>
      </c>
      <c r="U224" s="21">
        <f t="shared" si="8"/>
        <v>0</v>
      </c>
      <c r="V224" s="21">
        <f t="shared" ref="V224:AB224" si="1122">if(OR(AW224 = $AO$4, AW224 = $AQ$4), 1, 0)</f>
        <v>0</v>
      </c>
      <c r="W224" s="21">
        <f t="shared" si="1122"/>
        <v>0</v>
      </c>
      <c r="X224" s="21">
        <f t="shared" si="1122"/>
        <v>0</v>
      </c>
      <c r="Y224" s="21">
        <f t="shared" si="1122"/>
        <v>0</v>
      </c>
      <c r="Z224" s="21">
        <f t="shared" si="1122"/>
        <v>0</v>
      </c>
      <c r="AA224" s="21">
        <f t="shared" si="1122"/>
        <v>1</v>
      </c>
      <c r="AB224" s="21">
        <f t="shared" si="1122"/>
        <v>0</v>
      </c>
      <c r="AC224" s="21">
        <f t="shared" si="10"/>
        <v>1</v>
      </c>
      <c r="AD224" s="21">
        <f t="shared" si="11"/>
        <v>0</v>
      </c>
      <c r="AE224" s="21">
        <f t="shared" ref="AE224:AH224" si="1123">if(OR(BD224 = $AO$6, BD224 = $AS$6, BD224 = $AT$6, BD224 = $AU$6), 1, 0)</f>
        <v>1</v>
      </c>
      <c r="AF224" s="21">
        <f t="shared" si="1123"/>
        <v>1</v>
      </c>
      <c r="AG224" s="21">
        <f t="shared" si="1123"/>
        <v>0</v>
      </c>
      <c r="AH224" s="21">
        <f t="shared" si="1123"/>
        <v>0</v>
      </c>
      <c r="AI224" s="21">
        <f t="shared" si="13"/>
        <v>2</v>
      </c>
      <c r="AJ224" s="21">
        <f t="shared" si="14"/>
        <v>3</v>
      </c>
      <c r="AK224" s="59">
        <f t="shared" si="15"/>
        <v>1.875</v>
      </c>
      <c r="AL224" s="60" t="str">
        <f t="shared" si="16"/>
        <v>subpar</v>
      </c>
      <c r="AW224" s="22">
        <f t="shared" ref="AW224:BC224" si="1124">IF(IFERROR(SEARCH(E$1, $D224),0) &gt;= 1, E$1,0)</f>
        <v>0</v>
      </c>
      <c r="AX224" s="22">
        <f t="shared" si="1124"/>
        <v>0</v>
      </c>
      <c r="AY224" s="22">
        <f t="shared" si="1124"/>
        <v>0</v>
      </c>
      <c r="AZ224" s="22">
        <f t="shared" si="1124"/>
        <v>0</v>
      </c>
      <c r="BA224" s="22">
        <f t="shared" si="1124"/>
        <v>0</v>
      </c>
      <c r="BB224" s="22" t="str">
        <f t="shared" si="1124"/>
        <v>Beeldende kunst</v>
      </c>
      <c r="BC224" s="22" t="str">
        <f t="shared" si="1124"/>
        <v>Toegepaste kunst en design</v>
      </c>
      <c r="BD224" s="22" t="str">
        <f t="shared" ref="BD224:BG224" si="1125">IF(L224 = true, BD$1, 0)</f>
        <v>Shop</v>
      </c>
      <c r="BE224" s="22" t="str">
        <f t="shared" si="1125"/>
        <v>Café</v>
      </c>
      <c r="BF224" s="22">
        <f t="shared" si="1125"/>
        <v>0</v>
      </c>
      <c r="BG224" s="22">
        <f t="shared" si="1125"/>
        <v>0</v>
      </c>
      <c r="BH224" s="22" t="str">
        <f>IFERROR(__xludf.DUMMYFUNCTION("""COMPUTED_VALUE"""),"Industriemuseum")</f>
        <v>Industriemuseum</v>
      </c>
      <c r="BI224" s="24">
        <f>IFERROR(__xludf.DUMMYFUNCTION("""COMPUTED_VALUE"""),9.0)</f>
        <v>9</v>
      </c>
      <c r="BJ224" s="22" t="b">
        <f>IFERROR(__xludf.DUMMYFUNCTION("""COMPUTED_VALUE"""),FALSE)</f>
        <v>0</v>
      </c>
      <c r="BK224" s="22" t="b">
        <f>IFERROR(__xludf.DUMMYFUNCTION("""COMPUTED_VALUE"""),TRUE)</f>
        <v>1</v>
      </c>
      <c r="BL224" s="24">
        <f>IFERROR(__xludf.DUMMYFUNCTION("""COMPUTED_VALUE"""),9.0)</f>
        <v>9</v>
      </c>
      <c r="BM224" s="22">
        <f>IFERROR(__xludf.DUMMYFUNCTION("""COMPUTED_VALUE"""),1.0)</f>
        <v>1</v>
      </c>
      <c r="BN224" s="22">
        <f>IFERROR(__xludf.DUMMYFUNCTION("""COMPUTED_VALUE"""),1.0)</f>
        <v>1</v>
      </c>
      <c r="BO224" s="22">
        <f>IFERROR(__xludf.DUMMYFUNCTION("""COMPUTED_VALUE"""),0.0)</f>
        <v>0</v>
      </c>
      <c r="BP224" s="22">
        <f>IFERROR(__xludf.DUMMYFUNCTION("""COMPUTED_VALUE"""),0.0)</f>
        <v>0</v>
      </c>
      <c r="BQ224" s="22">
        <f>IFERROR(__xludf.DUMMYFUNCTION("""COMPUTED_VALUE"""),0.0)</f>
        <v>0</v>
      </c>
      <c r="BR224" s="22">
        <f>IFERROR(__xludf.DUMMYFUNCTION("""COMPUTED_VALUE"""),0.0)</f>
        <v>0</v>
      </c>
      <c r="BS224" s="22">
        <f>IFERROR(__xludf.DUMMYFUNCTION("""COMPUTED_VALUE"""),0.0)</f>
        <v>0</v>
      </c>
      <c r="BT224" s="22">
        <f>IFERROR(__xludf.DUMMYFUNCTION("""COMPUTED_VALUE"""),0.0)</f>
        <v>0</v>
      </c>
      <c r="BU224" s="22">
        <f>IFERROR(__xludf.DUMMYFUNCTION("""COMPUTED_VALUE"""),1.0)</f>
        <v>1</v>
      </c>
      <c r="BV224" s="22">
        <f>IFERROR(__xludf.DUMMYFUNCTION("""COMPUTED_VALUE"""),1.0)</f>
        <v>1</v>
      </c>
      <c r="BW224" s="22">
        <f>IFERROR(__xludf.DUMMYFUNCTION("""COMPUTED_VALUE"""),0.0)</f>
        <v>0</v>
      </c>
      <c r="BX224" s="22">
        <f>IFERROR(__xludf.DUMMYFUNCTION("""COMPUTED_VALUE"""),0.0)</f>
        <v>0</v>
      </c>
      <c r="BY224" s="22">
        <f>IFERROR(__xludf.DUMMYFUNCTION("""COMPUTED_VALUE"""),0.0)</f>
        <v>0</v>
      </c>
      <c r="BZ224" s="22">
        <f>IFERROR(__xludf.DUMMYFUNCTION("""COMPUTED_VALUE"""),0.0)</f>
        <v>0</v>
      </c>
      <c r="CA224" s="22">
        <f>IFERROR(__xludf.DUMMYFUNCTION("""COMPUTED_VALUE"""),0.0)</f>
        <v>0</v>
      </c>
      <c r="CB224" s="22">
        <f>IFERROR(__xludf.DUMMYFUNCTION("""COMPUTED_VALUE"""),3.0)</f>
        <v>3</v>
      </c>
      <c r="CC224" s="61">
        <f>IFERROR(__xludf.DUMMYFUNCTION("""COMPUTED_VALUE"""),1.875)</f>
        <v>1.875</v>
      </c>
      <c r="CD224" s="62" t="str">
        <f>IFERROR(__xludf.DUMMYFUNCTION("""COMPUTED_VALUE"""),"subpar")</f>
        <v>subpar</v>
      </c>
      <c r="CE224" s="22" t="s">
        <v>511</v>
      </c>
      <c r="CF224" s="24">
        <v>9.0</v>
      </c>
      <c r="CG224" s="22" t="b">
        <v>0</v>
      </c>
      <c r="CH224" s="22" t="b">
        <v>1</v>
      </c>
      <c r="CI224" s="24">
        <v>9.0</v>
      </c>
      <c r="CJ224" s="22">
        <v>1.0</v>
      </c>
      <c r="CK224" s="22">
        <v>1.0</v>
      </c>
      <c r="CL224" s="22">
        <v>0.0</v>
      </c>
      <c r="CM224" s="22">
        <v>0.0</v>
      </c>
      <c r="CN224" s="22">
        <v>0.0</v>
      </c>
      <c r="CO224" s="22">
        <v>0.0</v>
      </c>
      <c r="CP224" s="22">
        <v>0.0</v>
      </c>
      <c r="CQ224" s="22">
        <v>0.0</v>
      </c>
      <c r="CR224" s="22">
        <v>1.0</v>
      </c>
      <c r="CS224" s="22">
        <v>1.0</v>
      </c>
      <c r="CT224" s="22">
        <v>0.0</v>
      </c>
      <c r="CU224" s="22">
        <v>0.0</v>
      </c>
      <c r="CV224" s="22">
        <v>0.0</v>
      </c>
      <c r="CW224" s="22">
        <v>0.0</v>
      </c>
      <c r="CX224" s="22">
        <v>0.0</v>
      </c>
      <c r="CY224" s="22">
        <v>3.0</v>
      </c>
      <c r="CZ224" s="61">
        <v>1.875</v>
      </c>
      <c r="DA224" s="62" t="s">
        <v>568</v>
      </c>
    </row>
    <row r="225">
      <c r="A225" s="16" t="s">
        <v>471</v>
      </c>
      <c r="B225" s="16" t="s">
        <v>472</v>
      </c>
      <c r="C225" s="17" t="s">
        <v>51</v>
      </c>
      <c r="D225" s="16" t="s">
        <v>355</v>
      </c>
      <c r="E225" s="17" t="b">
        <f t="shared" ref="E225:K225" si="1126">If(IFERROR(SEARCH(E$1, $D225),0) &gt;= 1, true,false)</f>
        <v>1</v>
      </c>
      <c r="F225" s="17" t="b">
        <f t="shared" si="1126"/>
        <v>1</v>
      </c>
      <c r="G225" s="17" t="b">
        <f t="shared" si="1126"/>
        <v>0</v>
      </c>
      <c r="H225" s="17" t="b">
        <f t="shared" si="1126"/>
        <v>0</v>
      </c>
      <c r="I225" s="17" t="b">
        <f t="shared" si="1126"/>
        <v>0</v>
      </c>
      <c r="J225" s="17" t="b">
        <f t="shared" si="1126"/>
        <v>0</v>
      </c>
      <c r="K225" s="17" t="b">
        <f t="shared" si="1126"/>
        <v>0</v>
      </c>
      <c r="L225" s="18" t="b">
        <v>0</v>
      </c>
      <c r="M225" s="18" t="b">
        <v>0</v>
      </c>
      <c r="N225" s="18" t="b">
        <v>0</v>
      </c>
      <c r="O225" s="18" t="b">
        <v>0</v>
      </c>
      <c r="P225" s="16" t="str">
        <f t="shared" si="7"/>
        <v>Museum van de Nationale Bank van België</v>
      </c>
      <c r="Q225" s="19">
        <v>0.0</v>
      </c>
      <c r="R225" s="18" t="b">
        <v>0</v>
      </c>
      <c r="S225" s="18" t="b">
        <v>0</v>
      </c>
      <c r="T225" s="33"/>
      <c r="U225" s="21">
        <f t="shared" si="8"/>
        <v>0</v>
      </c>
      <c r="V225" s="21">
        <f t="shared" ref="V225:AB225" si="1127">if(OR(AW225 = $AO$4, AW225 = $AQ$4), 1, 0)</f>
        <v>1</v>
      </c>
      <c r="W225" s="21">
        <f t="shared" si="1127"/>
        <v>0</v>
      </c>
      <c r="X225" s="21">
        <f t="shared" si="1127"/>
        <v>0</v>
      </c>
      <c r="Y225" s="21">
        <f t="shared" si="1127"/>
        <v>0</v>
      </c>
      <c r="Z225" s="21">
        <f t="shared" si="1127"/>
        <v>0</v>
      </c>
      <c r="AA225" s="21">
        <f t="shared" si="1127"/>
        <v>0</v>
      </c>
      <c r="AB225" s="21">
        <f t="shared" si="1127"/>
        <v>0</v>
      </c>
      <c r="AC225" s="21">
        <f t="shared" si="10"/>
        <v>1</v>
      </c>
      <c r="AD225" s="21">
        <f t="shared" si="11"/>
        <v>1</v>
      </c>
      <c r="AE225" s="21">
        <f t="shared" ref="AE225:AH225" si="1128">if(OR(BD225 = $AO$6, BD225 = $AS$6, BD225 = $AT$6, BD225 = $AU$6), 1, 0)</f>
        <v>0</v>
      </c>
      <c r="AF225" s="21">
        <f t="shared" si="1128"/>
        <v>0</v>
      </c>
      <c r="AG225" s="21">
        <f t="shared" si="1128"/>
        <v>0</v>
      </c>
      <c r="AH225" s="21">
        <f t="shared" si="1128"/>
        <v>0</v>
      </c>
      <c r="AI225" s="21">
        <f t="shared" si="13"/>
        <v>0</v>
      </c>
      <c r="AJ225" s="21">
        <f t="shared" si="14"/>
        <v>2</v>
      </c>
      <c r="AK225" s="59">
        <f t="shared" si="15"/>
        <v>1.25</v>
      </c>
      <c r="AL225" s="60" t="str">
        <f t="shared" si="16"/>
        <v>subpar</v>
      </c>
      <c r="AW225" s="22" t="str">
        <f t="shared" ref="AW225:BC225" si="1129">IF(IFERROR(SEARCH(E$1, $D225),0) &gt;= 1, E$1,0)</f>
        <v>Geschiedenis en archeologie</v>
      </c>
      <c r="AX225" s="22" t="str">
        <f t="shared" si="1129"/>
        <v>Wetenschap en technologie</v>
      </c>
      <c r="AY225" s="22">
        <f t="shared" si="1129"/>
        <v>0</v>
      </c>
      <c r="AZ225" s="22">
        <f t="shared" si="1129"/>
        <v>0</v>
      </c>
      <c r="BA225" s="22">
        <f t="shared" si="1129"/>
        <v>0</v>
      </c>
      <c r="BB225" s="22">
        <f t="shared" si="1129"/>
        <v>0</v>
      </c>
      <c r="BC225" s="22">
        <f t="shared" si="1129"/>
        <v>0</v>
      </c>
      <c r="BD225" s="22">
        <f t="shared" ref="BD225:BG225" si="1130">IF(L225 = true, BD$1, 0)</f>
        <v>0</v>
      </c>
      <c r="BE225" s="22">
        <f t="shared" si="1130"/>
        <v>0</v>
      </c>
      <c r="BF225" s="22">
        <f t="shared" si="1130"/>
        <v>0</v>
      </c>
      <c r="BG225" s="22">
        <f t="shared" si="1130"/>
        <v>0</v>
      </c>
      <c r="BH225" s="22" t="str">
        <f>IFERROR(__xludf.DUMMYFUNCTION("""COMPUTED_VALUE"""),"Groeningemuseum")</f>
        <v>Groeningemuseum</v>
      </c>
      <c r="BI225" s="24">
        <f>IFERROR(__xludf.DUMMYFUNCTION("""COMPUTED_VALUE"""),15.0)</f>
        <v>15</v>
      </c>
      <c r="BJ225" s="22" t="b">
        <f>IFERROR(__xludf.DUMMYFUNCTION("""COMPUTED_VALUE"""),FALSE)</f>
        <v>0</v>
      </c>
      <c r="BK225" s="22" t="b">
        <f>IFERROR(__xludf.DUMMYFUNCTION("""COMPUTED_VALUE"""),FALSE)</f>
        <v>0</v>
      </c>
      <c r="BL225" s="22"/>
      <c r="BM225" s="22">
        <f>IFERROR(__xludf.DUMMYFUNCTION("""COMPUTED_VALUE"""),0.0)</f>
        <v>0</v>
      </c>
      <c r="BN225" s="22">
        <f>IFERROR(__xludf.DUMMYFUNCTION("""COMPUTED_VALUE"""),0.0)</f>
        <v>0</v>
      </c>
      <c r="BO225" s="22">
        <f>IFERROR(__xludf.DUMMYFUNCTION("""COMPUTED_VALUE"""),0.0)</f>
        <v>0</v>
      </c>
      <c r="BP225" s="22">
        <f>IFERROR(__xludf.DUMMYFUNCTION("""COMPUTED_VALUE"""),0.0)</f>
        <v>0</v>
      </c>
      <c r="BQ225" s="22">
        <f>IFERROR(__xludf.DUMMYFUNCTION("""COMPUTED_VALUE"""),0.0)</f>
        <v>0</v>
      </c>
      <c r="BR225" s="22">
        <f>IFERROR(__xludf.DUMMYFUNCTION("""COMPUTED_VALUE"""),0.0)</f>
        <v>0</v>
      </c>
      <c r="BS225" s="22">
        <f>IFERROR(__xludf.DUMMYFUNCTION("""COMPUTED_VALUE"""),1.0)</f>
        <v>1</v>
      </c>
      <c r="BT225" s="22">
        <f>IFERROR(__xludf.DUMMYFUNCTION("""COMPUTED_VALUE"""),0.0)</f>
        <v>0</v>
      </c>
      <c r="BU225" s="22">
        <f>IFERROR(__xludf.DUMMYFUNCTION("""COMPUTED_VALUE"""),1.0)</f>
        <v>1</v>
      </c>
      <c r="BV225" s="22">
        <f>IFERROR(__xludf.DUMMYFUNCTION("""COMPUTED_VALUE"""),0.0)</f>
        <v>0</v>
      </c>
      <c r="BW225" s="22">
        <f>IFERROR(__xludf.DUMMYFUNCTION("""COMPUTED_VALUE"""),1.0)</f>
        <v>1</v>
      </c>
      <c r="BX225" s="22">
        <f>IFERROR(__xludf.DUMMYFUNCTION("""COMPUTED_VALUE"""),0.0)</f>
        <v>0</v>
      </c>
      <c r="BY225" s="22">
        <f>IFERROR(__xludf.DUMMYFUNCTION("""COMPUTED_VALUE"""),0.0)</f>
        <v>0</v>
      </c>
      <c r="BZ225" s="22">
        <f>IFERROR(__xludf.DUMMYFUNCTION("""COMPUTED_VALUE"""),0.0)</f>
        <v>0</v>
      </c>
      <c r="CA225" s="22">
        <f>IFERROR(__xludf.DUMMYFUNCTION("""COMPUTED_VALUE"""),1.0)</f>
        <v>1</v>
      </c>
      <c r="CB225" s="22">
        <f>IFERROR(__xludf.DUMMYFUNCTION("""COMPUTED_VALUE"""),2.0)</f>
        <v>2</v>
      </c>
      <c r="CC225" s="61">
        <f>IFERROR(__xludf.DUMMYFUNCTION("""COMPUTED_VALUE"""),1.25)</f>
        <v>1.25</v>
      </c>
      <c r="CD225" s="62" t="str">
        <f>IFERROR(__xludf.DUMMYFUNCTION("""COMPUTED_VALUE"""),"subpar")</f>
        <v>subpar</v>
      </c>
      <c r="CE225" s="22" t="s">
        <v>86</v>
      </c>
      <c r="CF225" s="24">
        <v>15.0</v>
      </c>
      <c r="CG225" s="22" t="b">
        <v>0</v>
      </c>
      <c r="CH225" s="22" t="b">
        <v>0</v>
      </c>
      <c r="CI225" s="22"/>
      <c r="CJ225" s="22">
        <v>0.0</v>
      </c>
      <c r="CK225" s="22">
        <v>0.0</v>
      </c>
      <c r="CL225" s="22">
        <v>0.0</v>
      </c>
      <c r="CM225" s="22">
        <v>0.0</v>
      </c>
      <c r="CN225" s="22">
        <v>0.0</v>
      </c>
      <c r="CO225" s="22">
        <v>0.0</v>
      </c>
      <c r="CP225" s="22">
        <v>1.0</v>
      </c>
      <c r="CQ225" s="22">
        <v>0.0</v>
      </c>
      <c r="CR225" s="22">
        <v>1.0</v>
      </c>
      <c r="CS225" s="22">
        <v>0.0</v>
      </c>
      <c r="CT225" s="22">
        <v>1.0</v>
      </c>
      <c r="CU225" s="22">
        <v>0.0</v>
      </c>
      <c r="CV225" s="22">
        <v>0.0</v>
      </c>
      <c r="CW225" s="22">
        <v>0.0</v>
      </c>
      <c r="CX225" s="22">
        <v>1.0</v>
      </c>
      <c r="CY225" s="22">
        <v>2.0</v>
      </c>
      <c r="CZ225" s="61">
        <v>1.25</v>
      </c>
      <c r="DA225" s="62" t="s">
        <v>568</v>
      </c>
    </row>
    <row r="226">
      <c r="A226" s="16" t="s">
        <v>473</v>
      </c>
      <c r="B226" s="16" t="s">
        <v>474</v>
      </c>
      <c r="C226" s="17" t="s">
        <v>51</v>
      </c>
      <c r="D226" s="16" t="s">
        <v>355</v>
      </c>
      <c r="E226" s="17" t="b">
        <f t="shared" ref="E226:K226" si="1131">If(IFERROR(SEARCH(E$1, $D226),0) &gt;= 1, true,false)</f>
        <v>1</v>
      </c>
      <c r="F226" s="17" t="b">
        <f t="shared" si="1131"/>
        <v>1</v>
      </c>
      <c r="G226" s="17" t="b">
        <f t="shared" si="1131"/>
        <v>0</v>
      </c>
      <c r="H226" s="17" t="b">
        <f t="shared" si="1131"/>
        <v>0</v>
      </c>
      <c r="I226" s="17" t="b">
        <f t="shared" si="1131"/>
        <v>0</v>
      </c>
      <c r="J226" s="17" t="b">
        <f t="shared" si="1131"/>
        <v>0</v>
      </c>
      <c r="K226" s="17" t="b">
        <f t="shared" si="1131"/>
        <v>0</v>
      </c>
      <c r="L226" s="18" t="b">
        <v>0</v>
      </c>
      <c r="M226" s="18" t="b">
        <v>0</v>
      </c>
      <c r="N226" s="18" t="b">
        <v>0</v>
      </c>
      <c r="O226" s="18" t="b">
        <v>0</v>
      </c>
      <c r="P226" s="16" t="str">
        <f t="shared" si="7"/>
        <v>Geneeskundemuseum</v>
      </c>
      <c r="Q226" s="19">
        <v>5.0</v>
      </c>
      <c r="R226" s="18" t="b">
        <v>0</v>
      </c>
      <c r="S226" s="18" t="b">
        <v>0</v>
      </c>
      <c r="T226" s="33"/>
      <c r="U226" s="21">
        <f t="shared" si="8"/>
        <v>0</v>
      </c>
      <c r="V226" s="21">
        <f t="shared" ref="V226:AB226" si="1132">if(OR(AW226 = $AO$4, AW226 = $AQ$4), 1, 0)</f>
        <v>1</v>
      </c>
      <c r="W226" s="21">
        <f t="shared" si="1132"/>
        <v>0</v>
      </c>
      <c r="X226" s="21">
        <f t="shared" si="1132"/>
        <v>0</v>
      </c>
      <c r="Y226" s="21">
        <f t="shared" si="1132"/>
        <v>0</v>
      </c>
      <c r="Z226" s="21">
        <f t="shared" si="1132"/>
        <v>0</v>
      </c>
      <c r="AA226" s="21">
        <f t="shared" si="1132"/>
        <v>0</v>
      </c>
      <c r="AB226" s="21">
        <f t="shared" si="1132"/>
        <v>0</v>
      </c>
      <c r="AC226" s="21">
        <f t="shared" si="10"/>
        <v>1</v>
      </c>
      <c r="AD226" s="21">
        <f t="shared" si="11"/>
        <v>1</v>
      </c>
      <c r="AE226" s="21">
        <f t="shared" ref="AE226:AH226" si="1133">if(OR(BD226 = $AO$6, BD226 = $AS$6, BD226 = $AT$6, BD226 = $AU$6), 1, 0)</f>
        <v>0</v>
      </c>
      <c r="AF226" s="21">
        <f t="shared" si="1133"/>
        <v>0</v>
      </c>
      <c r="AG226" s="21">
        <f t="shared" si="1133"/>
        <v>0</v>
      </c>
      <c r="AH226" s="21">
        <f t="shared" si="1133"/>
        <v>0</v>
      </c>
      <c r="AI226" s="21">
        <f t="shared" si="13"/>
        <v>0</v>
      </c>
      <c r="AJ226" s="21">
        <f t="shared" si="14"/>
        <v>2</v>
      </c>
      <c r="AK226" s="59">
        <f t="shared" si="15"/>
        <v>1.25</v>
      </c>
      <c r="AL226" s="60" t="str">
        <f t="shared" si="16"/>
        <v>subpar</v>
      </c>
      <c r="AW226" s="22" t="str">
        <f t="shared" ref="AW226:BC226" si="1134">IF(IFERROR(SEARCH(E$1, $D226),0) &gt;= 1, E$1,0)</f>
        <v>Geschiedenis en archeologie</v>
      </c>
      <c r="AX226" s="22" t="str">
        <f t="shared" si="1134"/>
        <v>Wetenschap en technologie</v>
      </c>
      <c r="AY226" s="22">
        <f t="shared" si="1134"/>
        <v>0</v>
      </c>
      <c r="AZ226" s="22">
        <f t="shared" si="1134"/>
        <v>0</v>
      </c>
      <c r="BA226" s="22">
        <f t="shared" si="1134"/>
        <v>0</v>
      </c>
      <c r="BB226" s="22">
        <f t="shared" si="1134"/>
        <v>0</v>
      </c>
      <c r="BC226" s="22">
        <f t="shared" si="1134"/>
        <v>0</v>
      </c>
      <c r="BD226" s="22">
        <f t="shared" ref="BD226:BG226" si="1135">IF(L226 = true, BD$1, 0)</f>
        <v>0</v>
      </c>
      <c r="BE226" s="22">
        <f t="shared" si="1135"/>
        <v>0</v>
      </c>
      <c r="BF226" s="22">
        <f t="shared" si="1135"/>
        <v>0</v>
      </c>
      <c r="BG226" s="22">
        <f t="shared" si="1135"/>
        <v>0</v>
      </c>
      <c r="BH226" s="22" t="str">
        <f>IFERROR(__xludf.DUMMYFUNCTION("""COMPUTED_VALUE"""),"Gruuthusemuseum")</f>
        <v>Gruuthusemuseum</v>
      </c>
      <c r="BI226" s="24">
        <f>IFERROR(__xludf.DUMMYFUNCTION("""COMPUTED_VALUE"""),15.0)</f>
        <v>15</v>
      </c>
      <c r="BJ226" s="22" t="b">
        <f>IFERROR(__xludf.DUMMYFUNCTION("""COMPUTED_VALUE"""),FALSE)</f>
        <v>0</v>
      </c>
      <c r="BK226" s="22" t="b">
        <f>IFERROR(__xludf.DUMMYFUNCTION("""COMPUTED_VALUE"""),FALSE)</f>
        <v>0</v>
      </c>
      <c r="BL226" s="22"/>
      <c r="BM226" s="22">
        <f>IFERROR(__xludf.DUMMYFUNCTION("""COMPUTED_VALUE"""),0.0)</f>
        <v>0</v>
      </c>
      <c r="BN226" s="22">
        <f>IFERROR(__xludf.DUMMYFUNCTION("""COMPUTED_VALUE"""),1.0)</f>
        <v>1</v>
      </c>
      <c r="BO226" s="22">
        <f>IFERROR(__xludf.DUMMYFUNCTION("""COMPUTED_VALUE"""),0.0)</f>
        <v>0</v>
      </c>
      <c r="BP226" s="22">
        <f>IFERROR(__xludf.DUMMYFUNCTION("""COMPUTED_VALUE"""),0.0)</f>
        <v>0</v>
      </c>
      <c r="BQ226" s="22">
        <f>IFERROR(__xludf.DUMMYFUNCTION("""COMPUTED_VALUE"""),0.0)</f>
        <v>0</v>
      </c>
      <c r="BR226" s="22">
        <f>IFERROR(__xludf.DUMMYFUNCTION("""COMPUTED_VALUE"""),0.0)</f>
        <v>0</v>
      </c>
      <c r="BS226" s="22">
        <f>IFERROR(__xludf.DUMMYFUNCTION("""COMPUTED_VALUE"""),1.0)</f>
        <v>1</v>
      </c>
      <c r="BT226" s="22">
        <f>IFERROR(__xludf.DUMMYFUNCTION("""COMPUTED_VALUE"""),0.0)</f>
        <v>0</v>
      </c>
      <c r="BU226" s="22">
        <f>IFERROR(__xludf.DUMMYFUNCTION("""COMPUTED_VALUE"""),2.0)</f>
        <v>2</v>
      </c>
      <c r="BV226" s="22">
        <f>IFERROR(__xludf.DUMMYFUNCTION("""COMPUTED_VALUE"""),0.0)</f>
        <v>0</v>
      </c>
      <c r="BW226" s="22">
        <f>IFERROR(__xludf.DUMMYFUNCTION("""COMPUTED_VALUE"""),0.0)</f>
        <v>0</v>
      </c>
      <c r="BX226" s="22">
        <f>IFERROR(__xludf.DUMMYFUNCTION("""COMPUTED_VALUE"""),0.0)</f>
        <v>0</v>
      </c>
      <c r="BY226" s="22">
        <f>IFERROR(__xludf.DUMMYFUNCTION("""COMPUTED_VALUE"""),0.0)</f>
        <v>0</v>
      </c>
      <c r="BZ226" s="22">
        <f>IFERROR(__xludf.DUMMYFUNCTION("""COMPUTED_VALUE"""),0.0)</f>
        <v>0</v>
      </c>
      <c r="CA226" s="22">
        <f>IFERROR(__xludf.DUMMYFUNCTION("""COMPUTED_VALUE"""),0.0)</f>
        <v>0</v>
      </c>
      <c r="CB226" s="22">
        <f>IFERROR(__xludf.DUMMYFUNCTION("""COMPUTED_VALUE"""),2.0)</f>
        <v>2</v>
      </c>
      <c r="CC226" s="61">
        <f>IFERROR(__xludf.DUMMYFUNCTION("""COMPUTED_VALUE"""),1.25)</f>
        <v>1.25</v>
      </c>
      <c r="CD226" s="62" t="str">
        <f>IFERROR(__xludf.DUMMYFUNCTION("""COMPUTED_VALUE"""),"subpar")</f>
        <v>subpar</v>
      </c>
      <c r="CE226" s="22" t="s">
        <v>88</v>
      </c>
      <c r="CF226" s="24">
        <v>15.0</v>
      </c>
      <c r="CG226" s="22" t="b">
        <v>0</v>
      </c>
      <c r="CH226" s="22" t="b">
        <v>0</v>
      </c>
      <c r="CI226" s="22"/>
      <c r="CJ226" s="22">
        <v>0.0</v>
      </c>
      <c r="CK226" s="22">
        <v>1.0</v>
      </c>
      <c r="CL226" s="22">
        <v>0.0</v>
      </c>
      <c r="CM226" s="22">
        <v>0.0</v>
      </c>
      <c r="CN226" s="22">
        <v>0.0</v>
      </c>
      <c r="CO226" s="22">
        <v>0.0</v>
      </c>
      <c r="CP226" s="22">
        <v>1.0</v>
      </c>
      <c r="CQ226" s="22">
        <v>0.0</v>
      </c>
      <c r="CR226" s="22">
        <v>2.0</v>
      </c>
      <c r="CS226" s="22">
        <v>0.0</v>
      </c>
      <c r="CT226" s="22">
        <v>0.0</v>
      </c>
      <c r="CU226" s="22">
        <v>0.0</v>
      </c>
      <c r="CV226" s="22">
        <v>0.0</v>
      </c>
      <c r="CW226" s="22">
        <v>0.0</v>
      </c>
      <c r="CX226" s="22">
        <v>0.0</v>
      </c>
      <c r="CY226" s="22">
        <v>2.0</v>
      </c>
      <c r="CZ226" s="61">
        <v>1.25</v>
      </c>
      <c r="DA226" s="62" t="s">
        <v>568</v>
      </c>
    </row>
    <row r="227">
      <c r="A227" s="16" t="s">
        <v>475</v>
      </c>
      <c r="B227" s="16" t="s">
        <v>476</v>
      </c>
      <c r="C227" s="17" t="s">
        <v>51</v>
      </c>
      <c r="D227" s="16" t="s">
        <v>198</v>
      </c>
      <c r="E227" s="17" t="b">
        <f t="shared" ref="E227:K227" si="1136">If(IFERROR(SEARCH(E$1, $D227),0) &gt;= 1, true,false)</f>
        <v>1</v>
      </c>
      <c r="F227" s="17" t="b">
        <f t="shared" si="1136"/>
        <v>0</v>
      </c>
      <c r="G227" s="17" t="b">
        <f t="shared" si="1136"/>
        <v>0</v>
      </c>
      <c r="H227" s="17" t="b">
        <f t="shared" si="1136"/>
        <v>0</v>
      </c>
      <c r="I227" s="17" t="b">
        <f t="shared" si="1136"/>
        <v>1</v>
      </c>
      <c r="J227" s="17" t="b">
        <f t="shared" si="1136"/>
        <v>1</v>
      </c>
      <c r="K227" s="17" t="b">
        <f t="shared" si="1136"/>
        <v>0</v>
      </c>
      <c r="L227" s="18" t="b">
        <v>1</v>
      </c>
      <c r="M227" s="18" t="b">
        <v>0</v>
      </c>
      <c r="N227" s="18" t="b">
        <v>0</v>
      </c>
      <c r="O227" s="18" t="b">
        <v>0</v>
      </c>
      <c r="P227" s="16" t="str">
        <f t="shared" si="7"/>
        <v>Museum van de Stad Brussel - Broodhuis</v>
      </c>
      <c r="Q227" s="19">
        <v>10.0</v>
      </c>
      <c r="R227" s="18" t="b">
        <v>0</v>
      </c>
      <c r="S227" s="18" t="b">
        <v>1</v>
      </c>
      <c r="T227" s="31">
        <v>10.0</v>
      </c>
      <c r="U227" s="21">
        <f t="shared" si="8"/>
        <v>0</v>
      </c>
      <c r="V227" s="21">
        <f t="shared" ref="V227:AB227" si="1137">if(OR(AW227 = $AO$4, AW227 = $AQ$4), 1, 0)</f>
        <v>1</v>
      </c>
      <c r="W227" s="21">
        <f t="shared" si="1137"/>
        <v>0</v>
      </c>
      <c r="X227" s="21">
        <f t="shared" si="1137"/>
        <v>0</v>
      </c>
      <c r="Y227" s="21">
        <f t="shared" si="1137"/>
        <v>0</v>
      </c>
      <c r="Z227" s="21">
        <f t="shared" si="1137"/>
        <v>0</v>
      </c>
      <c r="AA227" s="21">
        <f t="shared" si="1137"/>
        <v>1</v>
      </c>
      <c r="AB227" s="21">
        <f t="shared" si="1137"/>
        <v>0</v>
      </c>
      <c r="AC227" s="21">
        <f t="shared" si="10"/>
        <v>2</v>
      </c>
      <c r="AD227" s="21">
        <f t="shared" si="11"/>
        <v>1</v>
      </c>
      <c r="AE227" s="21">
        <f t="shared" ref="AE227:AH227" si="1138">if(OR(BD227 = $AO$6, BD227 = $AS$6, BD227 = $AT$6, BD227 = $AU$6), 1, 0)</f>
        <v>1</v>
      </c>
      <c r="AF227" s="21">
        <f t="shared" si="1138"/>
        <v>0</v>
      </c>
      <c r="AG227" s="21">
        <f t="shared" si="1138"/>
        <v>0</v>
      </c>
      <c r="AH227" s="21">
        <f t="shared" si="1138"/>
        <v>0</v>
      </c>
      <c r="AI227" s="21">
        <f t="shared" si="13"/>
        <v>1</v>
      </c>
      <c r="AJ227" s="21">
        <f t="shared" si="14"/>
        <v>4</v>
      </c>
      <c r="AK227" s="59">
        <f t="shared" si="15"/>
        <v>2.5</v>
      </c>
      <c r="AL227" s="60" t="str">
        <f t="shared" si="16"/>
        <v>subpar</v>
      </c>
      <c r="AW227" s="22" t="str">
        <f t="shared" ref="AW227:BC227" si="1139">IF(IFERROR(SEARCH(E$1, $D227),0) &gt;= 1, E$1,0)</f>
        <v>Geschiedenis en archeologie</v>
      </c>
      <c r="AX227" s="22">
        <f t="shared" si="1139"/>
        <v>0</v>
      </c>
      <c r="AY227" s="22">
        <f t="shared" si="1139"/>
        <v>0</v>
      </c>
      <c r="AZ227" s="22">
        <f t="shared" si="1139"/>
        <v>0</v>
      </c>
      <c r="BA227" s="22" t="str">
        <f t="shared" si="1139"/>
        <v>Architectuur</v>
      </c>
      <c r="BB227" s="22" t="str">
        <f t="shared" si="1139"/>
        <v>Beeldende kunst</v>
      </c>
      <c r="BC227" s="22">
        <f t="shared" si="1139"/>
        <v>0</v>
      </c>
      <c r="BD227" s="22" t="str">
        <f t="shared" ref="BD227:BG227" si="1140">IF(L227 = true, BD$1, 0)</f>
        <v>Shop</v>
      </c>
      <c r="BE227" s="22">
        <f t="shared" si="1140"/>
        <v>0</v>
      </c>
      <c r="BF227" s="22">
        <f t="shared" si="1140"/>
        <v>0</v>
      </c>
      <c r="BG227" s="22">
        <f t="shared" si="1140"/>
        <v>0</v>
      </c>
      <c r="BH227" s="22" t="str">
        <f>IFERROR(__xludf.DUMMYFUNCTION("""COMPUTED_VALUE"""),"Het James Ensorhuis")</f>
        <v>Het James Ensorhuis</v>
      </c>
      <c r="BI227" s="24">
        <f>IFERROR(__xludf.DUMMYFUNCTION("""COMPUTED_VALUE"""),13.0)</f>
        <v>13</v>
      </c>
      <c r="BJ227" s="22" t="b">
        <f>IFERROR(__xludf.DUMMYFUNCTION("""COMPUTED_VALUE"""),FALSE)</f>
        <v>0</v>
      </c>
      <c r="BK227" s="22" t="b">
        <f>IFERROR(__xludf.DUMMYFUNCTION("""COMPUTED_VALUE"""),TRUE)</f>
        <v>1</v>
      </c>
      <c r="BL227" s="24">
        <f>IFERROR(__xludf.DUMMYFUNCTION("""COMPUTED_VALUE"""),13.0)</f>
        <v>13</v>
      </c>
      <c r="BM227" s="22">
        <f>IFERROR(__xludf.DUMMYFUNCTION("""COMPUTED_VALUE"""),0.0)</f>
        <v>0</v>
      </c>
      <c r="BN227" s="22">
        <f>IFERROR(__xludf.DUMMYFUNCTION("""COMPUTED_VALUE"""),0.0)</f>
        <v>0</v>
      </c>
      <c r="BO227" s="22">
        <f>IFERROR(__xludf.DUMMYFUNCTION("""COMPUTED_VALUE"""),0.0)</f>
        <v>0</v>
      </c>
      <c r="BP227" s="22">
        <f>IFERROR(__xludf.DUMMYFUNCTION("""COMPUTED_VALUE"""),0.0)</f>
        <v>0</v>
      </c>
      <c r="BQ227" s="22">
        <f>IFERROR(__xludf.DUMMYFUNCTION("""COMPUTED_VALUE"""),0.0)</f>
        <v>0</v>
      </c>
      <c r="BR227" s="22">
        <f>IFERROR(__xludf.DUMMYFUNCTION("""COMPUTED_VALUE"""),0.0)</f>
        <v>0</v>
      </c>
      <c r="BS227" s="22">
        <f>IFERROR(__xludf.DUMMYFUNCTION("""COMPUTED_VALUE"""),1.0)</f>
        <v>1</v>
      </c>
      <c r="BT227" s="22">
        <f>IFERROR(__xludf.DUMMYFUNCTION("""COMPUTED_VALUE"""),0.0)</f>
        <v>0</v>
      </c>
      <c r="BU227" s="22">
        <f>IFERROR(__xludf.DUMMYFUNCTION("""COMPUTED_VALUE"""),1.0)</f>
        <v>1</v>
      </c>
      <c r="BV227" s="22">
        <f>IFERROR(__xludf.DUMMYFUNCTION("""COMPUTED_VALUE"""),0.0)</f>
        <v>0</v>
      </c>
      <c r="BW227" s="22">
        <f>IFERROR(__xludf.DUMMYFUNCTION("""COMPUTED_VALUE"""),1.0)</f>
        <v>1</v>
      </c>
      <c r="BX227" s="22">
        <f>IFERROR(__xludf.DUMMYFUNCTION("""COMPUTED_VALUE"""),0.0)</f>
        <v>0</v>
      </c>
      <c r="BY227" s="22">
        <f>IFERROR(__xludf.DUMMYFUNCTION("""COMPUTED_VALUE"""),0.0)</f>
        <v>0</v>
      </c>
      <c r="BZ227" s="22">
        <f>IFERROR(__xludf.DUMMYFUNCTION("""COMPUTED_VALUE"""),0.0)</f>
        <v>0</v>
      </c>
      <c r="CA227" s="22">
        <f>IFERROR(__xludf.DUMMYFUNCTION("""COMPUTED_VALUE"""),1.0)</f>
        <v>1</v>
      </c>
      <c r="CB227" s="22">
        <f>IFERROR(__xludf.DUMMYFUNCTION("""COMPUTED_VALUE"""),2.0)</f>
        <v>2</v>
      </c>
      <c r="CC227" s="61">
        <f>IFERROR(__xludf.DUMMYFUNCTION("""COMPUTED_VALUE"""),1.25)</f>
        <v>1.25</v>
      </c>
      <c r="CD227" s="62" t="str">
        <f>IFERROR(__xludf.DUMMYFUNCTION("""COMPUTED_VALUE"""),"subpar")</f>
        <v>subpar</v>
      </c>
      <c r="CE227" s="22" t="s">
        <v>90</v>
      </c>
      <c r="CF227" s="24">
        <v>13.0</v>
      </c>
      <c r="CG227" s="22" t="b">
        <v>0</v>
      </c>
      <c r="CH227" s="22" t="b">
        <v>1</v>
      </c>
      <c r="CI227" s="24">
        <v>13.0</v>
      </c>
      <c r="CJ227" s="22">
        <v>0.0</v>
      </c>
      <c r="CK227" s="22">
        <v>0.0</v>
      </c>
      <c r="CL227" s="22">
        <v>0.0</v>
      </c>
      <c r="CM227" s="22">
        <v>0.0</v>
      </c>
      <c r="CN227" s="22">
        <v>0.0</v>
      </c>
      <c r="CO227" s="22">
        <v>0.0</v>
      </c>
      <c r="CP227" s="22">
        <v>1.0</v>
      </c>
      <c r="CQ227" s="22">
        <v>0.0</v>
      </c>
      <c r="CR227" s="22">
        <v>1.0</v>
      </c>
      <c r="CS227" s="22">
        <v>0.0</v>
      </c>
      <c r="CT227" s="22">
        <v>1.0</v>
      </c>
      <c r="CU227" s="22">
        <v>0.0</v>
      </c>
      <c r="CV227" s="22">
        <v>0.0</v>
      </c>
      <c r="CW227" s="22">
        <v>0.0</v>
      </c>
      <c r="CX227" s="22">
        <v>1.0</v>
      </c>
      <c r="CY227" s="22">
        <v>2.0</v>
      </c>
      <c r="CZ227" s="61">
        <v>1.25</v>
      </c>
      <c r="DA227" s="62" t="s">
        <v>568</v>
      </c>
    </row>
    <row r="228">
      <c r="A228" s="16" t="s">
        <v>477</v>
      </c>
      <c r="B228" s="16" t="s">
        <v>478</v>
      </c>
      <c r="C228" s="17" t="s">
        <v>51</v>
      </c>
      <c r="D228" s="16" t="s">
        <v>79</v>
      </c>
      <c r="E228" s="17" t="b">
        <f t="shared" ref="E228:K228" si="1141">If(IFERROR(SEARCH(E$1, $D228),0) &gt;= 1, true,false)</f>
        <v>1</v>
      </c>
      <c r="F228" s="17" t="b">
        <f t="shared" si="1141"/>
        <v>0</v>
      </c>
      <c r="G228" s="17" t="b">
        <f t="shared" si="1141"/>
        <v>0</v>
      </c>
      <c r="H228" s="17" t="b">
        <f t="shared" si="1141"/>
        <v>0</v>
      </c>
      <c r="I228" s="17" t="b">
        <f t="shared" si="1141"/>
        <v>0</v>
      </c>
      <c r="J228" s="17" t="b">
        <f t="shared" si="1141"/>
        <v>1</v>
      </c>
      <c r="K228" s="17" t="b">
        <f t="shared" si="1141"/>
        <v>1</v>
      </c>
      <c r="L228" s="18" t="b">
        <v>1</v>
      </c>
      <c r="M228" s="18" t="b">
        <v>0</v>
      </c>
      <c r="N228" s="18" t="b">
        <v>0</v>
      </c>
      <c r="O228" s="18" t="b">
        <v>0</v>
      </c>
      <c r="P228" s="16" t="str">
        <f t="shared" si="7"/>
        <v>Museum en Tuinen van Buuren</v>
      </c>
      <c r="Q228" s="19">
        <v>18.0</v>
      </c>
      <c r="R228" s="18" t="b">
        <v>0</v>
      </c>
      <c r="S228" s="18" t="b">
        <v>0</v>
      </c>
      <c r="T228" s="32"/>
      <c r="U228" s="21">
        <f t="shared" si="8"/>
        <v>0</v>
      </c>
      <c r="V228" s="21">
        <f t="shared" ref="V228:AB228" si="1142">if(OR(AW228 = $AO$4, AW228 = $AQ$4), 1, 0)</f>
        <v>1</v>
      </c>
      <c r="W228" s="21">
        <f t="shared" si="1142"/>
        <v>0</v>
      </c>
      <c r="X228" s="21">
        <f t="shared" si="1142"/>
        <v>0</v>
      </c>
      <c r="Y228" s="21">
        <f t="shared" si="1142"/>
        <v>0</v>
      </c>
      <c r="Z228" s="21">
        <f t="shared" si="1142"/>
        <v>0</v>
      </c>
      <c r="AA228" s="21">
        <f t="shared" si="1142"/>
        <v>1</v>
      </c>
      <c r="AB228" s="21">
        <f t="shared" si="1142"/>
        <v>0</v>
      </c>
      <c r="AC228" s="21">
        <f t="shared" si="10"/>
        <v>2</v>
      </c>
      <c r="AD228" s="21">
        <f t="shared" si="11"/>
        <v>0</v>
      </c>
      <c r="AE228" s="21">
        <f t="shared" ref="AE228:AH228" si="1143">if(OR(BD228 = $AO$6, BD228 = $AS$6, BD228 = $AT$6, BD228 = $AU$6), 1, 0)</f>
        <v>1</v>
      </c>
      <c r="AF228" s="21">
        <f t="shared" si="1143"/>
        <v>0</v>
      </c>
      <c r="AG228" s="21">
        <f t="shared" si="1143"/>
        <v>0</v>
      </c>
      <c r="AH228" s="21">
        <f t="shared" si="1143"/>
        <v>0</v>
      </c>
      <c r="AI228" s="21">
        <f t="shared" si="13"/>
        <v>1</v>
      </c>
      <c r="AJ228" s="21">
        <f t="shared" si="14"/>
        <v>3</v>
      </c>
      <c r="AK228" s="59">
        <f t="shared" si="15"/>
        <v>1.875</v>
      </c>
      <c r="AL228" s="60" t="str">
        <f t="shared" si="16"/>
        <v>subpar</v>
      </c>
      <c r="AW228" s="22" t="str">
        <f t="shared" ref="AW228:BC228" si="1144">IF(IFERROR(SEARCH(E$1, $D228),0) &gt;= 1, E$1,0)</f>
        <v>Geschiedenis en archeologie</v>
      </c>
      <c r="AX228" s="22">
        <f t="shared" si="1144"/>
        <v>0</v>
      </c>
      <c r="AY228" s="22">
        <f t="shared" si="1144"/>
        <v>0</v>
      </c>
      <c r="AZ228" s="22">
        <f t="shared" si="1144"/>
        <v>0</v>
      </c>
      <c r="BA228" s="22">
        <f t="shared" si="1144"/>
        <v>0</v>
      </c>
      <c r="BB228" s="22" t="str">
        <f t="shared" si="1144"/>
        <v>Beeldende kunst</v>
      </c>
      <c r="BC228" s="22" t="str">
        <f t="shared" si="1144"/>
        <v>Toegepaste kunst en design</v>
      </c>
      <c r="BD228" s="22" t="str">
        <f t="shared" ref="BD228:BG228" si="1145">IF(L228 = true, BD$1, 0)</f>
        <v>Shop</v>
      </c>
      <c r="BE228" s="22">
        <f t="shared" si="1145"/>
        <v>0</v>
      </c>
      <c r="BF228" s="22">
        <f t="shared" si="1145"/>
        <v>0</v>
      </c>
      <c r="BG228" s="22">
        <f t="shared" si="1145"/>
        <v>0</v>
      </c>
      <c r="BH228" s="22" t="str">
        <f>IFERROR(__xludf.DUMMYFUNCTION("""COMPUTED_VALUE"""),"Mu.ZEE | Kunstmuseum aan Zee")</f>
        <v>Mu.ZEE | Kunstmuseum aan Zee</v>
      </c>
      <c r="BI228" s="24">
        <f>IFERROR(__xludf.DUMMYFUNCTION("""COMPUTED_VALUE"""),12.0)</f>
        <v>12</v>
      </c>
      <c r="BJ228" s="22" t="b">
        <f>IFERROR(__xludf.DUMMYFUNCTION("""COMPUTED_VALUE"""),TRUE)</f>
        <v>1</v>
      </c>
      <c r="BK228" s="22" t="b">
        <f>IFERROR(__xludf.DUMMYFUNCTION("""COMPUTED_VALUE"""),TRUE)</f>
        <v>1</v>
      </c>
      <c r="BL228" s="24">
        <f>IFERROR(__xludf.DUMMYFUNCTION("""COMPUTED_VALUE"""),12.0)</f>
        <v>12</v>
      </c>
      <c r="BM228" s="22">
        <f>IFERROR(__xludf.DUMMYFUNCTION("""COMPUTED_VALUE"""),0.0)</f>
        <v>0</v>
      </c>
      <c r="BN228" s="22">
        <f>IFERROR(__xludf.DUMMYFUNCTION("""COMPUTED_VALUE"""),0.0)</f>
        <v>0</v>
      </c>
      <c r="BO228" s="22">
        <f>IFERROR(__xludf.DUMMYFUNCTION("""COMPUTED_VALUE"""),0.0)</f>
        <v>0</v>
      </c>
      <c r="BP228" s="22">
        <f>IFERROR(__xludf.DUMMYFUNCTION("""COMPUTED_VALUE"""),0.0)</f>
        <v>0</v>
      </c>
      <c r="BQ228" s="22">
        <f>IFERROR(__xludf.DUMMYFUNCTION("""COMPUTED_VALUE"""),0.0)</f>
        <v>0</v>
      </c>
      <c r="BR228" s="22">
        <f>IFERROR(__xludf.DUMMYFUNCTION("""COMPUTED_VALUE"""),0.0)</f>
        <v>0</v>
      </c>
      <c r="BS228" s="22">
        <f>IFERROR(__xludf.DUMMYFUNCTION("""COMPUTED_VALUE"""),1.0)</f>
        <v>1</v>
      </c>
      <c r="BT228" s="22">
        <f>IFERROR(__xludf.DUMMYFUNCTION("""COMPUTED_VALUE"""),0.0)</f>
        <v>0</v>
      </c>
      <c r="BU228" s="22">
        <f>IFERROR(__xludf.DUMMYFUNCTION("""COMPUTED_VALUE"""),1.0)</f>
        <v>1</v>
      </c>
      <c r="BV228" s="22">
        <f>IFERROR(__xludf.DUMMYFUNCTION("""COMPUTED_VALUE"""),0.0)</f>
        <v>0</v>
      </c>
      <c r="BW228" s="22">
        <f>IFERROR(__xludf.DUMMYFUNCTION("""COMPUTED_VALUE"""),1.0)</f>
        <v>1</v>
      </c>
      <c r="BX228" s="22">
        <f>IFERROR(__xludf.DUMMYFUNCTION("""COMPUTED_VALUE"""),0.0)</f>
        <v>0</v>
      </c>
      <c r="BY228" s="22">
        <f>IFERROR(__xludf.DUMMYFUNCTION("""COMPUTED_VALUE"""),0.0)</f>
        <v>0</v>
      </c>
      <c r="BZ228" s="22">
        <f>IFERROR(__xludf.DUMMYFUNCTION("""COMPUTED_VALUE"""),0.0)</f>
        <v>0</v>
      </c>
      <c r="CA228" s="22">
        <f>IFERROR(__xludf.DUMMYFUNCTION("""COMPUTED_VALUE"""),1.0)</f>
        <v>1</v>
      </c>
      <c r="CB228" s="22">
        <f>IFERROR(__xludf.DUMMYFUNCTION("""COMPUTED_VALUE"""),2.0)</f>
        <v>2</v>
      </c>
      <c r="CC228" s="61">
        <f>IFERROR(__xludf.DUMMYFUNCTION("""COMPUTED_VALUE"""),1.25)</f>
        <v>1.25</v>
      </c>
      <c r="CD228" s="62" t="str">
        <f>IFERROR(__xludf.DUMMYFUNCTION("""COMPUTED_VALUE"""),"subpar")</f>
        <v>subpar</v>
      </c>
      <c r="CE228" s="22" t="s">
        <v>112</v>
      </c>
      <c r="CF228" s="24">
        <v>12.0</v>
      </c>
      <c r="CG228" s="22" t="b">
        <v>1</v>
      </c>
      <c r="CH228" s="22" t="b">
        <v>1</v>
      </c>
      <c r="CI228" s="24">
        <v>12.0</v>
      </c>
      <c r="CJ228" s="22">
        <v>0.0</v>
      </c>
      <c r="CK228" s="22">
        <v>0.0</v>
      </c>
      <c r="CL228" s="22">
        <v>0.0</v>
      </c>
      <c r="CM228" s="22">
        <v>0.0</v>
      </c>
      <c r="CN228" s="22">
        <v>0.0</v>
      </c>
      <c r="CO228" s="22">
        <v>0.0</v>
      </c>
      <c r="CP228" s="22">
        <v>1.0</v>
      </c>
      <c r="CQ228" s="22">
        <v>0.0</v>
      </c>
      <c r="CR228" s="22">
        <v>1.0</v>
      </c>
      <c r="CS228" s="22">
        <v>0.0</v>
      </c>
      <c r="CT228" s="22">
        <v>1.0</v>
      </c>
      <c r="CU228" s="22">
        <v>0.0</v>
      </c>
      <c r="CV228" s="22">
        <v>0.0</v>
      </c>
      <c r="CW228" s="22">
        <v>0.0</v>
      </c>
      <c r="CX228" s="22">
        <v>1.0</v>
      </c>
      <c r="CY228" s="22">
        <v>2.0</v>
      </c>
      <c r="CZ228" s="61">
        <v>1.25</v>
      </c>
      <c r="DA228" s="62" t="s">
        <v>568</v>
      </c>
    </row>
    <row r="229">
      <c r="A229" s="16" t="s">
        <v>479</v>
      </c>
      <c r="B229" s="16" t="s">
        <v>480</v>
      </c>
      <c r="C229" s="17" t="s">
        <v>51</v>
      </c>
      <c r="D229" s="16" t="s">
        <v>8</v>
      </c>
      <c r="E229" s="17" t="b">
        <f t="shared" ref="E229:K229" si="1146">If(IFERROR(SEARCH(E$1, $D229),0) &gt;= 1, true,false)</f>
        <v>0</v>
      </c>
      <c r="F229" s="17" t="b">
        <f t="shared" si="1146"/>
        <v>0</v>
      </c>
      <c r="G229" s="17" t="b">
        <f t="shared" si="1146"/>
        <v>0</v>
      </c>
      <c r="H229" s="17" t="b">
        <f t="shared" si="1146"/>
        <v>0</v>
      </c>
      <c r="I229" s="17" t="b">
        <f t="shared" si="1146"/>
        <v>1</v>
      </c>
      <c r="J229" s="17" t="b">
        <f t="shared" si="1146"/>
        <v>0</v>
      </c>
      <c r="K229" s="17" t="b">
        <f t="shared" si="1146"/>
        <v>0</v>
      </c>
      <c r="L229" s="18" t="b">
        <v>1</v>
      </c>
      <c r="M229" s="18" t="b">
        <v>0</v>
      </c>
      <c r="N229" s="18" t="b">
        <v>0</v>
      </c>
      <c r="O229" s="18" t="b">
        <v>0</v>
      </c>
      <c r="P229" s="16" t="str">
        <f t="shared" si="7"/>
        <v>Hortamuseum</v>
      </c>
      <c r="Q229" s="19">
        <v>14.0</v>
      </c>
      <c r="R229" s="20" t="b">
        <v>0</v>
      </c>
      <c r="S229" s="18" t="b">
        <v>0</v>
      </c>
      <c r="T229" s="21"/>
      <c r="U229" s="21">
        <f t="shared" si="8"/>
        <v>0</v>
      </c>
      <c r="V229" s="21">
        <f t="shared" ref="V229:AB229" si="1147">if(OR(AW229 = $AO$4, AW229 = $AQ$4), 1, 0)</f>
        <v>0</v>
      </c>
      <c r="W229" s="21">
        <f t="shared" si="1147"/>
        <v>0</v>
      </c>
      <c r="X229" s="21">
        <f t="shared" si="1147"/>
        <v>0</v>
      </c>
      <c r="Y229" s="21">
        <f t="shared" si="1147"/>
        <v>0</v>
      </c>
      <c r="Z229" s="21">
        <f t="shared" si="1147"/>
        <v>0</v>
      </c>
      <c r="AA229" s="21">
        <f t="shared" si="1147"/>
        <v>0</v>
      </c>
      <c r="AB229" s="21">
        <f t="shared" si="1147"/>
        <v>0</v>
      </c>
      <c r="AC229" s="21">
        <f t="shared" si="10"/>
        <v>0</v>
      </c>
      <c r="AD229" s="21">
        <f t="shared" si="11"/>
        <v>0</v>
      </c>
      <c r="AE229" s="21">
        <f t="shared" ref="AE229:AH229" si="1148">if(OR(BD229 = $AO$6, BD229 = $AS$6, BD229 = $AT$6, BD229 = $AU$6), 1, 0)</f>
        <v>1</v>
      </c>
      <c r="AF229" s="21">
        <f t="shared" si="1148"/>
        <v>0</v>
      </c>
      <c r="AG229" s="21">
        <f t="shared" si="1148"/>
        <v>0</v>
      </c>
      <c r="AH229" s="21">
        <f t="shared" si="1148"/>
        <v>0</v>
      </c>
      <c r="AI229" s="21">
        <f t="shared" si="13"/>
        <v>1</v>
      </c>
      <c r="AJ229" s="21">
        <f t="shared" si="14"/>
        <v>1</v>
      </c>
      <c r="AK229" s="59">
        <f t="shared" si="15"/>
        <v>0.625</v>
      </c>
      <c r="AL229" s="60" t="str">
        <f t="shared" si="16"/>
        <v>no match</v>
      </c>
      <c r="AW229" s="22">
        <f t="shared" ref="AW229:BC229" si="1149">IF(IFERROR(SEARCH(E$1, $D229),0) &gt;= 1, E$1,0)</f>
        <v>0</v>
      </c>
      <c r="AX229" s="22">
        <f t="shared" si="1149"/>
        <v>0</v>
      </c>
      <c r="AY229" s="22">
        <f t="shared" si="1149"/>
        <v>0</v>
      </c>
      <c r="AZ229" s="22">
        <f t="shared" si="1149"/>
        <v>0</v>
      </c>
      <c r="BA229" s="22" t="str">
        <f t="shared" si="1149"/>
        <v>Architectuur</v>
      </c>
      <c r="BB229" s="22">
        <f t="shared" si="1149"/>
        <v>0</v>
      </c>
      <c r="BC229" s="22">
        <f t="shared" si="1149"/>
        <v>0</v>
      </c>
      <c r="BD229" s="22" t="str">
        <f t="shared" ref="BD229:BG229" si="1150">IF(L229 = true, BD$1, 0)</f>
        <v>Shop</v>
      </c>
      <c r="BE229" s="22">
        <f t="shared" si="1150"/>
        <v>0</v>
      </c>
      <c r="BF229" s="22">
        <f t="shared" si="1150"/>
        <v>0</v>
      </c>
      <c r="BG229" s="22">
        <f t="shared" si="1150"/>
        <v>0</v>
      </c>
      <c r="BH229" s="22" t="str">
        <f>IFERROR(__xludf.DUMMYFUNCTION("""COMPUTED_VALUE"""),"Nationaal Tabaksmuseum")</f>
        <v>Nationaal Tabaksmuseum</v>
      </c>
      <c r="BI229" s="24">
        <f>IFERROR(__xludf.DUMMYFUNCTION("""COMPUTED_VALUE"""),4.5)</f>
        <v>4.5</v>
      </c>
      <c r="BJ229" s="22" t="b">
        <f>IFERROR(__xludf.DUMMYFUNCTION("""COMPUTED_VALUE"""),FALSE)</f>
        <v>0</v>
      </c>
      <c r="BK229" s="22" t="b">
        <f>IFERROR(__xludf.DUMMYFUNCTION("""COMPUTED_VALUE"""),TRUE)</f>
        <v>1</v>
      </c>
      <c r="BL229" s="24">
        <f>IFERROR(__xludf.DUMMYFUNCTION("""COMPUTED_VALUE"""),4.5)</f>
        <v>4.5</v>
      </c>
      <c r="BM229" s="22">
        <f>IFERROR(__xludf.DUMMYFUNCTION("""COMPUTED_VALUE"""),0.0)</f>
        <v>0</v>
      </c>
      <c r="BN229" s="22">
        <f>IFERROR(__xludf.DUMMYFUNCTION("""COMPUTED_VALUE"""),1.0)</f>
        <v>1</v>
      </c>
      <c r="BO229" s="22">
        <f>IFERROR(__xludf.DUMMYFUNCTION("""COMPUTED_VALUE"""),0.0)</f>
        <v>0</v>
      </c>
      <c r="BP229" s="22">
        <f>IFERROR(__xludf.DUMMYFUNCTION("""COMPUTED_VALUE"""),0.0)</f>
        <v>0</v>
      </c>
      <c r="BQ229" s="22">
        <f>IFERROR(__xludf.DUMMYFUNCTION("""COMPUTED_VALUE"""),0.0)</f>
        <v>0</v>
      </c>
      <c r="BR229" s="22">
        <f>IFERROR(__xludf.DUMMYFUNCTION("""COMPUTED_VALUE"""),0.0)</f>
        <v>0</v>
      </c>
      <c r="BS229" s="22">
        <f>IFERROR(__xludf.DUMMYFUNCTION("""COMPUTED_VALUE"""),0.0)</f>
        <v>0</v>
      </c>
      <c r="BT229" s="22">
        <f>IFERROR(__xludf.DUMMYFUNCTION("""COMPUTED_VALUE"""),0.0)</f>
        <v>0</v>
      </c>
      <c r="BU229" s="22">
        <f>IFERROR(__xludf.DUMMYFUNCTION("""COMPUTED_VALUE"""),1.0)</f>
        <v>1</v>
      </c>
      <c r="BV229" s="22">
        <f>IFERROR(__xludf.DUMMYFUNCTION("""COMPUTED_VALUE"""),1.0)</f>
        <v>1</v>
      </c>
      <c r="BW229" s="22">
        <f>IFERROR(__xludf.DUMMYFUNCTION("""COMPUTED_VALUE"""),0.0)</f>
        <v>0</v>
      </c>
      <c r="BX229" s="22">
        <f>IFERROR(__xludf.DUMMYFUNCTION("""COMPUTED_VALUE"""),0.0)</f>
        <v>0</v>
      </c>
      <c r="BY229" s="22">
        <f>IFERROR(__xludf.DUMMYFUNCTION("""COMPUTED_VALUE"""),0.0)</f>
        <v>0</v>
      </c>
      <c r="BZ229" s="22">
        <f>IFERROR(__xludf.DUMMYFUNCTION("""COMPUTED_VALUE"""),0.0)</f>
        <v>0</v>
      </c>
      <c r="CA229" s="22">
        <f>IFERROR(__xludf.DUMMYFUNCTION("""COMPUTED_VALUE"""),0.0)</f>
        <v>0</v>
      </c>
      <c r="CB229" s="22">
        <f>IFERROR(__xludf.DUMMYFUNCTION("""COMPUTED_VALUE"""),2.0)</f>
        <v>2</v>
      </c>
      <c r="CC229" s="61">
        <f>IFERROR(__xludf.DUMMYFUNCTION("""COMPUTED_VALUE"""),1.25)</f>
        <v>1.25</v>
      </c>
      <c r="CD229" s="62" t="str">
        <f>IFERROR(__xludf.DUMMYFUNCTION("""COMPUTED_VALUE"""),"subpar")</f>
        <v>subpar</v>
      </c>
      <c r="CE229" s="22" t="s">
        <v>114</v>
      </c>
      <c r="CF229" s="24">
        <v>4.5</v>
      </c>
      <c r="CG229" s="22" t="b">
        <v>0</v>
      </c>
      <c r="CH229" s="22" t="b">
        <v>1</v>
      </c>
      <c r="CI229" s="24">
        <v>4.5</v>
      </c>
      <c r="CJ229" s="22">
        <v>0.0</v>
      </c>
      <c r="CK229" s="22">
        <v>1.0</v>
      </c>
      <c r="CL229" s="22">
        <v>0.0</v>
      </c>
      <c r="CM229" s="22">
        <v>0.0</v>
      </c>
      <c r="CN229" s="22">
        <v>0.0</v>
      </c>
      <c r="CO229" s="22">
        <v>0.0</v>
      </c>
      <c r="CP229" s="22">
        <v>0.0</v>
      </c>
      <c r="CQ229" s="22">
        <v>0.0</v>
      </c>
      <c r="CR229" s="22">
        <v>1.0</v>
      </c>
      <c r="CS229" s="22">
        <v>1.0</v>
      </c>
      <c r="CT229" s="22">
        <v>0.0</v>
      </c>
      <c r="CU229" s="22">
        <v>0.0</v>
      </c>
      <c r="CV229" s="22">
        <v>0.0</v>
      </c>
      <c r="CW229" s="22">
        <v>0.0</v>
      </c>
      <c r="CX229" s="22">
        <v>0.0</v>
      </c>
      <c r="CY229" s="22">
        <v>2.0</v>
      </c>
      <c r="CZ229" s="61">
        <v>1.25</v>
      </c>
      <c r="DA229" s="62" t="s">
        <v>568</v>
      </c>
    </row>
    <row r="230">
      <c r="A230" s="16" t="s">
        <v>481</v>
      </c>
      <c r="B230" s="16" t="s">
        <v>482</v>
      </c>
      <c r="C230" s="17" t="s">
        <v>51</v>
      </c>
      <c r="D230" s="16" t="s">
        <v>95</v>
      </c>
      <c r="E230" s="17" t="b">
        <f t="shared" ref="E230:K230" si="1151">If(IFERROR(SEARCH(E$1, $D230),0) &gt;= 1, true,false)</f>
        <v>1</v>
      </c>
      <c r="F230" s="17" t="b">
        <f t="shared" si="1151"/>
        <v>0</v>
      </c>
      <c r="G230" s="17" t="b">
        <f t="shared" si="1151"/>
        <v>0</v>
      </c>
      <c r="H230" s="17" t="b">
        <f t="shared" si="1151"/>
        <v>0</v>
      </c>
      <c r="I230" s="17" t="b">
        <f t="shared" si="1151"/>
        <v>0</v>
      </c>
      <c r="J230" s="17" t="b">
        <f t="shared" si="1151"/>
        <v>1</v>
      </c>
      <c r="K230" s="17" t="b">
        <f t="shared" si="1151"/>
        <v>0</v>
      </c>
      <c r="L230" s="18" t="b">
        <v>0</v>
      </c>
      <c r="M230" s="18" t="b">
        <v>0</v>
      </c>
      <c r="N230" s="18" t="b">
        <v>0</v>
      </c>
      <c r="O230" s="18" t="b">
        <v>0</v>
      </c>
      <c r="P230" s="16" t="str">
        <f t="shared" si="7"/>
        <v>Joods Museum van België</v>
      </c>
      <c r="Q230" s="19">
        <v>10.0</v>
      </c>
      <c r="R230" s="20" t="b">
        <v>1</v>
      </c>
      <c r="S230" s="18" t="b">
        <v>0</v>
      </c>
      <c r="T230" s="21"/>
      <c r="U230" s="21">
        <f t="shared" si="8"/>
        <v>0</v>
      </c>
      <c r="V230" s="21">
        <f t="shared" ref="V230:AB230" si="1152">if(OR(AW230 = $AO$4, AW230 = $AQ$4), 1, 0)</f>
        <v>1</v>
      </c>
      <c r="W230" s="21">
        <f t="shared" si="1152"/>
        <v>0</v>
      </c>
      <c r="X230" s="21">
        <f t="shared" si="1152"/>
        <v>0</v>
      </c>
      <c r="Y230" s="21">
        <f t="shared" si="1152"/>
        <v>0</v>
      </c>
      <c r="Z230" s="21">
        <f t="shared" si="1152"/>
        <v>0</v>
      </c>
      <c r="AA230" s="21">
        <f t="shared" si="1152"/>
        <v>1</v>
      </c>
      <c r="AB230" s="21">
        <f t="shared" si="1152"/>
        <v>0</v>
      </c>
      <c r="AC230" s="21">
        <f t="shared" si="10"/>
        <v>2</v>
      </c>
      <c r="AD230" s="21">
        <f t="shared" si="11"/>
        <v>1</v>
      </c>
      <c r="AE230" s="21">
        <f t="shared" ref="AE230:AH230" si="1153">if(OR(BD230 = $AO$6, BD230 = $AS$6, BD230 = $AT$6, BD230 = $AU$6), 1, 0)</f>
        <v>0</v>
      </c>
      <c r="AF230" s="21">
        <f t="shared" si="1153"/>
        <v>0</v>
      </c>
      <c r="AG230" s="21">
        <f t="shared" si="1153"/>
        <v>0</v>
      </c>
      <c r="AH230" s="21">
        <f t="shared" si="1153"/>
        <v>0</v>
      </c>
      <c r="AI230" s="21">
        <f t="shared" si="13"/>
        <v>0</v>
      </c>
      <c r="AJ230" s="21">
        <f t="shared" si="14"/>
        <v>3</v>
      </c>
      <c r="AK230" s="59">
        <f t="shared" si="15"/>
        <v>1.875</v>
      </c>
      <c r="AL230" s="60" t="str">
        <f t="shared" si="16"/>
        <v>subpar</v>
      </c>
      <c r="AW230" s="22" t="str">
        <f t="shared" ref="AW230:BC230" si="1154">IF(IFERROR(SEARCH(E$1, $D230),0) &gt;= 1, E$1,0)</f>
        <v>Geschiedenis en archeologie</v>
      </c>
      <c r="AX230" s="22">
        <f t="shared" si="1154"/>
        <v>0</v>
      </c>
      <c r="AY230" s="22">
        <f t="shared" si="1154"/>
        <v>0</v>
      </c>
      <c r="AZ230" s="22">
        <f t="shared" si="1154"/>
        <v>0</v>
      </c>
      <c r="BA230" s="22">
        <f t="shared" si="1154"/>
        <v>0</v>
      </c>
      <c r="BB230" s="22" t="str">
        <f t="shared" si="1154"/>
        <v>Beeldende kunst</v>
      </c>
      <c r="BC230" s="22">
        <f t="shared" si="1154"/>
        <v>0</v>
      </c>
      <c r="BD230" s="22">
        <f t="shared" ref="BD230:BG230" si="1155">IF(L230 = true, BD$1, 0)</f>
        <v>0</v>
      </c>
      <c r="BE230" s="22">
        <f t="shared" si="1155"/>
        <v>0</v>
      </c>
      <c r="BF230" s="22">
        <f t="shared" si="1155"/>
        <v>0</v>
      </c>
      <c r="BG230" s="22">
        <f t="shared" si="1155"/>
        <v>0</v>
      </c>
      <c r="BH230" s="22" t="str">
        <f>IFERROR(__xludf.DUMMYFUNCTION("""COMPUTED_VALUE"""),"O.L.V.-kerk Museum")</f>
        <v>O.L.V.-kerk Museum</v>
      </c>
      <c r="BI230" s="24">
        <f>IFERROR(__xludf.DUMMYFUNCTION("""COMPUTED_VALUE"""),8.0)</f>
        <v>8</v>
      </c>
      <c r="BJ230" s="22" t="b">
        <f>IFERROR(__xludf.DUMMYFUNCTION("""COMPUTED_VALUE"""),FALSE)</f>
        <v>0</v>
      </c>
      <c r="BK230" s="22" t="b">
        <f>IFERROR(__xludf.DUMMYFUNCTION("""COMPUTED_VALUE"""),FALSE)</f>
        <v>0</v>
      </c>
      <c r="BL230" s="22"/>
      <c r="BM230" s="22">
        <f>IFERROR(__xludf.DUMMYFUNCTION("""COMPUTED_VALUE"""),0.0)</f>
        <v>0</v>
      </c>
      <c r="BN230" s="22">
        <f>IFERROR(__xludf.DUMMYFUNCTION("""COMPUTED_VALUE"""),0.0)</f>
        <v>0</v>
      </c>
      <c r="BO230" s="22">
        <f>IFERROR(__xludf.DUMMYFUNCTION("""COMPUTED_VALUE"""),0.0)</f>
        <v>0</v>
      </c>
      <c r="BP230" s="22">
        <f>IFERROR(__xludf.DUMMYFUNCTION("""COMPUTED_VALUE"""),0.0)</f>
        <v>0</v>
      </c>
      <c r="BQ230" s="22">
        <f>IFERROR(__xludf.DUMMYFUNCTION("""COMPUTED_VALUE"""),0.0)</f>
        <v>0</v>
      </c>
      <c r="BR230" s="22">
        <f>IFERROR(__xludf.DUMMYFUNCTION("""COMPUTED_VALUE"""),0.0)</f>
        <v>0</v>
      </c>
      <c r="BS230" s="22">
        <f>IFERROR(__xludf.DUMMYFUNCTION("""COMPUTED_VALUE"""),1.0)</f>
        <v>1</v>
      </c>
      <c r="BT230" s="22">
        <f>IFERROR(__xludf.DUMMYFUNCTION("""COMPUTED_VALUE"""),0.0)</f>
        <v>0</v>
      </c>
      <c r="BU230" s="22">
        <f>IFERROR(__xludf.DUMMYFUNCTION("""COMPUTED_VALUE"""),1.0)</f>
        <v>1</v>
      </c>
      <c r="BV230" s="22">
        <f>IFERROR(__xludf.DUMMYFUNCTION("""COMPUTED_VALUE"""),1.0)</f>
        <v>1</v>
      </c>
      <c r="BW230" s="22">
        <f>IFERROR(__xludf.DUMMYFUNCTION("""COMPUTED_VALUE"""),0.0)</f>
        <v>0</v>
      </c>
      <c r="BX230" s="22">
        <f>IFERROR(__xludf.DUMMYFUNCTION("""COMPUTED_VALUE"""),0.0)</f>
        <v>0</v>
      </c>
      <c r="BY230" s="22">
        <f>IFERROR(__xludf.DUMMYFUNCTION("""COMPUTED_VALUE"""),0.0)</f>
        <v>0</v>
      </c>
      <c r="BZ230" s="22">
        <f>IFERROR(__xludf.DUMMYFUNCTION("""COMPUTED_VALUE"""),0.0)</f>
        <v>0</v>
      </c>
      <c r="CA230" s="22">
        <f>IFERROR(__xludf.DUMMYFUNCTION("""COMPUTED_VALUE"""),0.0)</f>
        <v>0</v>
      </c>
      <c r="CB230" s="22">
        <f>IFERROR(__xludf.DUMMYFUNCTION("""COMPUTED_VALUE"""),2.0)</f>
        <v>2</v>
      </c>
      <c r="CC230" s="61">
        <f>IFERROR(__xludf.DUMMYFUNCTION("""COMPUTED_VALUE"""),1.25)</f>
        <v>1.25</v>
      </c>
      <c r="CD230" s="62" t="str">
        <f>IFERROR(__xludf.DUMMYFUNCTION("""COMPUTED_VALUE"""),"subpar")</f>
        <v>subpar</v>
      </c>
      <c r="CE230" s="22" t="s">
        <v>118</v>
      </c>
      <c r="CF230" s="24">
        <v>8.0</v>
      </c>
      <c r="CG230" s="22" t="b">
        <v>0</v>
      </c>
      <c r="CH230" s="22" t="b">
        <v>0</v>
      </c>
      <c r="CI230" s="22"/>
      <c r="CJ230" s="22">
        <v>0.0</v>
      </c>
      <c r="CK230" s="22">
        <v>0.0</v>
      </c>
      <c r="CL230" s="22">
        <v>0.0</v>
      </c>
      <c r="CM230" s="22">
        <v>0.0</v>
      </c>
      <c r="CN230" s="22">
        <v>0.0</v>
      </c>
      <c r="CO230" s="22">
        <v>0.0</v>
      </c>
      <c r="CP230" s="22">
        <v>1.0</v>
      </c>
      <c r="CQ230" s="22">
        <v>0.0</v>
      </c>
      <c r="CR230" s="22">
        <v>1.0</v>
      </c>
      <c r="CS230" s="22">
        <v>1.0</v>
      </c>
      <c r="CT230" s="22">
        <v>0.0</v>
      </c>
      <c r="CU230" s="22">
        <v>0.0</v>
      </c>
      <c r="CV230" s="22">
        <v>0.0</v>
      </c>
      <c r="CW230" s="22">
        <v>0.0</v>
      </c>
      <c r="CX230" s="22">
        <v>0.0</v>
      </c>
      <c r="CY230" s="22">
        <v>2.0</v>
      </c>
      <c r="CZ230" s="61">
        <v>1.25</v>
      </c>
      <c r="DA230" s="62" t="s">
        <v>568</v>
      </c>
    </row>
    <row r="231">
      <c r="A231" s="16" t="s">
        <v>483</v>
      </c>
      <c r="B231" s="16" t="s">
        <v>484</v>
      </c>
      <c r="C231" s="17" t="s">
        <v>51</v>
      </c>
      <c r="D231" s="16" t="s">
        <v>485</v>
      </c>
      <c r="E231" s="17" t="b">
        <f t="shared" ref="E231:K231" si="1156">If(IFERROR(SEARCH(E$1, $D231),0) &gt;= 1, true,false)</f>
        <v>0</v>
      </c>
      <c r="F231" s="17" t="b">
        <f t="shared" si="1156"/>
        <v>0</v>
      </c>
      <c r="G231" s="17" t="b">
        <f t="shared" si="1156"/>
        <v>1</v>
      </c>
      <c r="H231" s="17" t="b">
        <f t="shared" si="1156"/>
        <v>0</v>
      </c>
      <c r="I231" s="17" t="b">
        <f t="shared" si="1156"/>
        <v>0</v>
      </c>
      <c r="J231" s="17" t="b">
        <f t="shared" si="1156"/>
        <v>1</v>
      </c>
      <c r="K231" s="17" t="b">
        <f t="shared" si="1156"/>
        <v>1</v>
      </c>
      <c r="L231" s="18" t="b">
        <v>1</v>
      </c>
      <c r="M231" s="18" t="b">
        <v>0</v>
      </c>
      <c r="N231" s="18" t="b">
        <v>0</v>
      </c>
      <c r="O231" s="18" t="b">
        <v>0</v>
      </c>
      <c r="P231" s="16" t="str">
        <f t="shared" si="7"/>
        <v>Mode &amp; Kant Museum</v>
      </c>
      <c r="Q231" s="19">
        <v>10.0</v>
      </c>
      <c r="R231" s="18" t="b">
        <v>0</v>
      </c>
      <c r="S231" s="18" t="b">
        <v>1</v>
      </c>
      <c r="T231" s="27">
        <v>10.0</v>
      </c>
      <c r="U231" s="21">
        <f t="shared" si="8"/>
        <v>0</v>
      </c>
      <c r="V231" s="21">
        <f t="shared" ref="V231:AB231" si="1157">if(OR(AW231 = $AO$4, AW231 = $AQ$4), 1, 0)</f>
        <v>0</v>
      </c>
      <c r="W231" s="21">
        <f t="shared" si="1157"/>
        <v>0</v>
      </c>
      <c r="X231" s="21">
        <f t="shared" si="1157"/>
        <v>0</v>
      </c>
      <c r="Y231" s="21">
        <f t="shared" si="1157"/>
        <v>0</v>
      </c>
      <c r="Z231" s="21">
        <f t="shared" si="1157"/>
        <v>0</v>
      </c>
      <c r="AA231" s="21">
        <f t="shared" si="1157"/>
        <v>1</v>
      </c>
      <c r="AB231" s="21">
        <f t="shared" si="1157"/>
        <v>0</v>
      </c>
      <c r="AC231" s="21">
        <f t="shared" si="10"/>
        <v>1</v>
      </c>
      <c r="AD231" s="21">
        <f t="shared" si="11"/>
        <v>1</v>
      </c>
      <c r="AE231" s="21">
        <f t="shared" ref="AE231:AH231" si="1158">if(OR(BD231 = $AO$6, BD231 = $AS$6, BD231 = $AT$6, BD231 = $AU$6), 1, 0)</f>
        <v>1</v>
      </c>
      <c r="AF231" s="21">
        <f t="shared" si="1158"/>
        <v>0</v>
      </c>
      <c r="AG231" s="21">
        <f t="shared" si="1158"/>
        <v>0</v>
      </c>
      <c r="AH231" s="21">
        <f t="shared" si="1158"/>
        <v>0</v>
      </c>
      <c r="AI231" s="21">
        <f t="shared" si="13"/>
        <v>1</v>
      </c>
      <c r="AJ231" s="21">
        <f t="shared" si="14"/>
        <v>3</v>
      </c>
      <c r="AK231" s="59">
        <f t="shared" si="15"/>
        <v>1.875</v>
      </c>
      <c r="AL231" s="60" t="str">
        <f t="shared" si="16"/>
        <v>subpar</v>
      </c>
      <c r="AW231" s="22">
        <f t="shared" ref="AW231:BC231" si="1159">IF(IFERROR(SEARCH(E$1, $D231),0) &gt;= 1, E$1,0)</f>
        <v>0</v>
      </c>
      <c r="AX231" s="22">
        <f t="shared" si="1159"/>
        <v>0</v>
      </c>
      <c r="AY231" s="22" t="str">
        <f t="shared" si="1159"/>
        <v>Mode</v>
      </c>
      <c r="AZ231" s="22">
        <f t="shared" si="1159"/>
        <v>0</v>
      </c>
      <c r="BA231" s="22">
        <f t="shared" si="1159"/>
        <v>0</v>
      </c>
      <c r="BB231" s="22" t="str">
        <f t="shared" si="1159"/>
        <v>Beeldende kunst</v>
      </c>
      <c r="BC231" s="22" t="str">
        <f t="shared" si="1159"/>
        <v>Toegepaste kunst en design</v>
      </c>
      <c r="BD231" s="22" t="str">
        <f t="shared" ref="BD231:BG231" si="1160">IF(L231 = true, BD$1, 0)</f>
        <v>Shop</v>
      </c>
      <c r="BE231" s="22">
        <f t="shared" si="1160"/>
        <v>0</v>
      </c>
      <c r="BF231" s="22">
        <f t="shared" si="1160"/>
        <v>0</v>
      </c>
      <c r="BG231" s="22">
        <f t="shared" si="1160"/>
        <v>0</v>
      </c>
      <c r="BH231" s="22" t="str">
        <f>IFERROR(__xludf.DUMMYFUNCTION("""COMPUTED_VALUE"""),"Peiremuzee")</f>
        <v>Peiremuzee</v>
      </c>
      <c r="BI231" s="24">
        <f>IFERROR(__xludf.DUMMYFUNCTION("""COMPUTED_VALUE"""),12.0)</f>
        <v>12</v>
      </c>
      <c r="BJ231" s="22" t="b">
        <f>IFERROR(__xludf.DUMMYFUNCTION("""COMPUTED_VALUE"""),FALSE)</f>
        <v>0</v>
      </c>
      <c r="BK231" s="22" t="b">
        <f>IFERROR(__xludf.DUMMYFUNCTION("""COMPUTED_VALUE"""),FALSE)</f>
        <v>0</v>
      </c>
      <c r="BL231" s="22"/>
      <c r="BM231" s="22">
        <f>IFERROR(__xludf.DUMMYFUNCTION("""COMPUTED_VALUE"""),0.0)</f>
        <v>0</v>
      </c>
      <c r="BN231" s="22">
        <f>IFERROR(__xludf.DUMMYFUNCTION("""COMPUTED_VALUE"""),0.0)</f>
        <v>0</v>
      </c>
      <c r="BO231" s="22">
        <f>IFERROR(__xludf.DUMMYFUNCTION("""COMPUTED_VALUE"""),0.0)</f>
        <v>0</v>
      </c>
      <c r="BP231" s="22">
        <f>IFERROR(__xludf.DUMMYFUNCTION("""COMPUTED_VALUE"""),0.0)</f>
        <v>0</v>
      </c>
      <c r="BQ231" s="22">
        <f>IFERROR(__xludf.DUMMYFUNCTION("""COMPUTED_VALUE"""),0.0)</f>
        <v>0</v>
      </c>
      <c r="BR231" s="22">
        <f>IFERROR(__xludf.DUMMYFUNCTION("""COMPUTED_VALUE"""),0.0)</f>
        <v>0</v>
      </c>
      <c r="BS231" s="22">
        <f>IFERROR(__xludf.DUMMYFUNCTION("""COMPUTED_VALUE"""),1.0)</f>
        <v>1</v>
      </c>
      <c r="BT231" s="22">
        <f>IFERROR(__xludf.DUMMYFUNCTION("""COMPUTED_VALUE"""),0.0)</f>
        <v>0</v>
      </c>
      <c r="BU231" s="22">
        <f>IFERROR(__xludf.DUMMYFUNCTION("""COMPUTED_VALUE"""),1.0)</f>
        <v>1</v>
      </c>
      <c r="BV231" s="22">
        <f>IFERROR(__xludf.DUMMYFUNCTION("""COMPUTED_VALUE"""),0.0)</f>
        <v>0</v>
      </c>
      <c r="BW231" s="22">
        <f>IFERROR(__xludf.DUMMYFUNCTION("""COMPUTED_VALUE"""),1.0)</f>
        <v>1</v>
      </c>
      <c r="BX231" s="22">
        <f>IFERROR(__xludf.DUMMYFUNCTION("""COMPUTED_VALUE"""),0.0)</f>
        <v>0</v>
      </c>
      <c r="BY231" s="22">
        <f>IFERROR(__xludf.DUMMYFUNCTION("""COMPUTED_VALUE"""),0.0)</f>
        <v>0</v>
      </c>
      <c r="BZ231" s="22">
        <f>IFERROR(__xludf.DUMMYFUNCTION("""COMPUTED_VALUE"""),0.0)</f>
        <v>0</v>
      </c>
      <c r="CA231" s="22">
        <f>IFERROR(__xludf.DUMMYFUNCTION("""COMPUTED_VALUE"""),1.0)</f>
        <v>1</v>
      </c>
      <c r="CB231" s="22">
        <f>IFERROR(__xludf.DUMMYFUNCTION("""COMPUTED_VALUE"""),2.0)</f>
        <v>2</v>
      </c>
      <c r="CC231" s="61">
        <f>IFERROR(__xludf.DUMMYFUNCTION("""COMPUTED_VALUE"""),1.25)</f>
        <v>1.25</v>
      </c>
      <c r="CD231" s="62" t="str">
        <f>IFERROR(__xludf.DUMMYFUNCTION("""COMPUTED_VALUE"""),"subpar")</f>
        <v>subpar</v>
      </c>
      <c r="CE231" s="22" t="s">
        <v>126</v>
      </c>
      <c r="CF231" s="24">
        <v>12.0</v>
      </c>
      <c r="CG231" s="22" t="b">
        <v>0</v>
      </c>
      <c r="CH231" s="22" t="b">
        <v>0</v>
      </c>
      <c r="CI231" s="22"/>
      <c r="CJ231" s="22">
        <v>0.0</v>
      </c>
      <c r="CK231" s="22">
        <v>0.0</v>
      </c>
      <c r="CL231" s="22">
        <v>0.0</v>
      </c>
      <c r="CM231" s="22">
        <v>0.0</v>
      </c>
      <c r="CN231" s="22">
        <v>0.0</v>
      </c>
      <c r="CO231" s="22">
        <v>0.0</v>
      </c>
      <c r="CP231" s="22">
        <v>1.0</v>
      </c>
      <c r="CQ231" s="22">
        <v>0.0</v>
      </c>
      <c r="CR231" s="22">
        <v>1.0</v>
      </c>
      <c r="CS231" s="22">
        <v>0.0</v>
      </c>
      <c r="CT231" s="22">
        <v>1.0</v>
      </c>
      <c r="CU231" s="22">
        <v>0.0</v>
      </c>
      <c r="CV231" s="22">
        <v>0.0</v>
      </c>
      <c r="CW231" s="22">
        <v>0.0</v>
      </c>
      <c r="CX231" s="22">
        <v>1.0</v>
      </c>
      <c r="CY231" s="22">
        <v>2.0</v>
      </c>
      <c r="CZ231" s="61">
        <v>1.25</v>
      </c>
      <c r="DA231" s="62" t="s">
        <v>568</v>
      </c>
    </row>
    <row r="232">
      <c r="A232" s="16" t="s">
        <v>486</v>
      </c>
      <c r="B232" s="16" t="s">
        <v>487</v>
      </c>
      <c r="C232" s="17" t="s">
        <v>51</v>
      </c>
      <c r="D232" s="16" t="s">
        <v>9</v>
      </c>
      <c r="E232" s="17" t="b">
        <f t="shared" ref="E232:K232" si="1161">If(IFERROR(SEARCH(E$1, $D232),0) &gt;= 1, true,false)</f>
        <v>0</v>
      </c>
      <c r="F232" s="17" t="b">
        <f t="shared" si="1161"/>
        <v>0</v>
      </c>
      <c r="G232" s="17" t="b">
        <f t="shared" si="1161"/>
        <v>0</v>
      </c>
      <c r="H232" s="17" t="b">
        <f t="shared" si="1161"/>
        <v>0</v>
      </c>
      <c r="I232" s="17" t="b">
        <f t="shared" si="1161"/>
        <v>0</v>
      </c>
      <c r="J232" s="17" t="b">
        <f t="shared" si="1161"/>
        <v>1</v>
      </c>
      <c r="K232" s="17" t="b">
        <f t="shared" si="1161"/>
        <v>0</v>
      </c>
      <c r="L232" s="18" t="b">
        <v>1</v>
      </c>
      <c r="M232" s="18" t="b">
        <v>0</v>
      </c>
      <c r="N232" s="18" t="b">
        <v>0</v>
      </c>
      <c r="O232" s="18" t="b">
        <v>0</v>
      </c>
      <c r="P232" s="16" t="str">
        <f t="shared" si="7"/>
        <v>René Magritte Museum &amp; Museum voor abstracte kuns</v>
      </c>
      <c r="Q232" s="19">
        <v>15.0</v>
      </c>
      <c r="R232" s="18" t="b">
        <v>0</v>
      </c>
      <c r="S232" s="18" t="b">
        <v>0</v>
      </c>
      <c r="T232" s="21"/>
      <c r="U232" s="21">
        <f t="shared" si="8"/>
        <v>0</v>
      </c>
      <c r="V232" s="21">
        <f t="shared" ref="V232:AB232" si="1162">if(OR(AW232 = $AO$4, AW232 = $AQ$4), 1, 0)</f>
        <v>0</v>
      </c>
      <c r="W232" s="21">
        <f t="shared" si="1162"/>
        <v>0</v>
      </c>
      <c r="X232" s="21">
        <f t="shared" si="1162"/>
        <v>0</v>
      </c>
      <c r="Y232" s="21">
        <f t="shared" si="1162"/>
        <v>0</v>
      </c>
      <c r="Z232" s="21">
        <f t="shared" si="1162"/>
        <v>0</v>
      </c>
      <c r="AA232" s="21">
        <f t="shared" si="1162"/>
        <v>1</v>
      </c>
      <c r="AB232" s="21">
        <f t="shared" si="1162"/>
        <v>0</v>
      </c>
      <c r="AC232" s="21">
        <f t="shared" si="10"/>
        <v>1</v>
      </c>
      <c r="AD232" s="21">
        <f t="shared" si="11"/>
        <v>0</v>
      </c>
      <c r="AE232" s="21">
        <f t="shared" ref="AE232:AH232" si="1163">if(OR(BD232 = $AO$6, BD232 = $AS$6, BD232 = $AT$6, BD232 = $AU$6), 1, 0)</f>
        <v>1</v>
      </c>
      <c r="AF232" s="21">
        <f t="shared" si="1163"/>
        <v>0</v>
      </c>
      <c r="AG232" s="21">
        <f t="shared" si="1163"/>
        <v>0</v>
      </c>
      <c r="AH232" s="21">
        <f t="shared" si="1163"/>
        <v>0</v>
      </c>
      <c r="AI232" s="21">
        <f t="shared" si="13"/>
        <v>1</v>
      </c>
      <c r="AJ232" s="21">
        <f t="shared" si="14"/>
        <v>2</v>
      </c>
      <c r="AK232" s="59">
        <f t="shared" si="15"/>
        <v>1.25</v>
      </c>
      <c r="AL232" s="60" t="str">
        <f t="shared" si="16"/>
        <v>subpar</v>
      </c>
      <c r="AW232" s="22">
        <f t="shared" ref="AW232:BC232" si="1164">IF(IFERROR(SEARCH(E$1, $D232),0) &gt;= 1, E$1,0)</f>
        <v>0</v>
      </c>
      <c r="AX232" s="22">
        <f t="shared" si="1164"/>
        <v>0</v>
      </c>
      <c r="AY232" s="22">
        <f t="shared" si="1164"/>
        <v>0</v>
      </c>
      <c r="AZ232" s="22">
        <f t="shared" si="1164"/>
        <v>0</v>
      </c>
      <c r="BA232" s="22">
        <f t="shared" si="1164"/>
        <v>0</v>
      </c>
      <c r="BB232" s="22" t="str">
        <f t="shared" si="1164"/>
        <v>Beeldende kunst</v>
      </c>
      <c r="BC232" s="22">
        <f t="shared" si="1164"/>
        <v>0</v>
      </c>
      <c r="BD232" s="22" t="str">
        <f t="shared" ref="BD232:BG232" si="1165">IF(L232 = true, BD$1, 0)</f>
        <v>Shop</v>
      </c>
      <c r="BE232" s="22">
        <f t="shared" si="1165"/>
        <v>0</v>
      </c>
      <c r="BF232" s="22">
        <f t="shared" si="1165"/>
        <v>0</v>
      </c>
      <c r="BG232" s="22">
        <f t="shared" si="1165"/>
        <v>0</v>
      </c>
      <c r="BH232" s="22" t="str">
        <f>IFERROR(__xludf.DUMMYFUNCTION("""COMPUTED_VALUE"""),"Sint-Janshuismolen")</f>
        <v>Sint-Janshuismolen</v>
      </c>
      <c r="BI232" s="24">
        <f>IFERROR(__xludf.DUMMYFUNCTION("""COMPUTED_VALUE"""),5.0)</f>
        <v>5</v>
      </c>
      <c r="BJ232" s="22" t="b">
        <f>IFERROR(__xludf.DUMMYFUNCTION("""COMPUTED_VALUE"""),FALSE)</f>
        <v>0</v>
      </c>
      <c r="BK232" s="22" t="b">
        <f>IFERROR(__xludf.DUMMYFUNCTION("""COMPUTED_VALUE"""),FALSE)</f>
        <v>0</v>
      </c>
      <c r="BL232" s="22"/>
      <c r="BM232" s="22">
        <f>IFERROR(__xludf.DUMMYFUNCTION("""COMPUTED_VALUE"""),0.0)</f>
        <v>0</v>
      </c>
      <c r="BN232" s="22">
        <f>IFERROR(__xludf.DUMMYFUNCTION("""COMPUTED_VALUE"""),1.0)</f>
        <v>1</v>
      </c>
      <c r="BO232" s="22">
        <f>IFERROR(__xludf.DUMMYFUNCTION("""COMPUTED_VALUE"""),0.0)</f>
        <v>0</v>
      </c>
      <c r="BP232" s="22">
        <f>IFERROR(__xludf.DUMMYFUNCTION("""COMPUTED_VALUE"""),0.0)</f>
        <v>0</v>
      </c>
      <c r="BQ232" s="22">
        <f>IFERROR(__xludf.DUMMYFUNCTION("""COMPUTED_VALUE"""),0.0)</f>
        <v>0</v>
      </c>
      <c r="BR232" s="22">
        <f>IFERROR(__xludf.DUMMYFUNCTION("""COMPUTED_VALUE"""),0.0)</f>
        <v>0</v>
      </c>
      <c r="BS232" s="22">
        <f>IFERROR(__xludf.DUMMYFUNCTION("""COMPUTED_VALUE"""),0.0)</f>
        <v>0</v>
      </c>
      <c r="BT232" s="22">
        <f>IFERROR(__xludf.DUMMYFUNCTION("""COMPUTED_VALUE"""),0.0)</f>
        <v>0</v>
      </c>
      <c r="BU232" s="22">
        <f>IFERROR(__xludf.DUMMYFUNCTION("""COMPUTED_VALUE"""),1.0)</f>
        <v>1</v>
      </c>
      <c r="BV232" s="22">
        <f>IFERROR(__xludf.DUMMYFUNCTION("""COMPUTED_VALUE"""),1.0)</f>
        <v>1</v>
      </c>
      <c r="BW232" s="22">
        <f>IFERROR(__xludf.DUMMYFUNCTION("""COMPUTED_VALUE"""),0.0)</f>
        <v>0</v>
      </c>
      <c r="BX232" s="22">
        <f>IFERROR(__xludf.DUMMYFUNCTION("""COMPUTED_VALUE"""),0.0)</f>
        <v>0</v>
      </c>
      <c r="BY232" s="22">
        <f>IFERROR(__xludf.DUMMYFUNCTION("""COMPUTED_VALUE"""),0.0)</f>
        <v>0</v>
      </c>
      <c r="BZ232" s="22">
        <f>IFERROR(__xludf.DUMMYFUNCTION("""COMPUTED_VALUE"""),0.0)</f>
        <v>0</v>
      </c>
      <c r="CA232" s="22">
        <f>IFERROR(__xludf.DUMMYFUNCTION("""COMPUTED_VALUE"""),0.0)</f>
        <v>0</v>
      </c>
      <c r="CB232" s="22">
        <f>IFERROR(__xludf.DUMMYFUNCTION("""COMPUTED_VALUE"""),2.0)</f>
        <v>2</v>
      </c>
      <c r="CC232" s="61">
        <f>IFERROR(__xludf.DUMMYFUNCTION("""COMPUTED_VALUE"""),1.25)</f>
        <v>1.25</v>
      </c>
      <c r="CD232" s="62" t="str">
        <f>IFERROR(__xludf.DUMMYFUNCTION("""COMPUTED_VALUE"""),"subpar")</f>
        <v>subpar</v>
      </c>
      <c r="CE232" s="22" t="s">
        <v>131</v>
      </c>
      <c r="CF232" s="24">
        <v>5.0</v>
      </c>
      <c r="CG232" s="22" t="b">
        <v>0</v>
      </c>
      <c r="CH232" s="22" t="b">
        <v>0</v>
      </c>
      <c r="CI232" s="22"/>
      <c r="CJ232" s="22">
        <v>0.0</v>
      </c>
      <c r="CK232" s="22">
        <v>1.0</v>
      </c>
      <c r="CL232" s="22">
        <v>0.0</v>
      </c>
      <c r="CM232" s="22">
        <v>0.0</v>
      </c>
      <c r="CN232" s="22">
        <v>0.0</v>
      </c>
      <c r="CO232" s="22">
        <v>0.0</v>
      </c>
      <c r="CP232" s="22">
        <v>0.0</v>
      </c>
      <c r="CQ232" s="22">
        <v>0.0</v>
      </c>
      <c r="CR232" s="22">
        <v>1.0</v>
      </c>
      <c r="CS232" s="22">
        <v>1.0</v>
      </c>
      <c r="CT232" s="22">
        <v>0.0</v>
      </c>
      <c r="CU232" s="22">
        <v>0.0</v>
      </c>
      <c r="CV232" s="22">
        <v>0.0</v>
      </c>
      <c r="CW232" s="22">
        <v>0.0</v>
      </c>
      <c r="CX232" s="22">
        <v>0.0</v>
      </c>
      <c r="CY232" s="22">
        <v>2.0</v>
      </c>
      <c r="CZ232" s="61">
        <v>1.25</v>
      </c>
      <c r="DA232" s="62" t="s">
        <v>568</v>
      </c>
    </row>
    <row r="233">
      <c r="A233" s="16" t="s">
        <v>488</v>
      </c>
      <c r="B233" s="16" t="s">
        <v>489</v>
      </c>
      <c r="C233" s="17" t="s">
        <v>51</v>
      </c>
      <c r="D233" s="36" t="s">
        <v>163</v>
      </c>
      <c r="E233" s="17" t="b">
        <f t="shared" ref="E233:K233" si="1166">If(IFERROR(SEARCH(E$1, $D233),0) &gt;= 1, true,false)</f>
        <v>1</v>
      </c>
      <c r="F233" s="17" t="b">
        <f t="shared" si="1166"/>
        <v>1</v>
      </c>
      <c r="G233" s="17" t="b">
        <f t="shared" si="1166"/>
        <v>0</v>
      </c>
      <c r="H233" s="17" t="b">
        <f t="shared" si="1166"/>
        <v>0</v>
      </c>
      <c r="I233" s="17" t="b">
        <f t="shared" si="1166"/>
        <v>1</v>
      </c>
      <c r="J233" s="17" t="b">
        <f t="shared" si="1166"/>
        <v>1</v>
      </c>
      <c r="K233" s="17" t="b">
        <f t="shared" si="1166"/>
        <v>0</v>
      </c>
      <c r="L233" s="18" t="b">
        <v>1</v>
      </c>
      <c r="M233" s="18" t="b">
        <v>1</v>
      </c>
      <c r="N233" s="18" t="b">
        <v>1</v>
      </c>
      <c r="O233" s="18" t="b">
        <v>1</v>
      </c>
      <c r="P233" s="16" t="str">
        <f t="shared" si="7"/>
        <v>Koninklijk Museum van het Leger en de Krijgsgeschiedenis</v>
      </c>
      <c r="Q233" s="19">
        <v>12.0</v>
      </c>
      <c r="R233" s="18" t="b">
        <v>0</v>
      </c>
      <c r="S233" s="18" t="b">
        <v>0</v>
      </c>
      <c r="U233" s="21">
        <f t="shared" si="8"/>
        <v>0</v>
      </c>
      <c r="V233" s="21">
        <f t="shared" ref="V233:AB233" si="1167">if(OR(AW233 = $AO$4, AW233 = $AQ$4), 1, 0)</f>
        <v>1</v>
      </c>
      <c r="W233" s="21">
        <f t="shared" si="1167"/>
        <v>0</v>
      </c>
      <c r="X233" s="21">
        <f t="shared" si="1167"/>
        <v>0</v>
      </c>
      <c r="Y233" s="21">
        <f t="shared" si="1167"/>
        <v>0</v>
      </c>
      <c r="Z233" s="21">
        <f t="shared" si="1167"/>
        <v>0</v>
      </c>
      <c r="AA233" s="21">
        <f t="shared" si="1167"/>
        <v>1</v>
      </c>
      <c r="AB233" s="21">
        <f t="shared" si="1167"/>
        <v>0</v>
      </c>
      <c r="AC233" s="21">
        <f t="shared" si="10"/>
        <v>2</v>
      </c>
      <c r="AD233" s="21">
        <f t="shared" si="11"/>
        <v>0</v>
      </c>
      <c r="AE233" s="21">
        <f t="shared" ref="AE233:AH233" si="1168">if(OR(BD233 = $AO$6, BD233 = $AS$6, BD233 = $AT$6, BD233 = $AU$6), 1, 0)</f>
        <v>1</v>
      </c>
      <c r="AF233" s="21">
        <f t="shared" si="1168"/>
        <v>1</v>
      </c>
      <c r="AG233" s="21">
        <f t="shared" si="1168"/>
        <v>1</v>
      </c>
      <c r="AH233" s="21">
        <f t="shared" si="1168"/>
        <v>1</v>
      </c>
      <c r="AI233" s="21">
        <f t="shared" si="13"/>
        <v>4</v>
      </c>
      <c r="AJ233" s="21">
        <f t="shared" si="14"/>
        <v>6</v>
      </c>
      <c r="AK233" s="59">
        <f t="shared" si="15"/>
        <v>3.75</v>
      </c>
      <c r="AL233" s="60" t="str">
        <f t="shared" si="16"/>
        <v>good</v>
      </c>
      <c r="AW233" s="22" t="str">
        <f t="shared" ref="AW233:BC233" si="1169">IF(IFERROR(SEARCH(E$1, $D233),0) &gt;= 1, E$1,0)</f>
        <v>Geschiedenis en archeologie</v>
      </c>
      <c r="AX233" s="22" t="str">
        <f t="shared" si="1169"/>
        <v>Wetenschap en technologie</v>
      </c>
      <c r="AY233" s="22">
        <f t="shared" si="1169"/>
        <v>0</v>
      </c>
      <c r="AZ233" s="22">
        <f t="shared" si="1169"/>
        <v>0</v>
      </c>
      <c r="BA233" s="22" t="str">
        <f t="shared" si="1169"/>
        <v>Architectuur</v>
      </c>
      <c r="BB233" s="22" t="str">
        <f t="shared" si="1169"/>
        <v>Beeldende kunst</v>
      </c>
      <c r="BC233" s="22">
        <f t="shared" si="1169"/>
        <v>0</v>
      </c>
      <c r="BD233" s="22" t="str">
        <f t="shared" ref="BD233:BG233" si="1170">IF(L233 = true, BD$1, 0)</f>
        <v>Shop</v>
      </c>
      <c r="BE233" s="22" t="str">
        <f t="shared" si="1170"/>
        <v>Café</v>
      </c>
      <c r="BF233" s="22" t="str">
        <f t="shared" si="1170"/>
        <v>Parking</v>
      </c>
      <c r="BG233" s="22" t="str">
        <f t="shared" si="1170"/>
        <v>Restaurant</v>
      </c>
      <c r="BH233" s="22" t="str">
        <f>IFERROR(__xludf.DUMMYFUNCTION("""COMPUTED_VALUE"""),"Volkskundemuseum")</f>
        <v>Volkskundemuseum</v>
      </c>
      <c r="BI233" s="24">
        <f>IFERROR(__xludf.DUMMYFUNCTION("""COMPUTED_VALUE"""),8.0)</f>
        <v>8</v>
      </c>
      <c r="BJ233" s="22" t="b">
        <f>IFERROR(__xludf.DUMMYFUNCTION("""COMPUTED_VALUE"""),FALSE)</f>
        <v>0</v>
      </c>
      <c r="BK233" s="22" t="b">
        <f>IFERROR(__xludf.DUMMYFUNCTION("""COMPUTED_VALUE"""),FALSE)</f>
        <v>0</v>
      </c>
      <c r="BL233" s="22"/>
      <c r="BM233" s="22">
        <f>IFERROR(__xludf.DUMMYFUNCTION("""COMPUTED_VALUE"""),0.0)</f>
        <v>0</v>
      </c>
      <c r="BN233" s="22">
        <f>IFERROR(__xludf.DUMMYFUNCTION("""COMPUTED_VALUE"""),1.0)</f>
        <v>1</v>
      </c>
      <c r="BO233" s="22">
        <f>IFERROR(__xludf.DUMMYFUNCTION("""COMPUTED_VALUE"""),0.0)</f>
        <v>0</v>
      </c>
      <c r="BP233" s="22">
        <f>IFERROR(__xludf.DUMMYFUNCTION("""COMPUTED_VALUE"""),0.0)</f>
        <v>0</v>
      </c>
      <c r="BQ233" s="22">
        <f>IFERROR(__xludf.DUMMYFUNCTION("""COMPUTED_VALUE"""),0.0)</f>
        <v>0</v>
      </c>
      <c r="BR233" s="22">
        <f>IFERROR(__xludf.DUMMYFUNCTION("""COMPUTED_VALUE"""),0.0)</f>
        <v>0</v>
      </c>
      <c r="BS233" s="22">
        <f>IFERROR(__xludf.DUMMYFUNCTION("""COMPUTED_VALUE"""),0.0)</f>
        <v>0</v>
      </c>
      <c r="BT233" s="22">
        <f>IFERROR(__xludf.DUMMYFUNCTION("""COMPUTED_VALUE"""),0.0)</f>
        <v>0</v>
      </c>
      <c r="BU233" s="22">
        <f>IFERROR(__xludf.DUMMYFUNCTION("""COMPUTED_VALUE"""),1.0)</f>
        <v>1</v>
      </c>
      <c r="BV233" s="22">
        <f>IFERROR(__xludf.DUMMYFUNCTION("""COMPUTED_VALUE"""),1.0)</f>
        <v>1</v>
      </c>
      <c r="BW233" s="22">
        <f>IFERROR(__xludf.DUMMYFUNCTION("""COMPUTED_VALUE"""),0.0)</f>
        <v>0</v>
      </c>
      <c r="BX233" s="22">
        <f>IFERROR(__xludf.DUMMYFUNCTION("""COMPUTED_VALUE"""),0.0)</f>
        <v>0</v>
      </c>
      <c r="BY233" s="22">
        <f>IFERROR(__xludf.DUMMYFUNCTION("""COMPUTED_VALUE"""),0.0)</f>
        <v>0</v>
      </c>
      <c r="BZ233" s="22">
        <f>IFERROR(__xludf.DUMMYFUNCTION("""COMPUTED_VALUE"""),0.0)</f>
        <v>0</v>
      </c>
      <c r="CA233" s="22">
        <f>IFERROR(__xludf.DUMMYFUNCTION("""COMPUTED_VALUE"""),0.0)</f>
        <v>0</v>
      </c>
      <c r="CB233" s="22">
        <f>IFERROR(__xludf.DUMMYFUNCTION("""COMPUTED_VALUE"""),2.0)</f>
        <v>2</v>
      </c>
      <c r="CC233" s="61">
        <f>IFERROR(__xludf.DUMMYFUNCTION("""COMPUTED_VALUE"""),1.25)</f>
        <v>1.25</v>
      </c>
      <c r="CD233" s="62" t="str">
        <f>IFERROR(__xludf.DUMMYFUNCTION("""COMPUTED_VALUE"""),"subpar")</f>
        <v>subpar</v>
      </c>
      <c r="CE233" s="22" t="s">
        <v>141</v>
      </c>
      <c r="CF233" s="24">
        <v>8.0</v>
      </c>
      <c r="CG233" s="22" t="b">
        <v>0</v>
      </c>
      <c r="CH233" s="22" t="b">
        <v>0</v>
      </c>
      <c r="CI233" s="22"/>
      <c r="CJ233" s="22">
        <v>0.0</v>
      </c>
      <c r="CK233" s="22">
        <v>1.0</v>
      </c>
      <c r="CL233" s="22">
        <v>0.0</v>
      </c>
      <c r="CM233" s="22">
        <v>0.0</v>
      </c>
      <c r="CN233" s="22">
        <v>0.0</v>
      </c>
      <c r="CO233" s="22">
        <v>0.0</v>
      </c>
      <c r="CP233" s="22">
        <v>0.0</v>
      </c>
      <c r="CQ233" s="22">
        <v>0.0</v>
      </c>
      <c r="CR233" s="22">
        <v>1.0</v>
      </c>
      <c r="CS233" s="22">
        <v>1.0</v>
      </c>
      <c r="CT233" s="22">
        <v>0.0</v>
      </c>
      <c r="CU233" s="22">
        <v>0.0</v>
      </c>
      <c r="CV233" s="22">
        <v>0.0</v>
      </c>
      <c r="CW233" s="22">
        <v>0.0</v>
      </c>
      <c r="CX233" s="22">
        <v>0.0</v>
      </c>
      <c r="CY233" s="22">
        <v>2.0</v>
      </c>
      <c r="CZ233" s="61">
        <v>1.25</v>
      </c>
      <c r="DA233" s="62" t="s">
        <v>568</v>
      </c>
    </row>
    <row r="234">
      <c r="A234" s="16" t="s">
        <v>490</v>
      </c>
      <c r="B234" s="16" t="s">
        <v>491</v>
      </c>
      <c r="C234" s="17" t="s">
        <v>51</v>
      </c>
      <c r="D234" s="16" t="s">
        <v>344</v>
      </c>
      <c r="E234" s="17" t="b">
        <f t="shared" ref="E234:K234" si="1171">If(IFERROR(SEARCH(E$1, $D234),0) &gt;= 1, true,false)</f>
        <v>1</v>
      </c>
      <c r="F234" s="17" t="b">
        <f t="shared" si="1171"/>
        <v>0</v>
      </c>
      <c r="G234" s="17" t="b">
        <f t="shared" si="1171"/>
        <v>0</v>
      </c>
      <c r="H234" s="17" t="b">
        <f t="shared" si="1171"/>
        <v>0</v>
      </c>
      <c r="I234" s="17" t="b">
        <f t="shared" si="1171"/>
        <v>0</v>
      </c>
      <c r="J234" s="17" t="b">
        <f t="shared" si="1171"/>
        <v>0</v>
      </c>
      <c r="K234" s="17" t="b">
        <f t="shared" si="1171"/>
        <v>0</v>
      </c>
      <c r="L234" s="18" t="b">
        <v>1</v>
      </c>
      <c r="M234" s="18" t="b">
        <v>0</v>
      </c>
      <c r="N234" s="18" t="b">
        <v>0</v>
      </c>
      <c r="O234" s="18" t="b">
        <v>1</v>
      </c>
      <c r="P234" s="16" t="str">
        <f t="shared" si="7"/>
        <v>Coudenbergpaleis</v>
      </c>
      <c r="Q234" s="19">
        <v>10.0</v>
      </c>
      <c r="R234" s="18" t="b">
        <v>0</v>
      </c>
      <c r="S234" s="18" t="b">
        <v>0</v>
      </c>
      <c r="T234" s="21"/>
      <c r="U234" s="21">
        <f t="shared" si="8"/>
        <v>0</v>
      </c>
      <c r="V234" s="21">
        <f t="shared" ref="V234:AB234" si="1172">if(OR(AW234 = $AO$4, AW234 = $AQ$4), 1, 0)</f>
        <v>1</v>
      </c>
      <c r="W234" s="21">
        <f t="shared" si="1172"/>
        <v>0</v>
      </c>
      <c r="X234" s="21">
        <f t="shared" si="1172"/>
        <v>0</v>
      </c>
      <c r="Y234" s="21">
        <f t="shared" si="1172"/>
        <v>0</v>
      </c>
      <c r="Z234" s="21">
        <f t="shared" si="1172"/>
        <v>0</v>
      </c>
      <c r="AA234" s="21">
        <f t="shared" si="1172"/>
        <v>0</v>
      </c>
      <c r="AB234" s="21">
        <f t="shared" si="1172"/>
        <v>0</v>
      </c>
      <c r="AC234" s="21">
        <f t="shared" si="10"/>
        <v>1</v>
      </c>
      <c r="AD234" s="21">
        <f t="shared" si="11"/>
        <v>1</v>
      </c>
      <c r="AE234" s="21">
        <f t="shared" ref="AE234:AH234" si="1173">if(OR(BD234 = $AO$6, BD234 = $AS$6, BD234 = $AT$6, BD234 = $AU$6), 1, 0)</f>
        <v>1</v>
      </c>
      <c r="AF234" s="21">
        <f t="shared" si="1173"/>
        <v>0</v>
      </c>
      <c r="AG234" s="21">
        <f t="shared" si="1173"/>
        <v>0</v>
      </c>
      <c r="AH234" s="21">
        <f t="shared" si="1173"/>
        <v>1</v>
      </c>
      <c r="AI234" s="21">
        <f t="shared" si="13"/>
        <v>2</v>
      </c>
      <c r="AJ234" s="21">
        <f t="shared" si="14"/>
        <v>4</v>
      </c>
      <c r="AK234" s="59">
        <f t="shared" si="15"/>
        <v>2.5</v>
      </c>
      <c r="AL234" s="60" t="str">
        <f t="shared" si="16"/>
        <v>subpar</v>
      </c>
      <c r="AW234" s="22" t="str">
        <f t="shared" ref="AW234:BC234" si="1174">IF(IFERROR(SEARCH(E$1, $D234),0) &gt;= 1, E$1,0)</f>
        <v>Geschiedenis en archeologie</v>
      </c>
      <c r="AX234" s="22">
        <f t="shared" si="1174"/>
        <v>0</v>
      </c>
      <c r="AY234" s="22">
        <f t="shared" si="1174"/>
        <v>0</v>
      </c>
      <c r="AZ234" s="22">
        <f t="shared" si="1174"/>
        <v>0</v>
      </c>
      <c r="BA234" s="22">
        <f t="shared" si="1174"/>
        <v>0</v>
      </c>
      <c r="BB234" s="22">
        <f t="shared" si="1174"/>
        <v>0</v>
      </c>
      <c r="BC234" s="22">
        <f t="shared" si="1174"/>
        <v>0</v>
      </c>
      <c r="BD234" s="22" t="str">
        <f t="shared" ref="BD234:BG234" si="1175">IF(L234 = true, BD$1, 0)</f>
        <v>Shop</v>
      </c>
      <c r="BE234" s="22">
        <f t="shared" si="1175"/>
        <v>0</v>
      </c>
      <c r="BF234" s="22">
        <f t="shared" si="1175"/>
        <v>0</v>
      </c>
      <c r="BG234" s="22" t="str">
        <f t="shared" si="1175"/>
        <v>Restaurant</v>
      </c>
      <c r="BH234" s="22" t="str">
        <f>IFERROR(__xludf.DUMMYFUNCTION("""COMPUTED_VALUE"""),"DIVA | museum voor diamant juwelen en zilver")</f>
        <v>DIVA | museum voor diamant juwelen en zilver</v>
      </c>
      <c r="BI234" s="24">
        <f>IFERROR(__xludf.DUMMYFUNCTION("""COMPUTED_VALUE"""),12.0)</f>
        <v>12</v>
      </c>
      <c r="BJ234" s="22" t="b">
        <f>IFERROR(__xludf.DUMMYFUNCTION("""COMPUTED_VALUE"""),FALSE)</f>
        <v>0</v>
      </c>
      <c r="BK234" s="22" t="b">
        <f>IFERROR(__xludf.DUMMYFUNCTION("""COMPUTED_VALUE"""),FALSE)</f>
        <v>0</v>
      </c>
      <c r="BL234" s="22"/>
      <c r="BM234" s="22">
        <f>IFERROR(__xludf.DUMMYFUNCTION("""COMPUTED_VALUE"""),0.0)</f>
        <v>0</v>
      </c>
      <c r="BN234" s="22">
        <f>IFERROR(__xludf.DUMMYFUNCTION("""COMPUTED_VALUE"""),1.0)</f>
        <v>1</v>
      </c>
      <c r="BO234" s="22">
        <f>IFERROR(__xludf.DUMMYFUNCTION("""COMPUTED_VALUE"""),0.0)</f>
        <v>0</v>
      </c>
      <c r="BP234" s="22">
        <f>IFERROR(__xludf.DUMMYFUNCTION("""COMPUTED_VALUE"""),0.0)</f>
        <v>0</v>
      </c>
      <c r="BQ234" s="22">
        <f>IFERROR(__xludf.DUMMYFUNCTION("""COMPUTED_VALUE"""),0.0)</f>
        <v>0</v>
      </c>
      <c r="BR234" s="22">
        <f>IFERROR(__xludf.DUMMYFUNCTION("""COMPUTED_VALUE"""),0.0)</f>
        <v>0</v>
      </c>
      <c r="BS234" s="22">
        <f>IFERROR(__xludf.DUMMYFUNCTION("""COMPUTED_VALUE"""),0.0)</f>
        <v>0</v>
      </c>
      <c r="BT234" s="22">
        <f>IFERROR(__xludf.DUMMYFUNCTION("""COMPUTED_VALUE"""),0.0)</f>
        <v>0</v>
      </c>
      <c r="BU234" s="22">
        <f>IFERROR(__xludf.DUMMYFUNCTION("""COMPUTED_VALUE"""),1.0)</f>
        <v>1</v>
      </c>
      <c r="BV234" s="22">
        <f>IFERROR(__xludf.DUMMYFUNCTION("""COMPUTED_VALUE"""),0.0)</f>
        <v>0</v>
      </c>
      <c r="BW234" s="22">
        <f>IFERROR(__xludf.DUMMYFUNCTION("""COMPUTED_VALUE"""),1.0)</f>
        <v>1</v>
      </c>
      <c r="BX234" s="22">
        <f>IFERROR(__xludf.DUMMYFUNCTION("""COMPUTED_VALUE"""),0.0)</f>
        <v>0</v>
      </c>
      <c r="BY234" s="22">
        <f>IFERROR(__xludf.DUMMYFUNCTION("""COMPUTED_VALUE"""),0.0)</f>
        <v>0</v>
      </c>
      <c r="BZ234" s="22">
        <f>IFERROR(__xludf.DUMMYFUNCTION("""COMPUTED_VALUE"""),0.0)</f>
        <v>0</v>
      </c>
      <c r="CA234" s="22">
        <f>IFERROR(__xludf.DUMMYFUNCTION("""COMPUTED_VALUE"""),1.0)</f>
        <v>1</v>
      </c>
      <c r="CB234" s="22">
        <f>IFERROR(__xludf.DUMMYFUNCTION("""COMPUTED_VALUE"""),2.0)</f>
        <v>2</v>
      </c>
      <c r="CC234" s="61">
        <f>IFERROR(__xludf.DUMMYFUNCTION("""COMPUTED_VALUE"""),1.25)</f>
        <v>1.25</v>
      </c>
      <c r="CD234" s="62" t="str">
        <f>IFERROR(__xludf.DUMMYFUNCTION("""COMPUTED_VALUE"""),"subpar")</f>
        <v>subpar</v>
      </c>
      <c r="CE234" s="22" t="s">
        <v>151</v>
      </c>
      <c r="CF234" s="24">
        <v>12.0</v>
      </c>
      <c r="CG234" s="22" t="b">
        <v>0</v>
      </c>
      <c r="CH234" s="22" t="b">
        <v>0</v>
      </c>
      <c r="CI234" s="22"/>
      <c r="CJ234" s="22">
        <v>0.0</v>
      </c>
      <c r="CK234" s="22">
        <v>1.0</v>
      </c>
      <c r="CL234" s="22">
        <v>0.0</v>
      </c>
      <c r="CM234" s="22">
        <v>0.0</v>
      </c>
      <c r="CN234" s="22">
        <v>0.0</v>
      </c>
      <c r="CO234" s="22">
        <v>0.0</v>
      </c>
      <c r="CP234" s="22">
        <v>0.0</v>
      </c>
      <c r="CQ234" s="22">
        <v>0.0</v>
      </c>
      <c r="CR234" s="22">
        <v>1.0</v>
      </c>
      <c r="CS234" s="22">
        <v>0.0</v>
      </c>
      <c r="CT234" s="22">
        <v>1.0</v>
      </c>
      <c r="CU234" s="22">
        <v>0.0</v>
      </c>
      <c r="CV234" s="22">
        <v>0.0</v>
      </c>
      <c r="CW234" s="22">
        <v>0.0</v>
      </c>
      <c r="CX234" s="22">
        <v>1.0</v>
      </c>
      <c r="CY234" s="22">
        <v>2.0</v>
      </c>
      <c r="CZ234" s="61">
        <v>1.25</v>
      </c>
      <c r="DA234" s="62" t="s">
        <v>568</v>
      </c>
    </row>
    <row r="235">
      <c r="A235" s="16" t="s">
        <v>492</v>
      </c>
      <c r="B235" s="16" t="s">
        <v>493</v>
      </c>
      <c r="C235" s="17" t="s">
        <v>51</v>
      </c>
      <c r="D235" s="16" t="s">
        <v>5</v>
      </c>
      <c r="E235" s="17" t="b">
        <f t="shared" ref="E235:K235" si="1176">If(IFERROR(SEARCH(E$1, $D235),0) &gt;= 1, true,false)</f>
        <v>0</v>
      </c>
      <c r="F235" s="17" t="b">
        <f t="shared" si="1176"/>
        <v>1</v>
      </c>
      <c r="G235" s="17" t="b">
        <f t="shared" si="1176"/>
        <v>0</v>
      </c>
      <c r="H235" s="17" t="b">
        <f t="shared" si="1176"/>
        <v>0</v>
      </c>
      <c r="I235" s="17" t="b">
        <f t="shared" si="1176"/>
        <v>0</v>
      </c>
      <c r="J235" s="17" t="b">
        <f t="shared" si="1176"/>
        <v>0</v>
      </c>
      <c r="K235" s="17" t="b">
        <f t="shared" si="1176"/>
        <v>0</v>
      </c>
      <c r="L235" s="18" t="b">
        <v>1</v>
      </c>
      <c r="M235" s="18" t="b">
        <v>0</v>
      </c>
      <c r="N235" s="18" t="b">
        <v>1</v>
      </c>
      <c r="O235" s="18" t="b">
        <v>0</v>
      </c>
      <c r="P235" s="16" t="str">
        <f t="shared" si="7"/>
        <v>Planetarium Brussel</v>
      </c>
      <c r="Q235" s="19">
        <v>8.0</v>
      </c>
      <c r="R235" s="18" t="b">
        <v>0</v>
      </c>
      <c r="S235" s="18" t="b">
        <v>0</v>
      </c>
      <c r="T235" s="16"/>
      <c r="U235" s="21">
        <f t="shared" si="8"/>
        <v>0</v>
      </c>
      <c r="V235" s="21">
        <f t="shared" ref="V235:AB235" si="1177">if(OR(AW235 = $AO$4, AW235 = $AQ$4), 1, 0)</f>
        <v>0</v>
      </c>
      <c r="W235" s="21">
        <f t="shared" si="1177"/>
        <v>0</v>
      </c>
      <c r="X235" s="21">
        <f t="shared" si="1177"/>
        <v>0</v>
      </c>
      <c r="Y235" s="21">
        <f t="shared" si="1177"/>
        <v>0</v>
      </c>
      <c r="Z235" s="21">
        <f t="shared" si="1177"/>
        <v>0</v>
      </c>
      <c r="AA235" s="21">
        <f t="shared" si="1177"/>
        <v>0</v>
      </c>
      <c r="AB235" s="21">
        <f t="shared" si="1177"/>
        <v>0</v>
      </c>
      <c r="AC235" s="21">
        <f t="shared" si="10"/>
        <v>0</v>
      </c>
      <c r="AD235" s="21">
        <f t="shared" si="11"/>
        <v>1</v>
      </c>
      <c r="AE235" s="21">
        <f t="shared" ref="AE235:AH235" si="1178">if(OR(BD235 = $AO$6, BD235 = $AS$6, BD235 = $AT$6, BD235 = $AU$6), 1, 0)</f>
        <v>1</v>
      </c>
      <c r="AF235" s="21">
        <f t="shared" si="1178"/>
        <v>0</v>
      </c>
      <c r="AG235" s="21">
        <f t="shared" si="1178"/>
        <v>1</v>
      </c>
      <c r="AH235" s="21">
        <f t="shared" si="1178"/>
        <v>0</v>
      </c>
      <c r="AI235" s="21">
        <f t="shared" si="13"/>
        <v>2</v>
      </c>
      <c r="AJ235" s="21">
        <f t="shared" si="14"/>
        <v>3</v>
      </c>
      <c r="AK235" s="59">
        <f t="shared" si="15"/>
        <v>1.875</v>
      </c>
      <c r="AL235" s="60" t="str">
        <f t="shared" si="16"/>
        <v>subpar</v>
      </c>
      <c r="AW235" s="22">
        <f t="shared" ref="AW235:BC235" si="1179">IF(IFERROR(SEARCH(E$1, $D235),0) &gt;= 1, E$1,0)</f>
        <v>0</v>
      </c>
      <c r="AX235" s="22" t="str">
        <f t="shared" si="1179"/>
        <v>Wetenschap en technologie</v>
      </c>
      <c r="AY235" s="22">
        <f t="shared" si="1179"/>
        <v>0</v>
      </c>
      <c r="AZ235" s="22">
        <f t="shared" si="1179"/>
        <v>0</v>
      </c>
      <c r="BA235" s="22">
        <f t="shared" si="1179"/>
        <v>0</v>
      </c>
      <c r="BB235" s="22">
        <f t="shared" si="1179"/>
        <v>0</v>
      </c>
      <c r="BC235" s="22">
        <f t="shared" si="1179"/>
        <v>0</v>
      </c>
      <c r="BD235" s="22" t="str">
        <f t="shared" ref="BD235:BG235" si="1180">IF(L235 = true, BD$1, 0)</f>
        <v>Shop</v>
      </c>
      <c r="BE235" s="22">
        <f t="shared" si="1180"/>
        <v>0</v>
      </c>
      <c r="BF235" s="22" t="str">
        <f t="shared" si="1180"/>
        <v>Parking</v>
      </c>
      <c r="BG235" s="22">
        <f t="shared" si="1180"/>
        <v>0</v>
      </c>
      <c r="BH235" s="22" t="str">
        <f>IFERROR(__xludf.DUMMYFUNCTION("""COMPUTED_VALUE"""),"Erfgoedbibliotheek Hendrik Conscience - Nottebohmzaal")</f>
        <v>Erfgoedbibliotheek Hendrik Conscience - Nottebohmzaal</v>
      </c>
      <c r="BI235" s="24">
        <f>IFERROR(__xludf.DUMMYFUNCTION("""COMPUTED_VALUE"""),0.0)</f>
        <v>0</v>
      </c>
      <c r="BJ235" s="22" t="b">
        <f>IFERROR(__xludf.DUMMYFUNCTION("""COMPUTED_VALUE"""),FALSE)</f>
        <v>0</v>
      </c>
      <c r="BK235" s="22" t="b">
        <f>IFERROR(__xludf.DUMMYFUNCTION("""COMPUTED_VALUE"""),FALSE)</f>
        <v>0</v>
      </c>
      <c r="BL235" s="22"/>
      <c r="BM235" s="22">
        <f>IFERROR(__xludf.DUMMYFUNCTION("""COMPUTED_VALUE"""),0.0)</f>
        <v>0</v>
      </c>
      <c r="BN235" s="22">
        <f>IFERROR(__xludf.DUMMYFUNCTION("""COMPUTED_VALUE"""),1.0)</f>
        <v>1</v>
      </c>
      <c r="BO235" s="22">
        <f>IFERROR(__xludf.DUMMYFUNCTION("""COMPUTED_VALUE"""),0.0)</f>
        <v>0</v>
      </c>
      <c r="BP235" s="22">
        <f>IFERROR(__xludf.DUMMYFUNCTION("""COMPUTED_VALUE"""),0.0)</f>
        <v>0</v>
      </c>
      <c r="BQ235" s="22">
        <f>IFERROR(__xludf.DUMMYFUNCTION("""COMPUTED_VALUE"""),0.0)</f>
        <v>0</v>
      </c>
      <c r="BR235" s="22">
        <f>IFERROR(__xludf.DUMMYFUNCTION("""COMPUTED_VALUE"""),0.0)</f>
        <v>0</v>
      </c>
      <c r="BS235" s="22">
        <f>IFERROR(__xludf.DUMMYFUNCTION("""COMPUTED_VALUE"""),0.0)</f>
        <v>0</v>
      </c>
      <c r="BT235" s="22">
        <f>IFERROR(__xludf.DUMMYFUNCTION("""COMPUTED_VALUE"""),0.0)</f>
        <v>0</v>
      </c>
      <c r="BU235" s="22">
        <f>IFERROR(__xludf.DUMMYFUNCTION("""COMPUTED_VALUE"""),1.0)</f>
        <v>1</v>
      </c>
      <c r="BV235" s="22">
        <f>IFERROR(__xludf.DUMMYFUNCTION("""COMPUTED_VALUE"""),1.0)</f>
        <v>1</v>
      </c>
      <c r="BW235" s="22">
        <f>IFERROR(__xludf.DUMMYFUNCTION("""COMPUTED_VALUE"""),0.0)</f>
        <v>0</v>
      </c>
      <c r="BX235" s="22">
        <f>IFERROR(__xludf.DUMMYFUNCTION("""COMPUTED_VALUE"""),0.0)</f>
        <v>0</v>
      </c>
      <c r="BY235" s="22">
        <f>IFERROR(__xludf.DUMMYFUNCTION("""COMPUTED_VALUE"""),0.0)</f>
        <v>0</v>
      </c>
      <c r="BZ235" s="22">
        <f>IFERROR(__xludf.DUMMYFUNCTION("""COMPUTED_VALUE"""),0.0)</f>
        <v>0</v>
      </c>
      <c r="CA235" s="22">
        <f>IFERROR(__xludf.DUMMYFUNCTION("""COMPUTED_VALUE"""),0.0)</f>
        <v>0</v>
      </c>
      <c r="CB235" s="22">
        <f>IFERROR(__xludf.DUMMYFUNCTION("""COMPUTED_VALUE"""),2.0)</f>
        <v>2</v>
      </c>
      <c r="CC235" s="61">
        <f>IFERROR(__xludf.DUMMYFUNCTION("""COMPUTED_VALUE"""),1.25)</f>
        <v>1.25</v>
      </c>
      <c r="CD235" s="62" t="str">
        <f>IFERROR(__xludf.DUMMYFUNCTION("""COMPUTED_VALUE"""),"subpar")</f>
        <v>subpar</v>
      </c>
      <c r="CE235" s="22" t="s">
        <v>154</v>
      </c>
      <c r="CF235" s="24">
        <v>0.0</v>
      </c>
      <c r="CG235" s="22" t="b">
        <v>0</v>
      </c>
      <c r="CH235" s="22" t="b">
        <v>0</v>
      </c>
      <c r="CI235" s="22"/>
      <c r="CJ235" s="22">
        <v>0.0</v>
      </c>
      <c r="CK235" s="22">
        <v>1.0</v>
      </c>
      <c r="CL235" s="22">
        <v>0.0</v>
      </c>
      <c r="CM235" s="22">
        <v>0.0</v>
      </c>
      <c r="CN235" s="22">
        <v>0.0</v>
      </c>
      <c r="CO235" s="22">
        <v>0.0</v>
      </c>
      <c r="CP235" s="22">
        <v>0.0</v>
      </c>
      <c r="CQ235" s="22">
        <v>0.0</v>
      </c>
      <c r="CR235" s="22">
        <v>1.0</v>
      </c>
      <c r="CS235" s="22">
        <v>1.0</v>
      </c>
      <c r="CT235" s="22">
        <v>0.0</v>
      </c>
      <c r="CU235" s="22">
        <v>0.0</v>
      </c>
      <c r="CV235" s="22">
        <v>0.0</v>
      </c>
      <c r="CW235" s="22">
        <v>0.0</v>
      </c>
      <c r="CX235" s="22">
        <v>0.0</v>
      </c>
      <c r="CY235" s="22">
        <v>2.0</v>
      </c>
      <c r="CZ235" s="61">
        <v>1.25</v>
      </c>
      <c r="DA235" s="62" t="s">
        <v>568</v>
      </c>
    </row>
    <row r="236">
      <c r="A236" s="16" t="s">
        <v>494</v>
      </c>
      <c r="B236" s="16" t="s">
        <v>495</v>
      </c>
      <c r="C236" s="17" t="s">
        <v>51</v>
      </c>
      <c r="D236" s="16" t="s">
        <v>319</v>
      </c>
      <c r="E236" s="17" t="b">
        <f t="shared" ref="E236:K236" si="1181">If(IFERROR(SEARCH(E$1, $D236),0) &gt;= 1, true,false)</f>
        <v>1</v>
      </c>
      <c r="F236" s="17" t="b">
        <f t="shared" si="1181"/>
        <v>0</v>
      </c>
      <c r="G236" s="17" t="b">
        <f t="shared" si="1181"/>
        <v>0</v>
      </c>
      <c r="H236" s="17" t="b">
        <f t="shared" si="1181"/>
        <v>0</v>
      </c>
      <c r="I236" s="17" t="b">
        <f t="shared" si="1181"/>
        <v>1</v>
      </c>
      <c r="J236" s="17" t="b">
        <f t="shared" si="1181"/>
        <v>0</v>
      </c>
      <c r="K236" s="17" t="b">
        <f t="shared" si="1181"/>
        <v>0</v>
      </c>
      <c r="L236" s="18" t="b">
        <v>1</v>
      </c>
      <c r="M236" s="18" t="b">
        <v>0</v>
      </c>
      <c r="N236" s="18" t="b">
        <v>0</v>
      </c>
      <c r="O236" s="18" t="b">
        <v>0</v>
      </c>
      <c r="P236" s="16" t="str">
        <f t="shared" si="7"/>
        <v>Hallepoort</v>
      </c>
      <c r="Q236" s="19">
        <v>7.0</v>
      </c>
      <c r="R236" s="18" t="b">
        <v>0</v>
      </c>
      <c r="S236" s="18" t="b">
        <v>0</v>
      </c>
      <c r="T236" s="32"/>
      <c r="U236" s="21">
        <f t="shared" si="8"/>
        <v>0</v>
      </c>
      <c r="V236" s="21">
        <f t="shared" ref="V236:AB236" si="1182">if(OR(AW236 = $AO$4, AW236 = $AQ$4), 1, 0)</f>
        <v>1</v>
      </c>
      <c r="W236" s="21">
        <f t="shared" si="1182"/>
        <v>0</v>
      </c>
      <c r="X236" s="21">
        <f t="shared" si="1182"/>
        <v>0</v>
      </c>
      <c r="Y236" s="21">
        <f t="shared" si="1182"/>
        <v>0</v>
      </c>
      <c r="Z236" s="21">
        <f t="shared" si="1182"/>
        <v>0</v>
      </c>
      <c r="AA236" s="21">
        <f t="shared" si="1182"/>
        <v>0</v>
      </c>
      <c r="AB236" s="21">
        <f t="shared" si="1182"/>
        <v>0</v>
      </c>
      <c r="AC236" s="21">
        <f t="shared" si="10"/>
        <v>1</v>
      </c>
      <c r="AD236" s="21">
        <f t="shared" si="11"/>
        <v>1</v>
      </c>
      <c r="AE236" s="21">
        <f t="shared" ref="AE236:AH236" si="1183">if(OR(BD236 = $AO$6, BD236 = $AS$6, BD236 = $AT$6, BD236 = $AU$6), 1, 0)</f>
        <v>1</v>
      </c>
      <c r="AF236" s="21">
        <f t="shared" si="1183"/>
        <v>0</v>
      </c>
      <c r="AG236" s="21">
        <f t="shared" si="1183"/>
        <v>0</v>
      </c>
      <c r="AH236" s="21">
        <f t="shared" si="1183"/>
        <v>0</v>
      </c>
      <c r="AI236" s="21">
        <f t="shared" si="13"/>
        <v>1</v>
      </c>
      <c r="AJ236" s="21">
        <f t="shared" si="14"/>
        <v>3</v>
      </c>
      <c r="AK236" s="59">
        <f t="shared" si="15"/>
        <v>1.875</v>
      </c>
      <c r="AL236" s="60" t="str">
        <f t="shared" si="16"/>
        <v>subpar</v>
      </c>
      <c r="AW236" s="22" t="str">
        <f t="shared" ref="AW236:BC236" si="1184">IF(IFERROR(SEARCH(E$1, $D236),0) &gt;= 1, E$1,0)</f>
        <v>Geschiedenis en archeologie</v>
      </c>
      <c r="AX236" s="22">
        <f t="shared" si="1184"/>
        <v>0</v>
      </c>
      <c r="AY236" s="22">
        <f t="shared" si="1184"/>
        <v>0</v>
      </c>
      <c r="AZ236" s="22">
        <f t="shared" si="1184"/>
        <v>0</v>
      </c>
      <c r="BA236" s="22" t="str">
        <f t="shared" si="1184"/>
        <v>Architectuur</v>
      </c>
      <c r="BB236" s="22">
        <f t="shared" si="1184"/>
        <v>0</v>
      </c>
      <c r="BC236" s="22">
        <f t="shared" si="1184"/>
        <v>0</v>
      </c>
      <c r="BD236" s="22" t="str">
        <f t="shared" ref="BD236:BG236" si="1185">IF(L236 = true, BD$1, 0)</f>
        <v>Shop</v>
      </c>
      <c r="BE236" s="22">
        <f t="shared" si="1185"/>
        <v>0</v>
      </c>
      <c r="BF236" s="22">
        <f t="shared" si="1185"/>
        <v>0</v>
      </c>
      <c r="BG236" s="22">
        <f t="shared" si="1185"/>
        <v>0</v>
      </c>
      <c r="BH236" s="22" t="str">
        <f>IFERROR(__xludf.DUMMYFUNCTION("""COMPUTED_VALUE"""),"Fort van Breendonk")</f>
        <v>Fort van Breendonk</v>
      </c>
      <c r="BI236" s="24">
        <f>IFERROR(__xludf.DUMMYFUNCTION("""COMPUTED_VALUE"""),12.0)</f>
        <v>12</v>
      </c>
      <c r="BJ236" s="22" t="b">
        <f>IFERROR(__xludf.DUMMYFUNCTION("""COMPUTED_VALUE"""),FALSE)</f>
        <v>0</v>
      </c>
      <c r="BK236" s="22" t="b">
        <f>IFERROR(__xludf.DUMMYFUNCTION("""COMPUTED_VALUE"""),FALSE)</f>
        <v>0</v>
      </c>
      <c r="BL236" s="22"/>
      <c r="BM236" s="22">
        <f>IFERROR(__xludf.DUMMYFUNCTION("""COMPUTED_VALUE"""),0.0)</f>
        <v>0</v>
      </c>
      <c r="BN236" s="22">
        <f>IFERROR(__xludf.DUMMYFUNCTION("""COMPUTED_VALUE"""),1.0)</f>
        <v>1</v>
      </c>
      <c r="BO236" s="22">
        <f>IFERROR(__xludf.DUMMYFUNCTION("""COMPUTED_VALUE"""),0.0)</f>
        <v>0</v>
      </c>
      <c r="BP236" s="22">
        <f>IFERROR(__xludf.DUMMYFUNCTION("""COMPUTED_VALUE"""),0.0)</f>
        <v>0</v>
      </c>
      <c r="BQ236" s="22">
        <f>IFERROR(__xludf.DUMMYFUNCTION("""COMPUTED_VALUE"""),0.0)</f>
        <v>0</v>
      </c>
      <c r="BR236" s="22">
        <f>IFERROR(__xludf.DUMMYFUNCTION("""COMPUTED_VALUE"""),0.0)</f>
        <v>0</v>
      </c>
      <c r="BS236" s="22">
        <f>IFERROR(__xludf.DUMMYFUNCTION("""COMPUTED_VALUE"""),0.0)</f>
        <v>0</v>
      </c>
      <c r="BT236" s="22">
        <f>IFERROR(__xludf.DUMMYFUNCTION("""COMPUTED_VALUE"""),0.0)</f>
        <v>0</v>
      </c>
      <c r="BU236" s="22">
        <f>IFERROR(__xludf.DUMMYFUNCTION("""COMPUTED_VALUE"""),1.0)</f>
        <v>1</v>
      </c>
      <c r="BV236" s="22">
        <f>IFERROR(__xludf.DUMMYFUNCTION("""COMPUTED_VALUE"""),0.0)</f>
        <v>0</v>
      </c>
      <c r="BW236" s="22">
        <f>IFERROR(__xludf.DUMMYFUNCTION("""COMPUTED_VALUE"""),0.0)</f>
        <v>0</v>
      </c>
      <c r="BX236" s="22">
        <f>IFERROR(__xludf.DUMMYFUNCTION("""COMPUTED_VALUE"""),0.0)</f>
        <v>0</v>
      </c>
      <c r="BY236" s="22">
        <f>IFERROR(__xludf.DUMMYFUNCTION("""COMPUTED_VALUE"""),1.0)</f>
        <v>1</v>
      </c>
      <c r="BZ236" s="22">
        <f>IFERROR(__xludf.DUMMYFUNCTION("""COMPUTED_VALUE"""),0.0)</f>
        <v>0</v>
      </c>
      <c r="CA236" s="22">
        <f>IFERROR(__xludf.DUMMYFUNCTION("""COMPUTED_VALUE"""),1.0)</f>
        <v>1</v>
      </c>
      <c r="CB236" s="22">
        <f>IFERROR(__xludf.DUMMYFUNCTION("""COMPUTED_VALUE"""),2.0)</f>
        <v>2</v>
      </c>
      <c r="CC236" s="61">
        <f>IFERROR(__xludf.DUMMYFUNCTION("""COMPUTED_VALUE"""),1.25)</f>
        <v>1.25</v>
      </c>
      <c r="CD236" s="62" t="str">
        <f>IFERROR(__xludf.DUMMYFUNCTION("""COMPUTED_VALUE"""),"subpar")</f>
        <v>subpar</v>
      </c>
      <c r="CE236" s="22" t="s">
        <v>159</v>
      </c>
      <c r="CF236" s="24">
        <v>12.0</v>
      </c>
      <c r="CG236" s="22" t="b">
        <v>0</v>
      </c>
      <c r="CH236" s="22" t="b">
        <v>0</v>
      </c>
      <c r="CI236" s="22"/>
      <c r="CJ236" s="22">
        <v>0.0</v>
      </c>
      <c r="CK236" s="22">
        <v>1.0</v>
      </c>
      <c r="CL236" s="22">
        <v>0.0</v>
      </c>
      <c r="CM236" s="22">
        <v>0.0</v>
      </c>
      <c r="CN236" s="22">
        <v>0.0</v>
      </c>
      <c r="CO236" s="22">
        <v>0.0</v>
      </c>
      <c r="CP236" s="22">
        <v>0.0</v>
      </c>
      <c r="CQ236" s="22">
        <v>0.0</v>
      </c>
      <c r="CR236" s="22">
        <v>1.0</v>
      </c>
      <c r="CS236" s="22">
        <v>0.0</v>
      </c>
      <c r="CT236" s="22">
        <v>0.0</v>
      </c>
      <c r="CU236" s="22">
        <v>0.0</v>
      </c>
      <c r="CV236" s="22">
        <v>1.0</v>
      </c>
      <c r="CW236" s="22">
        <v>0.0</v>
      </c>
      <c r="CX236" s="22">
        <v>1.0</v>
      </c>
      <c r="CY236" s="22">
        <v>2.0</v>
      </c>
      <c r="CZ236" s="61">
        <v>1.25</v>
      </c>
      <c r="DA236" s="62" t="s">
        <v>568</v>
      </c>
    </row>
    <row r="237">
      <c r="A237" s="16" t="s">
        <v>496</v>
      </c>
      <c r="B237" s="16" t="s">
        <v>497</v>
      </c>
      <c r="C237" s="17" t="s">
        <v>51</v>
      </c>
      <c r="D237" s="16" t="s">
        <v>9</v>
      </c>
      <c r="E237" s="17" t="b">
        <f t="shared" ref="E237:K237" si="1186">If(IFERROR(SEARCH(E$1, $D237),0) &gt;= 1, true,false)</f>
        <v>0</v>
      </c>
      <c r="F237" s="17" t="b">
        <f t="shared" si="1186"/>
        <v>0</v>
      </c>
      <c r="G237" s="17" t="b">
        <f t="shared" si="1186"/>
        <v>0</v>
      </c>
      <c r="H237" s="17" t="b">
        <f t="shared" si="1186"/>
        <v>0</v>
      </c>
      <c r="I237" s="17" t="b">
        <f t="shared" si="1186"/>
        <v>0</v>
      </c>
      <c r="J237" s="17" t="b">
        <f t="shared" si="1186"/>
        <v>1</v>
      </c>
      <c r="K237" s="17" t="b">
        <f t="shared" si="1186"/>
        <v>0</v>
      </c>
      <c r="L237" s="18" t="b">
        <v>1</v>
      </c>
      <c r="M237" s="18" t="b">
        <v>1</v>
      </c>
      <c r="N237" s="18" t="b">
        <v>1</v>
      </c>
      <c r="O237" s="18" t="b">
        <v>1</v>
      </c>
      <c r="P237" s="16" t="str">
        <f t="shared" si="7"/>
        <v>Centrum voor Hedendaagse Kunst</v>
      </c>
      <c r="Q237" s="19">
        <v>12.0</v>
      </c>
      <c r="R237" s="18" t="b">
        <v>0</v>
      </c>
      <c r="S237" s="18" t="b">
        <v>1</v>
      </c>
      <c r="T237" s="35">
        <v>12.0</v>
      </c>
      <c r="U237" s="21">
        <f t="shared" si="8"/>
        <v>0</v>
      </c>
      <c r="V237" s="21">
        <f t="shared" ref="V237:AB237" si="1187">if(OR(AW237 = $AO$4, AW237 = $AQ$4), 1, 0)</f>
        <v>0</v>
      </c>
      <c r="W237" s="21">
        <f t="shared" si="1187"/>
        <v>0</v>
      </c>
      <c r="X237" s="21">
        <f t="shared" si="1187"/>
        <v>0</v>
      </c>
      <c r="Y237" s="21">
        <f t="shared" si="1187"/>
        <v>0</v>
      </c>
      <c r="Z237" s="21">
        <f t="shared" si="1187"/>
        <v>0</v>
      </c>
      <c r="AA237" s="21">
        <f t="shared" si="1187"/>
        <v>1</v>
      </c>
      <c r="AB237" s="21">
        <f t="shared" si="1187"/>
        <v>0</v>
      </c>
      <c r="AC237" s="21">
        <f t="shared" si="10"/>
        <v>1</v>
      </c>
      <c r="AD237" s="21">
        <f t="shared" si="11"/>
        <v>0</v>
      </c>
      <c r="AE237" s="21">
        <f t="shared" ref="AE237:AH237" si="1188">if(OR(BD237 = $AO$6, BD237 = $AS$6, BD237 = $AT$6, BD237 = $AU$6), 1, 0)</f>
        <v>1</v>
      </c>
      <c r="AF237" s="21">
        <f t="shared" si="1188"/>
        <v>1</v>
      </c>
      <c r="AG237" s="21">
        <f t="shared" si="1188"/>
        <v>1</v>
      </c>
      <c r="AH237" s="21">
        <f t="shared" si="1188"/>
        <v>1</v>
      </c>
      <c r="AI237" s="21">
        <f t="shared" si="13"/>
        <v>4</v>
      </c>
      <c r="AJ237" s="21">
        <f t="shared" si="14"/>
        <v>5</v>
      </c>
      <c r="AK237" s="59">
        <f t="shared" si="15"/>
        <v>3.125</v>
      </c>
      <c r="AL237" s="60" t="str">
        <f t="shared" si="16"/>
        <v>good</v>
      </c>
      <c r="AW237" s="22">
        <f t="shared" ref="AW237:BC237" si="1189">IF(IFERROR(SEARCH(E$1, $D237),0) &gt;= 1, E$1,0)</f>
        <v>0</v>
      </c>
      <c r="AX237" s="22">
        <f t="shared" si="1189"/>
        <v>0</v>
      </c>
      <c r="AY237" s="22">
        <f t="shared" si="1189"/>
        <v>0</v>
      </c>
      <c r="AZ237" s="22">
        <f t="shared" si="1189"/>
        <v>0</v>
      </c>
      <c r="BA237" s="22">
        <f t="shared" si="1189"/>
        <v>0</v>
      </c>
      <c r="BB237" s="22" t="str">
        <f t="shared" si="1189"/>
        <v>Beeldende kunst</v>
      </c>
      <c r="BC237" s="22">
        <f t="shared" si="1189"/>
        <v>0</v>
      </c>
      <c r="BD237" s="22" t="str">
        <f t="shared" ref="BD237:BG237" si="1190">IF(L237 = true, BD$1, 0)</f>
        <v>Shop</v>
      </c>
      <c r="BE237" s="22" t="str">
        <f t="shared" si="1190"/>
        <v>Café</v>
      </c>
      <c r="BF237" s="22" t="str">
        <f t="shared" si="1190"/>
        <v>Parking</v>
      </c>
      <c r="BG237" s="22" t="str">
        <f t="shared" si="1190"/>
        <v>Restaurant</v>
      </c>
      <c r="BH237" s="22" t="str">
        <f>IFERROR(__xludf.DUMMYFUNCTION("""COMPUTED_VALUE"""),"MoMu | ModeMuseum Antwerpen")</f>
        <v>MoMu | ModeMuseum Antwerpen</v>
      </c>
      <c r="BI237" s="24">
        <f>IFERROR(__xludf.DUMMYFUNCTION("""COMPUTED_VALUE"""),12.0)</f>
        <v>12</v>
      </c>
      <c r="BJ237" s="22" t="b">
        <f>IFERROR(__xludf.DUMMYFUNCTION("""COMPUTED_VALUE"""),FALSE)</f>
        <v>0</v>
      </c>
      <c r="BK237" s="22" t="b">
        <f>IFERROR(__xludf.DUMMYFUNCTION("""COMPUTED_VALUE"""),TRUE)</f>
        <v>1</v>
      </c>
      <c r="BL237" s="24">
        <f>IFERROR(__xludf.DUMMYFUNCTION("""COMPUTED_VALUE"""),12.0)</f>
        <v>12</v>
      </c>
      <c r="BM237" s="22">
        <f>IFERROR(__xludf.DUMMYFUNCTION("""COMPUTED_VALUE"""),0.0)</f>
        <v>0</v>
      </c>
      <c r="BN237" s="22">
        <f>IFERROR(__xludf.DUMMYFUNCTION("""COMPUTED_VALUE"""),0.0)</f>
        <v>0</v>
      </c>
      <c r="BO237" s="22">
        <f>IFERROR(__xludf.DUMMYFUNCTION("""COMPUTED_VALUE"""),0.0)</f>
        <v>0</v>
      </c>
      <c r="BP237" s="22">
        <f>IFERROR(__xludf.DUMMYFUNCTION("""COMPUTED_VALUE"""),0.0)</f>
        <v>0</v>
      </c>
      <c r="BQ237" s="22">
        <f>IFERROR(__xludf.DUMMYFUNCTION("""COMPUTED_VALUE"""),0.0)</f>
        <v>0</v>
      </c>
      <c r="BR237" s="22">
        <f>IFERROR(__xludf.DUMMYFUNCTION("""COMPUTED_VALUE"""),0.0)</f>
        <v>0</v>
      </c>
      <c r="BS237" s="22">
        <f>IFERROR(__xludf.DUMMYFUNCTION("""COMPUTED_VALUE"""),0.0)</f>
        <v>0</v>
      </c>
      <c r="BT237" s="22">
        <f>IFERROR(__xludf.DUMMYFUNCTION("""COMPUTED_VALUE"""),0.0)</f>
        <v>0</v>
      </c>
      <c r="BU237" s="22">
        <f>IFERROR(__xludf.DUMMYFUNCTION("""COMPUTED_VALUE"""),0.0)</f>
        <v>0</v>
      </c>
      <c r="BV237" s="22">
        <f>IFERROR(__xludf.DUMMYFUNCTION("""COMPUTED_VALUE"""),0.0)</f>
        <v>0</v>
      </c>
      <c r="BW237" s="22">
        <f>IFERROR(__xludf.DUMMYFUNCTION("""COMPUTED_VALUE"""),1.0)</f>
        <v>1</v>
      </c>
      <c r="BX237" s="22">
        <f>IFERROR(__xludf.DUMMYFUNCTION("""COMPUTED_VALUE"""),1.0)</f>
        <v>1</v>
      </c>
      <c r="BY237" s="22">
        <f>IFERROR(__xludf.DUMMYFUNCTION("""COMPUTED_VALUE"""),0.0)</f>
        <v>0</v>
      </c>
      <c r="BZ237" s="22">
        <f>IFERROR(__xludf.DUMMYFUNCTION("""COMPUTED_VALUE"""),0.0)</f>
        <v>0</v>
      </c>
      <c r="CA237" s="22">
        <f>IFERROR(__xludf.DUMMYFUNCTION("""COMPUTED_VALUE"""),2.0)</f>
        <v>2</v>
      </c>
      <c r="CB237" s="22">
        <f>IFERROR(__xludf.DUMMYFUNCTION("""COMPUTED_VALUE"""),2.0)</f>
        <v>2</v>
      </c>
      <c r="CC237" s="61">
        <f>IFERROR(__xludf.DUMMYFUNCTION("""COMPUTED_VALUE"""),1.25)</f>
        <v>1.25</v>
      </c>
      <c r="CD237" s="62" t="str">
        <f>IFERROR(__xludf.DUMMYFUNCTION("""COMPUTED_VALUE"""),"subpar")</f>
        <v>subpar</v>
      </c>
      <c r="CE237" s="22" t="s">
        <v>183</v>
      </c>
      <c r="CF237" s="24">
        <v>12.0</v>
      </c>
      <c r="CG237" s="22" t="b">
        <v>0</v>
      </c>
      <c r="CH237" s="22" t="b">
        <v>1</v>
      </c>
      <c r="CI237" s="24">
        <v>12.0</v>
      </c>
      <c r="CJ237" s="22">
        <v>0.0</v>
      </c>
      <c r="CK237" s="22">
        <v>0.0</v>
      </c>
      <c r="CL237" s="22">
        <v>0.0</v>
      </c>
      <c r="CM237" s="22">
        <v>0.0</v>
      </c>
      <c r="CN237" s="22">
        <v>0.0</v>
      </c>
      <c r="CO237" s="22">
        <v>0.0</v>
      </c>
      <c r="CP237" s="22">
        <v>0.0</v>
      </c>
      <c r="CQ237" s="22">
        <v>0.0</v>
      </c>
      <c r="CR237" s="22">
        <v>0.0</v>
      </c>
      <c r="CS237" s="22">
        <v>0.0</v>
      </c>
      <c r="CT237" s="22">
        <v>1.0</v>
      </c>
      <c r="CU237" s="22">
        <v>1.0</v>
      </c>
      <c r="CV237" s="22">
        <v>0.0</v>
      </c>
      <c r="CW237" s="22">
        <v>0.0</v>
      </c>
      <c r="CX237" s="22">
        <v>2.0</v>
      </c>
      <c r="CY237" s="22">
        <v>2.0</v>
      </c>
      <c r="CZ237" s="61">
        <v>1.25</v>
      </c>
      <c r="DA237" s="62" t="s">
        <v>568</v>
      </c>
    </row>
    <row r="238">
      <c r="A238" s="16" t="s">
        <v>498</v>
      </c>
      <c r="B238" s="16"/>
      <c r="C238" s="17" t="s">
        <v>51</v>
      </c>
      <c r="D238" s="16" t="s">
        <v>499</v>
      </c>
      <c r="E238" s="17" t="b">
        <f t="shared" ref="E238:K238" si="1191">If(IFERROR(SEARCH(E$1, $D238),0) &gt;= 1, true,false)</f>
        <v>0</v>
      </c>
      <c r="F238" s="17" t="b">
        <f t="shared" si="1191"/>
        <v>0</v>
      </c>
      <c r="G238" s="17" t="b">
        <f t="shared" si="1191"/>
        <v>0</v>
      </c>
      <c r="H238" s="17" t="b">
        <f t="shared" si="1191"/>
        <v>1</v>
      </c>
      <c r="I238" s="17" t="b">
        <f t="shared" si="1191"/>
        <v>0</v>
      </c>
      <c r="J238" s="17" t="b">
        <f t="shared" si="1191"/>
        <v>1</v>
      </c>
      <c r="K238" s="17" t="b">
        <f t="shared" si="1191"/>
        <v>1</v>
      </c>
      <c r="L238" s="18" t="b">
        <v>1</v>
      </c>
      <c r="M238" s="18" t="b">
        <v>0</v>
      </c>
      <c r="N238" s="18" t="b">
        <v>0</v>
      </c>
      <c r="O238" s="18" t="b">
        <v>0</v>
      </c>
      <c r="P238" s="16" t="str">
        <f t="shared" si="7"/>
        <v>Wittockiana</v>
      </c>
      <c r="Q238" s="19">
        <v>7.0</v>
      </c>
      <c r="R238" s="18" t="b">
        <v>0</v>
      </c>
      <c r="S238" s="18" t="b">
        <v>0</v>
      </c>
      <c r="T238" s="33"/>
      <c r="U238" s="21">
        <f t="shared" si="8"/>
        <v>0</v>
      </c>
      <c r="V238" s="21">
        <f t="shared" ref="V238:AB238" si="1192">if(OR(AW238 = $AO$4, AW238 = $AQ$4), 1, 0)</f>
        <v>0</v>
      </c>
      <c r="W238" s="21">
        <f t="shared" si="1192"/>
        <v>0</v>
      </c>
      <c r="X238" s="21">
        <f t="shared" si="1192"/>
        <v>0</v>
      </c>
      <c r="Y238" s="21">
        <f t="shared" si="1192"/>
        <v>0</v>
      </c>
      <c r="Z238" s="21">
        <f t="shared" si="1192"/>
        <v>0</v>
      </c>
      <c r="AA238" s="21">
        <f t="shared" si="1192"/>
        <v>1</v>
      </c>
      <c r="AB238" s="21">
        <f t="shared" si="1192"/>
        <v>0</v>
      </c>
      <c r="AC238" s="21">
        <f t="shared" si="10"/>
        <v>1</v>
      </c>
      <c r="AD238" s="21">
        <f t="shared" si="11"/>
        <v>1</v>
      </c>
      <c r="AE238" s="21">
        <f t="shared" ref="AE238:AH238" si="1193">if(OR(BD238 = $AO$6, BD238 = $AS$6, BD238 = $AT$6, BD238 = $AU$6), 1, 0)</f>
        <v>1</v>
      </c>
      <c r="AF238" s="21">
        <f t="shared" si="1193"/>
        <v>0</v>
      </c>
      <c r="AG238" s="21">
        <f t="shared" si="1193"/>
        <v>0</v>
      </c>
      <c r="AH238" s="21">
        <f t="shared" si="1193"/>
        <v>0</v>
      </c>
      <c r="AI238" s="21">
        <f t="shared" si="13"/>
        <v>1</v>
      </c>
      <c r="AJ238" s="21">
        <f t="shared" si="14"/>
        <v>3</v>
      </c>
      <c r="AK238" s="59">
        <f t="shared" si="15"/>
        <v>1.875</v>
      </c>
      <c r="AL238" s="60" t="str">
        <f t="shared" si="16"/>
        <v>subpar</v>
      </c>
      <c r="AW238" s="22">
        <f t="shared" ref="AW238:BC238" si="1194">IF(IFERROR(SEARCH(E$1, $D238),0) &gt;= 1, E$1,0)</f>
        <v>0</v>
      </c>
      <c r="AX238" s="22">
        <f t="shared" si="1194"/>
        <v>0</v>
      </c>
      <c r="AY238" s="22">
        <f t="shared" si="1194"/>
        <v>0</v>
      </c>
      <c r="AZ238" s="22" t="str">
        <f t="shared" si="1194"/>
        <v>Literatuur</v>
      </c>
      <c r="BA238" s="22">
        <f t="shared" si="1194"/>
        <v>0</v>
      </c>
      <c r="BB238" s="22" t="str">
        <f t="shared" si="1194"/>
        <v>Beeldende kunst</v>
      </c>
      <c r="BC238" s="22" t="str">
        <f t="shared" si="1194"/>
        <v>Toegepaste kunst en design</v>
      </c>
      <c r="BD238" s="22" t="str">
        <f t="shared" ref="BD238:BG238" si="1195">IF(L238 = true, BD$1, 0)</f>
        <v>Shop</v>
      </c>
      <c r="BE238" s="22">
        <f t="shared" si="1195"/>
        <v>0</v>
      </c>
      <c r="BF238" s="22">
        <f t="shared" si="1195"/>
        <v>0</v>
      </c>
      <c r="BG238" s="22">
        <f t="shared" si="1195"/>
        <v>0</v>
      </c>
      <c r="BH238" s="22" t="str">
        <f>IFERROR(__xludf.DUMMYFUNCTION("""COMPUTED_VALUE"""),"Museum De Reede")</f>
        <v>Museum De Reede</v>
      </c>
      <c r="BI238" s="24">
        <f>IFERROR(__xludf.DUMMYFUNCTION("""COMPUTED_VALUE"""),15.0)</f>
        <v>15</v>
      </c>
      <c r="BJ238" s="22" t="b">
        <f>IFERROR(__xludf.DUMMYFUNCTION("""COMPUTED_VALUE"""),FALSE)</f>
        <v>0</v>
      </c>
      <c r="BK238" s="22" t="b">
        <f>IFERROR(__xludf.DUMMYFUNCTION("""COMPUTED_VALUE"""),TRUE)</f>
        <v>1</v>
      </c>
      <c r="BL238" s="24">
        <f>IFERROR(__xludf.DUMMYFUNCTION("""COMPUTED_VALUE"""),15.0)</f>
        <v>15</v>
      </c>
      <c r="BM238" s="22">
        <f>IFERROR(__xludf.DUMMYFUNCTION("""COMPUTED_VALUE"""),0.0)</f>
        <v>0</v>
      </c>
      <c r="BN238" s="22">
        <f>IFERROR(__xludf.DUMMYFUNCTION("""COMPUTED_VALUE"""),0.0)</f>
        <v>0</v>
      </c>
      <c r="BO238" s="22">
        <f>IFERROR(__xludf.DUMMYFUNCTION("""COMPUTED_VALUE"""),0.0)</f>
        <v>0</v>
      </c>
      <c r="BP238" s="22">
        <f>IFERROR(__xludf.DUMMYFUNCTION("""COMPUTED_VALUE"""),0.0)</f>
        <v>0</v>
      </c>
      <c r="BQ238" s="22">
        <f>IFERROR(__xludf.DUMMYFUNCTION("""COMPUTED_VALUE"""),0.0)</f>
        <v>0</v>
      </c>
      <c r="BR238" s="22">
        <f>IFERROR(__xludf.DUMMYFUNCTION("""COMPUTED_VALUE"""),0.0)</f>
        <v>0</v>
      </c>
      <c r="BS238" s="22">
        <f>IFERROR(__xludf.DUMMYFUNCTION("""COMPUTED_VALUE"""),1.0)</f>
        <v>1</v>
      </c>
      <c r="BT238" s="22">
        <f>IFERROR(__xludf.DUMMYFUNCTION("""COMPUTED_VALUE"""),0.0)</f>
        <v>0</v>
      </c>
      <c r="BU238" s="22">
        <f>IFERROR(__xludf.DUMMYFUNCTION("""COMPUTED_VALUE"""),1.0)</f>
        <v>1</v>
      </c>
      <c r="BV238" s="22">
        <f>IFERROR(__xludf.DUMMYFUNCTION("""COMPUTED_VALUE"""),0.0)</f>
        <v>0</v>
      </c>
      <c r="BW238" s="22">
        <f>IFERROR(__xludf.DUMMYFUNCTION("""COMPUTED_VALUE"""),1.0)</f>
        <v>1</v>
      </c>
      <c r="BX238" s="22">
        <f>IFERROR(__xludf.DUMMYFUNCTION("""COMPUTED_VALUE"""),0.0)</f>
        <v>0</v>
      </c>
      <c r="BY238" s="22">
        <f>IFERROR(__xludf.DUMMYFUNCTION("""COMPUTED_VALUE"""),0.0)</f>
        <v>0</v>
      </c>
      <c r="BZ238" s="22">
        <f>IFERROR(__xludf.DUMMYFUNCTION("""COMPUTED_VALUE"""),0.0)</f>
        <v>0</v>
      </c>
      <c r="CA238" s="22">
        <f>IFERROR(__xludf.DUMMYFUNCTION("""COMPUTED_VALUE"""),1.0)</f>
        <v>1</v>
      </c>
      <c r="CB238" s="22">
        <f>IFERROR(__xludf.DUMMYFUNCTION("""COMPUTED_VALUE"""),2.0)</f>
        <v>2</v>
      </c>
      <c r="CC238" s="61">
        <f>IFERROR(__xludf.DUMMYFUNCTION("""COMPUTED_VALUE"""),1.25)</f>
        <v>1.25</v>
      </c>
      <c r="CD238" s="62" t="str">
        <f>IFERROR(__xludf.DUMMYFUNCTION("""COMPUTED_VALUE"""),"subpar")</f>
        <v>subpar</v>
      </c>
      <c r="CE238" s="22" t="s">
        <v>186</v>
      </c>
      <c r="CF238" s="24">
        <v>15.0</v>
      </c>
      <c r="CG238" s="22" t="b">
        <v>0</v>
      </c>
      <c r="CH238" s="22" t="b">
        <v>1</v>
      </c>
      <c r="CI238" s="24">
        <v>15.0</v>
      </c>
      <c r="CJ238" s="22">
        <v>0.0</v>
      </c>
      <c r="CK238" s="22">
        <v>0.0</v>
      </c>
      <c r="CL238" s="22">
        <v>0.0</v>
      </c>
      <c r="CM238" s="22">
        <v>0.0</v>
      </c>
      <c r="CN238" s="22">
        <v>0.0</v>
      </c>
      <c r="CO238" s="22">
        <v>0.0</v>
      </c>
      <c r="CP238" s="22">
        <v>1.0</v>
      </c>
      <c r="CQ238" s="22">
        <v>0.0</v>
      </c>
      <c r="CR238" s="22">
        <v>1.0</v>
      </c>
      <c r="CS238" s="22">
        <v>0.0</v>
      </c>
      <c r="CT238" s="22">
        <v>1.0</v>
      </c>
      <c r="CU238" s="22">
        <v>0.0</v>
      </c>
      <c r="CV238" s="22">
        <v>0.0</v>
      </c>
      <c r="CW238" s="22">
        <v>0.0</v>
      </c>
      <c r="CX238" s="22">
        <v>1.0</v>
      </c>
      <c r="CY238" s="22">
        <v>2.0</v>
      </c>
      <c r="CZ238" s="61">
        <v>1.25</v>
      </c>
      <c r="DA238" s="62" t="s">
        <v>568</v>
      </c>
    </row>
    <row r="239">
      <c r="A239" s="16" t="s">
        <v>500</v>
      </c>
      <c r="B239" s="16" t="s">
        <v>501</v>
      </c>
      <c r="C239" s="17" t="s">
        <v>55</v>
      </c>
      <c r="D239" s="16" t="s">
        <v>4</v>
      </c>
      <c r="E239" s="17" t="b">
        <f t="shared" ref="E239:K239" si="1196">If(IFERROR(SEARCH(E$1, $D239),0) &gt;= 1, true,false)</f>
        <v>1</v>
      </c>
      <c r="F239" s="17" t="b">
        <f t="shared" si="1196"/>
        <v>0</v>
      </c>
      <c r="G239" s="17" t="b">
        <f t="shared" si="1196"/>
        <v>0</v>
      </c>
      <c r="H239" s="17" t="b">
        <f t="shared" si="1196"/>
        <v>0</v>
      </c>
      <c r="I239" s="17" t="b">
        <f t="shared" si="1196"/>
        <v>0</v>
      </c>
      <c r="J239" s="17" t="b">
        <f t="shared" si="1196"/>
        <v>0</v>
      </c>
      <c r="K239" s="17" t="b">
        <f t="shared" si="1196"/>
        <v>0</v>
      </c>
      <c r="L239" s="18" t="b">
        <v>1</v>
      </c>
      <c r="M239" s="18" t="b">
        <v>0</v>
      </c>
      <c r="N239" s="18" t="b">
        <v>0</v>
      </c>
      <c r="O239" s="18" t="b">
        <v>0</v>
      </c>
      <c r="P239" s="16" t="str">
        <f t="shared" si="7"/>
        <v>Amsab-Instituut voor Sociale Geschiedenis</v>
      </c>
      <c r="Q239" s="19">
        <v>0.0</v>
      </c>
      <c r="R239" s="18" t="b">
        <v>0</v>
      </c>
      <c r="S239" s="18" t="b">
        <v>1</v>
      </c>
      <c r="T239" s="31">
        <v>0.0</v>
      </c>
      <c r="U239" s="21">
        <f t="shared" si="8"/>
        <v>1</v>
      </c>
      <c r="V239" s="21">
        <f t="shared" ref="V239:AB239" si="1197">if(OR(AW239 = $AO$4, AW239 = $AQ$4), 1, 0)</f>
        <v>1</v>
      </c>
      <c r="W239" s="21">
        <f t="shared" si="1197"/>
        <v>0</v>
      </c>
      <c r="X239" s="21">
        <f t="shared" si="1197"/>
        <v>0</v>
      </c>
      <c r="Y239" s="21">
        <f t="shared" si="1197"/>
        <v>0</v>
      </c>
      <c r="Z239" s="21">
        <f t="shared" si="1197"/>
        <v>0</v>
      </c>
      <c r="AA239" s="21">
        <f t="shared" si="1197"/>
        <v>0</v>
      </c>
      <c r="AB239" s="21">
        <f t="shared" si="1197"/>
        <v>0</v>
      </c>
      <c r="AC239" s="21">
        <f t="shared" si="10"/>
        <v>1</v>
      </c>
      <c r="AD239" s="21">
        <f t="shared" si="11"/>
        <v>1</v>
      </c>
      <c r="AE239" s="21">
        <f t="shared" ref="AE239:AH239" si="1198">if(OR(BD239 = $AO$6, BD239 = $AS$6, BD239 = $AT$6, BD239 = $AU$6), 1, 0)</f>
        <v>1</v>
      </c>
      <c r="AF239" s="21">
        <f t="shared" si="1198"/>
        <v>0</v>
      </c>
      <c r="AG239" s="21">
        <f t="shared" si="1198"/>
        <v>0</v>
      </c>
      <c r="AH239" s="21">
        <f t="shared" si="1198"/>
        <v>0</v>
      </c>
      <c r="AI239" s="21">
        <f t="shared" si="13"/>
        <v>1</v>
      </c>
      <c r="AJ239" s="21">
        <f t="shared" si="14"/>
        <v>4</v>
      </c>
      <c r="AK239" s="59">
        <f t="shared" si="15"/>
        <v>2.5</v>
      </c>
      <c r="AL239" s="60" t="str">
        <f t="shared" si="16"/>
        <v>subpar</v>
      </c>
      <c r="AW239" s="22" t="str">
        <f t="shared" ref="AW239:BC239" si="1199">IF(IFERROR(SEARCH(E$1, $D239),0) &gt;= 1, E$1,0)</f>
        <v>Geschiedenis en archeologie</v>
      </c>
      <c r="AX239" s="22">
        <f t="shared" si="1199"/>
        <v>0</v>
      </c>
      <c r="AY239" s="22">
        <f t="shared" si="1199"/>
        <v>0</v>
      </c>
      <c r="AZ239" s="22">
        <f t="shared" si="1199"/>
        <v>0</v>
      </c>
      <c r="BA239" s="22">
        <f t="shared" si="1199"/>
        <v>0</v>
      </c>
      <c r="BB239" s="22">
        <f t="shared" si="1199"/>
        <v>0</v>
      </c>
      <c r="BC239" s="22">
        <f t="shared" si="1199"/>
        <v>0</v>
      </c>
      <c r="BD239" s="22" t="str">
        <f t="shared" ref="BD239:BG239" si="1200">IF(L239 = true, BD$1, 0)</f>
        <v>Shop</v>
      </c>
      <c r="BE239" s="22">
        <f t="shared" si="1200"/>
        <v>0</v>
      </c>
      <c r="BF239" s="22">
        <f t="shared" si="1200"/>
        <v>0</v>
      </c>
      <c r="BG239" s="22">
        <f t="shared" si="1200"/>
        <v>0</v>
      </c>
      <c r="BH239" s="22" t="str">
        <f>IFERROR(__xludf.DUMMYFUNCTION("""COMPUTED_VALUE"""),"Huis van het Belgisch-Franse Verzet")</f>
        <v>Huis van het Belgisch-Franse Verzet</v>
      </c>
      <c r="BI239" s="24">
        <f>IFERROR(__xludf.DUMMYFUNCTION("""COMPUTED_VALUE"""),12.0)</f>
        <v>12</v>
      </c>
      <c r="BJ239" s="22" t="b">
        <f>IFERROR(__xludf.DUMMYFUNCTION("""COMPUTED_VALUE"""),FALSE)</f>
        <v>0</v>
      </c>
      <c r="BK239" s="22" t="b">
        <f>IFERROR(__xludf.DUMMYFUNCTION("""COMPUTED_VALUE"""),FALSE)</f>
        <v>0</v>
      </c>
      <c r="BL239" s="22"/>
      <c r="BM239" s="22">
        <f>IFERROR(__xludf.DUMMYFUNCTION("""COMPUTED_VALUE"""),0.0)</f>
        <v>0</v>
      </c>
      <c r="BN239" s="22">
        <f>IFERROR(__xludf.DUMMYFUNCTION("""COMPUTED_VALUE"""),1.0)</f>
        <v>1</v>
      </c>
      <c r="BO239" s="22">
        <f>IFERROR(__xludf.DUMMYFUNCTION("""COMPUTED_VALUE"""),0.0)</f>
        <v>0</v>
      </c>
      <c r="BP239" s="22">
        <f>IFERROR(__xludf.DUMMYFUNCTION("""COMPUTED_VALUE"""),0.0)</f>
        <v>0</v>
      </c>
      <c r="BQ239" s="22">
        <f>IFERROR(__xludf.DUMMYFUNCTION("""COMPUTED_VALUE"""),0.0)</f>
        <v>0</v>
      </c>
      <c r="BR239" s="22">
        <f>IFERROR(__xludf.DUMMYFUNCTION("""COMPUTED_VALUE"""),0.0)</f>
        <v>0</v>
      </c>
      <c r="BS239" s="22">
        <f>IFERROR(__xludf.DUMMYFUNCTION("""COMPUTED_VALUE"""),0.0)</f>
        <v>0</v>
      </c>
      <c r="BT239" s="22">
        <f>IFERROR(__xludf.DUMMYFUNCTION("""COMPUTED_VALUE"""),0.0)</f>
        <v>0</v>
      </c>
      <c r="BU239" s="22">
        <f>IFERROR(__xludf.DUMMYFUNCTION("""COMPUTED_VALUE"""),1.0)</f>
        <v>1</v>
      </c>
      <c r="BV239" s="22">
        <f>IFERROR(__xludf.DUMMYFUNCTION("""COMPUTED_VALUE"""),0.0)</f>
        <v>0</v>
      </c>
      <c r="BW239" s="22">
        <f>IFERROR(__xludf.DUMMYFUNCTION("""COMPUTED_VALUE"""),0.0)</f>
        <v>0</v>
      </c>
      <c r="BX239" s="22">
        <f>IFERROR(__xludf.DUMMYFUNCTION("""COMPUTED_VALUE"""),0.0)</f>
        <v>0</v>
      </c>
      <c r="BY239" s="22">
        <f>IFERROR(__xludf.DUMMYFUNCTION("""COMPUTED_VALUE"""),1.0)</f>
        <v>1</v>
      </c>
      <c r="BZ239" s="22">
        <f>IFERROR(__xludf.DUMMYFUNCTION("""COMPUTED_VALUE"""),0.0)</f>
        <v>0</v>
      </c>
      <c r="CA239" s="22">
        <f>IFERROR(__xludf.DUMMYFUNCTION("""COMPUTED_VALUE"""),1.0)</f>
        <v>1</v>
      </c>
      <c r="CB239" s="22">
        <f>IFERROR(__xludf.DUMMYFUNCTION("""COMPUTED_VALUE"""),2.0)</f>
        <v>2</v>
      </c>
      <c r="CC239" s="61">
        <f>IFERROR(__xludf.DUMMYFUNCTION("""COMPUTED_VALUE"""),1.25)</f>
        <v>1.25</v>
      </c>
      <c r="CD239" s="62" t="str">
        <f>IFERROR(__xludf.DUMMYFUNCTION("""COMPUTED_VALUE"""),"subpar")</f>
        <v>subpar</v>
      </c>
      <c r="CE239" s="22" t="s">
        <v>236</v>
      </c>
      <c r="CF239" s="24">
        <v>12.0</v>
      </c>
      <c r="CG239" s="22" t="b">
        <v>0</v>
      </c>
      <c r="CH239" s="22" t="b">
        <v>0</v>
      </c>
      <c r="CI239" s="22"/>
      <c r="CJ239" s="22">
        <v>0.0</v>
      </c>
      <c r="CK239" s="22">
        <v>1.0</v>
      </c>
      <c r="CL239" s="22">
        <v>0.0</v>
      </c>
      <c r="CM239" s="22">
        <v>0.0</v>
      </c>
      <c r="CN239" s="22">
        <v>0.0</v>
      </c>
      <c r="CO239" s="22">
        <v>0.0</v>
      </c>
      <c r="CP239" s="22">
        <v>0.0</v>
      </c>
      <c r="CQ239" s="22">
        <v>0.0</v>
      </c>
      <c r="CR239" s="22">
        <v>1.0</v>
      </c>
      <c r="CS239" s="22">
        <v>0.0</v>
      </c>
      <c r="CT239" s="22">
        <v>0.0</v>
      </c>
      <c r="CU239" s="22">
        <v>0.0</v>
      </c>
      <c r="CV239" s="22">
        <v>1.0</v>
      </c>
      <c r="CW239" s="22">
        <v>0.0</v>
      </c>
      <c r="CX239" s="22">
        <v>1.0</v>
      </c>
      <c r="CY239" s="22">
        <v>2.0</v>
      </c>
      <c r="CZ239" s="61">
        <v>1.25</v>
      </c>
      <c r="DA239" s="62" t="s">
        <v>568</v>
      </c>
    </row>
    <row r="240">
      <c r="A240" s="16" t="s">
        <v>502</v>
      </c>
      <c r="B240" s="16" t="s">
        <v>503</v>
      </c>
      <c r="C240" s="17" t="s">
        <v>55</v>
      </c>
      <c r="D240" s="16" t="s">
        <v>504</v>
      </c>
      <c r="E240" s="17" t="b">
        <f t="shared" ref="E240:K240" si="1201">If(IFERROR(SEARCH(E$1, $D240),0) &gt;= 1, true,false)</f>
        <v>1</v>
      </c>
      <c r="F240" s="17" t="b">
        <f t="shared" si="1201"/>
        <v>0</v>
      </c>
      <c r="G240" s="17" t="b">
        <f t="shared" si="1201"/>
        <v>0</v>
      </c>
      <c r="H240" s="17" t="b">
        <f t="shared" si="1201"/>
        <v>1</v>
      </c>
      <c r="I240" s="17" t="b">
        <f t="shared" si="1201"/>
        <v>0</v>
      </c>
      <c r="J240" s="17" t="b">
        <f t="shared" si="1201"/>
        <v>1</v>
      </c>
      <c r="K240" s="17" t="b">
        <f t="shared" si="1201"/>
        <v>1</v>
      </c>
      <c r="L240" s="18" t="b">
        <v>1</v>
      </c>
      <c r="M240" s="18" t="b">
        <v>0</v>
      </c>
      <c r="N240" s="18" t="b">
        <v>1</v>
      </c>
      <c r="O240" s="18" t="b">
        <v>0</v>
      </c>
      <c r="P240" s="16" t="str">
        <f t="shared" si="7"/>
        <v>Curiosum | Een huis vol herinnering</v>
      </c>
      <c r="Q240" s="19">
        <v>8.0</v>
      </c>
      <c r="R240" s="20" t="b">
        <v>0</v>
      </c>
      <c r="S240" s="18" t="b">
        <v>0</v>
      </c>
      <c r="T240" s="16"/>
      <c r="U240" s="21">
        <f t="shared" si="8"/>
        <v>1</v>
      </c>
      <c r="V240" s="21">
        <f t="shared" ref="V240:AB240" si="1202">if(OR(AW240 = $AO$4, AW240 = $AQ$4), 1, 0)</f>
        <v>1</v>
      </c>
      <c r="W240" s="21">
        <f t="shared" si="1202"/>
        <v>0</v>
      </c>
      <c r="X240" s="21">
        <f t="shared" si="1202"/>
        <v>0</v>
      </c>
      <c r="Y240" s="21">
        <f t="shared" si="1202"/>
        <v>0</v>
      </c>
      <c r="Z240" s="21">
        <f t="shared" si="1202"/>
        <v>0</v>
      </c>
      <c r="AA240" s="21">
        <f t="shared" si="1202"/>
        <v>1</v>
      </c>
      <c r="AB240" s="21">
        <f t="shared" si="1202"/>
        <v>0</v>
      </c>
      <c r="AC240" s="21">
        <f t="shared" si="10"/>
        <v>2</v>
      </c>
      <c r="AD240" s="21">
        <f t="shared" si="11"/>
        <v>1</v>
      </c>
      <c r="AE240" s="21">
        <f t="shared" ref="AE240:AH240" si="1203">if(OR(BD240 = $AO$6, BD240 = $AS$6, BD240 = $AT$6, BD240 = $AU$6), 1, 0)</f>
        <v>1</v>
      </c>
      <c r="AF240" s="21">
        <f t="shared" si="1203"/>
        <v>0</v>
      </c>
      <c r="AG240" s="21">
        <f t="shared" si="1203"/>
        <v>1</v>
      </c>
      <c r="AH240" s="21">
        <f t="shared" si="1203"/>
        <v>0</v>
      </c>
      <c r="AI240" s="21">
        <f t="shared" si="13"/>
        <v>2</v>
      </c>
      <c r="AJ240" s="21">
        <f t="shared" si="14"/>
        <v>6</v>
      </c>
      <c r="AK240" s="59">
        <f t="shared" si="15"/>
        <v>3.75</v>
      </c>
      <c r="AL240" s="60" t="str">
        <f t="shared" si="16"/>
        <v>good</v>
      </c>
      <c r="AW240" s="22" t="str">
        <f t="shared" ref="AW240:BC240" si="1204">IF(IFERROR(SEARCH(E$1, $D240),0) &gt;= 1, E$1,0)</f>
        <v>Geschiedenis en archeologie</v>
      </c>
      <c r="AX240" s="22">
        <f t="shared" si="1204"/>
        <v>0</v>
      </c>
      <c r="AY240" s="22">
        <f t="shared" si="1204"/>
        <v>0</v>
      </c>
      <c r="AZ240" s="22" t="str">
        <f t="shared" si="1204"/>
        <v>Literatuur</v>
      </c>
      <c r="BA240" s="22">
        <f t="shared" si="1204"/>
        <v>0</v>
      </c>
      <c r="BB240" s="22" t="str">
        <f t="shared" si="1204"/>
        <v>Beeldende kunst</v>
      </c>
      <c r="BC240" s="22" t="str">
        <f t="shared" si="1204"/>
        <v>Toegepaste kunst en design</v>
      </c>
      <c r="BD240" s="22" t="str">
        <f t="shared" ref="BD240:BG240" si="1205">IF(L240 = true, BD$1, 0)</f>
        <v>Shop</v>
      </c>
      <c r="BE240" s="22">
        <f t="shared" si="1205"/>
        <v>0</v>
      </c>
      <c r="BF240" s="22" t="str">
        <f t="shared" si="1205"/>
        <v>Parking</v>
      </c>
      <c r="BG240" s="22">
        <f t="shared" si="1205"/>
        <v>0</v>
      </c>
      <c r="BH240" s="22" t="str">
        <f>IFERROR(__xludf.DUMMYFUNCTION("""COMPUTED_VALUE"""),"Modemuseum Hasselt")</f>
        <v>Modemuseum Hasselt</v>
      </c>
      <c r="BI240" s="24">
        <f>IFERROR(__xludf.DUMMYFUNCTION("""COMPUTED_VALUE"""),8.0)</f>
        <v>8</v>
      </c>
      <c r="BJ240" s="22" t="b">
        <f>IFERROR(__xludf.DUMMYFUNCTION("""COMPUTED_VALUE"""),FALSE)</f>
        <v>0</v>
      </c>
      <c r="BK240" s="22" t="b">
        <f>IFERROR(__xludf.DUMMYFUNCTION("""COMPUTED_VALUE"""),TRUE)</f>
        <v>1</v>
      </c>
      <c r="BL240" s="24">
        <f>IFERROR(__xludf.DUMMYFUNCTION("""COMPUTED_VALUE"""),8.0)</f>
        <v>8</v>
      </c>
      <c r="BM240" s="22">
        <f>IFERROR(__xludf.DUMMYFUNCTION("""COMPUTED_VALUE"""),0.0)</f>
        <v>0</v>
      </c>
      <c r="BN240" s="22">
        <f>IFERROR(__xludf.DUMMYFUNCTION("""COMPUTED_VALUE"""),0.0)</f>
        <v>0</v>
      </c>
      <c r="BO240" s="22">
        <f>IFERROR(__xludf.DUMMYFUNCTION("""COMPUTED_VALUE"""),0.0)</f>
        <v>0</v>
      </c>
      <c r="BP240" s="22">
        <f>IFERROR(__xludf.DUMMYFUNCTION("""COMPUTED_VALUE"""),0.0)</f>
        <v>0</v>
      </c>
      <c r="BQ240" s="22">
        <f>IFERROR(__xludf.DUMMYFUNCTION("""COMPUTED_VALUE"""),0.0)</f>
        <v>0</v>
      </c>
      <c r="BR240" s="22">
        <f>IFERROR(__xludf.DUMMYFUNCTION("""COMPUTED_VALUE"""),0.0)</f>
        <v>0</v>
      </c>
      <c r="BS240" s="22">
        <f>IFERROR(__xludf.DUMMYFUNCTION("""COMPUTED_VALUE"""),0.0)</f>
        <v>0</v>
      </c>
      <c r="BT240" s="22">
        <f>IFERROR(__xludf.DUMMYFUNCTION("""COMPUTED_VALUE"""),0.0)</f>
        <v>0</v>
      </c>
      <c r="BU240" s="22">
        <f>IFERROR(__xludf.DUMMYFUNCTION("""COMPUTED_VALUE"""),0.0)</f>
        <v>0</v>
      </c>
      <c r="BV240" s="22">
        <f>IFERROR(__xludf.DUMMYFUNCTION("""COMPUTED_VALUE"""),1.0)</f>
        <v>1</v>
      </c>
      <c r="BW240" s="22">
        <f>IFERROR(__xludf.DUMMYFUNCTION("""COMPUTED_VALUE"""),1.0)</f>
        <v>1</v>
      </c>
      <c r="BX240" s="22">
        <f>IFERROR(__xludf.DUMMYFUNCTION("""COMPUTED_VALUE"""),0.0)</f>
        <v>0</v>
      </c>
      <c r="BY240" s="22">
        <f>IFERROR(__xludf.DUMMYFUNCTION("""COMPUTED_VALUE"""),0.0)</f>
        <v>0</v>
      </c>
      <c r="BZ240" s="22">
        <f>IFERROR(__xludf.DUMMYFUNCTION("""COMPUTED_VALUE"""),0.0)</f>
        <v>0</v>
      </c>
      <c r="CA240" s="22">
        <f>IFERROR(__xludf.DUMMYFUNCTION("""COMPUTED_VALUE"""),1.0)</f>
        <v>1</v>
      </c>
      <c r="CB240" s="22">
        <f>IFERROR(__xludf.DUMMYFUNCTION("""COMPUTED_VALUE"""),2.0)</f>
        <v>2</v>
      </c>
      <c r="CC240" s="61">
        <f>IFERROR(__xludf.DUMMYFUNCTION("""COMPUTED_VALUE"""),1.25)</f>
        <v>1.25</v>
      </c>
      <c r="CD240" s="62" t="str">
        <f>IFERROR(__xludf.DUMMYFUNCTION("""COMPUTED_VALUE"""),"subpar")</f>
        <v>subpar</v>
      </c>
      <c r="CE240" s="22" t="s">
        <v>271</v>
      </c>
      <c r="CF240" s="24">
        <v>8.0</v>
      </c>
      <c r="CG240" s="22" t="b">
        <v>0</v>
      </c>
      <c r="CH240" s="22" t="b">
        <v>1</v>
      </c>
      <c r="CI240" s="24">
        <v>8.0</v>
      </c>
      <c r="CJ240" s="22">
        <v>0.0</v>
      </c>
      <c r="CK240" s="22">
        <v>0.0</v>
      </c>
      <c r="CL240" s="22">
        <v>0.0</v>
      </c>
      <c r="CM240" s="22">
        <v>0.0</v>
      </c>
      <c r="CN240" s="22">
        <v>0.0</v>
      </c>
      <c r="CO240" s="22">
        <v>0.0</v>
      </c>
      <c r="CP240" s="22">
        <v>0.0</v>
      </c>
      <c r="CQ240" s="22">
        <v>0.0</v>
      </c>
      <c r="CR240" s="22">
        <v>0.0</v>
      </c>
      <c r="CS240" s="22">
        <v>1.0</v>
      </c>
      <c r="CT240" s="22">
        <v>1.0</v>
      </c>
      <c r="CU240" s="22">
        <v>0.0</v>
      </c>
      <c r="CV240" s="22">
        <v>0.0</v>
      </c>
      <c r="CW240" s="22">
        <v>0.0</v>
      </c>
      <c r="CX240" s="22">
        <v>1.0</v>
      </c>
      <c r="CY240" s="22">
        <v>2.0</v>
      </c>
      <c r="CZ240" s="61">
        <v>1.25</v>
      </c>
      <c r="DA240" s="62" t="s">
        <v>568</v>
      </c>
    </row>
    <row r="241">
      <c r="A241" s="16" t="s">
        <v>505</v>
      </c>
      <c r="B241" s="16"/>
      <c r="C241" s="17" t="s">
        <v>55</v>
      </c>
      <c r="D241" s="16" t="s">
        <v>10</v>
      </c>
      <c r="E241" s="17" t="b">
        <f t="shared" ref="E241:K241" si="1206">If(IFERROR(SEARCH(E$1, $D241),0) &gt;= 1, true,false)</f>
        <v>0</v>
      </c>
      <c r="F241" s="17" t="b">
        <f t="shared" si="1206"/>
        <v>0</v>
      </c>
      <c r="G241" s="17" t="b">
        <f t="shared" si="1206"/>
        <v>0</v>
      </c>
      <c r="H241" s="17" t="b">
        <f t="shared" si="1206"/>
        <v>0</v>
      </c>
      <c r="I241" s="17" t="b">
        <f t="shared" si="1206"/>
        <v>0</v>
      </c>
      <c r="J241" s="17" t="b">
        <f t="shared" si="1206"/>
        <v>0</v>
      </c>
      <c r="K241" s="17" t="b">
        <f t="shared" si="1206"/>
        <v>1</v>
      </c>
      <c r="L241" s="18" t="b">
        <v>1</v>
      </c>
      <c r="M241" s="18" t="b">
        <v>0</v>
      </c>
      <c r="N241" s="18" t="b">
        <v>0</v>
      </c>
      <c r="O241" s="18" t="b">
        <v>0</v>
      </c>
      <c r="P241" s="16" t="str">
        <f t="shared" si="7"/>
        <v>Design Museum Gent</v>
      </c>
      <c r="Q241" s="19">
        <v>5.0</v>
      </c>
      <c r="R241" s="20" t="b">
        <v>1</v>
      </c>
      <c r="S241" s="18" t="b">
        <v>0</v>
      </c>
      <c r="T241" s="16"/>
      <c r="U241" s="21">
        <f t="shared" si="8"/>
        <v>1</v>
      </c>
      <c r="V241" s="21">
        <f t="shared" ref="V241:AB241" si="1207">if(OR(AW241 = $AO$4, AW241 = $AQ$4), 1, 0)</f>
        <v>0</v>
      </c>
      <c r="W241" s="21">
        <f t="shared" si="1207"/>
        <v>0</v>
      </c>
      <c r="X241" s="21">
        <f t="shared" si="1207"/>
        <v>0</v>
      </c>
      <c r="Y241" s="21">
        <f t="shared" si="1207"/>
        <v>0</v>
      </c>
      <c r="Z241" s="21">
        <f t="shared" si="1207"/>
        <v>0</v>
      </c>
      <c r="AA241" s="21">
        <f t="shared" si="1207"/>
        <v>0</v>
      </c>
      <c r="AB241" s="21">
        <f t="shared" si="1207"/>
        <v>0</v>
      </c>
      <c r="AC241" s="21">
        <f t="shared" si="10"/>
        <v>0</v>
      </c>
      <c r="AD241" s="21">
        <f t="shared" si="11"/>
        <v>1</v>
      </c>
      <c r="AE241" s="21">
        <f t="shared" ref="AE241:AH241" si="1208">if(OR(BD241 = $AO$6, BD241 = $AS$6, BD241 = $AT$6, BD241 = $AU$6), 1, 0)</f>
        <v>1</v>
      </c>
      <c r="AF241" s="21">
        <f t="shared" si="1208"/>
        <v>0</v>
      </c>
      <c r="AG241" s="21">
        <f t="shared" si="1208"/>
        <v>0</v>
      </c>
      <c r="AH241" s="21">
        <f t="shared" si="1208"/>
        <v>0</v>
      </c>
      <c r="AI241" s="21">
        <f t="shared" si="13"/>
        <v>1</v>
      </c>
      <c r="AJ241" s="21">
        <f t="shared" si="14"/>
        <v>3</v>
      </c>
      <c r="AK241" s="59">
        <f t="shared" si="15"/>
        <v>1.875</v>
      </c>
      <c r="AL241" s="60" t="str">
        <f t="shared" si="16"/>
        <v>subpar</v>
      </c>
      <c r="AW241" s="22">
        <f t="shared" ref="AW241:BC241" si="1209">IF(IFERROR(SEARCH(E$1, $D241),0) &gt;= 1, E$1,0)</f>
        <v>0</v>
      </c>
      <c r="AX241" s="22">
        <f t="shared" si="1209"/>
        <v>0</v>
      </c>
      <c r="AY241" s="22">
        <f t="shared" si="1209"/>
        <v>0</v>
      </c>
      <c r="AZ241" s="22">
        <f t="shared" si="1209"/>
        <v>0</v>
      </c>
      <c r="BA241" s="22">
        <f t="shared" si="1209"/>
        <v>0</v>
      </c>
      <c r="BB241" s="22">
        <f t="shared" si="1209"/>
        <v>0</v>
      </c>
      <c r="BC241" s="22" t="str">
        <f t="shared" si="1209"/>
        <v>Toegepaste kunst en design</v>
      </c>
      <c r="BD241" s="22" t="str">
        <f t="shared" ref="BD241:BG241" si="1210">IF(L241 = true, BD$1, 0)</f>
        <v>Shop</v>
      </c>
      <c r="BE241" s="22">
        <f t="shared" si="1210"/>
        <v>0</v>
      </c>
      <c r="BF241" s="22">
        <f t="shared" si="1210"/>
        <v>0</v>
      </c>
      <c r="BG241" s="22">
        <f t="shared" si="1210"/>
        <v>0</v>
      </c>
      <c r="BH241" s="22" t="str">
        <f>IFERROR(__xludf.DUMMYFUNCTION("""COMPUTED_VALUE"""),"Schatkamer van Sint-Catharina")</f>
        <v>Schatkamer van Sint-Catharina</v>
      </c>
      <c r="BI241" s="24">
        <f>IFERROR(__xludf.DUMMYFUNCTION("""COMPUTED_VALUE"""),6.0)</f>
        <v>6</v>
      </c>
      <c r="BJ241" s="22" t="b">
        <f>IFERROR(__xludf.DUMMYFUNCTION("""COMPUTED_VALUE"""),FALSE)</f>
        <v>0</v>
      </c>
      <c r="BK241" s="22" t="b">
        <f>IFERROR(__xludf.DUMMYFUNCTION("""COMPUTED_VALUE"""),FALSE)</f>
        <v>0</v>
      </c>
      <c r="BL241" s="22"/>
      <c r="BM241" s="22">
        <f>IFERROR(__xludf.DUMMYFUNCTION("""COMPUTED_VALUE"""),0.0)</f>
        <v>0</v>
      </c>
      <c r="BN241" s="22">
        <f>IFERROR(__xludf.DUMMYFUNCTION("""COMPUTED_VALUE"""),0.0)</f>
        <v>0</v>
      </c>
      <c r="BO241" s="22">
        <f>IFERROR(__xludf.DUMMYFUNCTION("""COMPUTED_VALUE"""),0.0)</f>
        <v>0</v>
      </c>
      <c r="BP241" s="22">
        <f>IFERROR(__xludf.DUMMYFUNCTION("""COMPUTED_VALUE"""),0.0)</f>
        <v>0</v>
      </c>
      <c r="BQ241" s="22">
        <f>IFERROR(__xludf.DUMMYFUNCTION("""COMPUTED_VALUE"""),0.0)</f>
        <v>0</v>
      </c>
      <c r="BR241" s="22">
        <f>IFERROR(__xludf.DUMMYFUNCTION("""COMPUTED_VALUE"""),0.0)</f>
        <v>0</v>
      </c>
      <c r="BS241" s="22">
        <f>IFERROR(__xludf.DUMMYFUNCTION("""COMPUTED_VALUE"""),1.0)</f>
        <v>1</v>
      </c>
      <c r="BT241" s="22">
        <f>IFERROR(__xludf.DUMMYFUNCTION("""COMPUTED_VALUE"""),0.0)</f>
        <v>0</v>
      </c>
      <c r="BU241" s="22">
        <f>IFERROR(__xludf.DUMMYFUNCTION("""COMPUTED_VALUE"""),1.0)</f>
        <v>1</v>
      </c>
      <c r="BV241" s="22">
        <f>IFERROR(__xludf.DUMMYFUNCTION("""COMPUTED_VALUE"""),1.0)</f>
        <v>1</v>
      </c>
      <c r="BW241" s="22">
        <f>IFERROR(__xludf.DUMMYFUNCTION("""COMPUTED_VALUE"""),0.0)</f>
        <v>0</v>
      </c>
      <c r="BX241" s="22">
        <f>IFERROR(__xludf.DUMMYFUNCTION("""COMPUTED_VALUE"""),0.0)</f>
        <v>0</v>
      </c>
      <c r="BY241" s="22">
        <f>IFERROR(__xludf.DUMMYFUNCTION("""COMPUTED_VALUE"""),0.0)</f>
        <v>0</v>
      </c>
      <c r="BZ241" s="22">
        <f>IFERROR(__xludf.DUMMYFUNCTION("""COMPUTED_VALUE"""),0.0)</f>
        <v>0</v>
      </c>
      <c r="CA241" s="22">
        <f>IFERROR(__xludf.DUMMYFUNCTION("""COMPUTED_VALUE"""),0.0)</f>
        <v>0</v>
      </c>
      <c r="CB241" s="22">
        <f>IFERROR(__xludf.DUMMYFUNCTION("""COMPUTED_VALUE"""),2.0)</f>
        <v>2</v>
      </c>
      <c r="CC241" s="61">
        <f>IFERROR(__xludf.DUMMYFUNCTION("""COMPUTED_VALUE"""),1.25)</f>
        <v>1.25</v>
      </c>
      <c r="CD241" s="62" t="str">
        <f>IFERROR(__xludf.DUMMYFUNCTION("""COMPUTED_VALUE"""),"subpar")</f>
        <v>subpar</v>
      </c>
      <c r="CE241" s="22" t="s">
        <v>277</v>
      </c>
      <c r="CF241" s="24">
        <v>6.0</v>
      </c>
      <c r="CG241" s="22" t="b">
        <v>0</v>
      </c>
      <c r="CH241" s="22" t="b">
        <v>0</v>
      </c>
      <c r="CI241" s="22"/>
      <c r="CJ241" s="22">
        <v>0.0</v>
      </c>
      <c r="CK241" s="22">
        <v>0.0</v>
      </c>
      <c r="CL241" s="22">
        <v>0.0</v>
      </c>
      <c r="CM241" s="22">
        <v>0.0</v>
      </c>
      <c r="CN241" s="22">
        <v>0.0</v>
      </c>
      <c r="CO241" s="22">
        <v>0.0</v>
      </c>
      <c r="CP241" s="22">
        <v>1.0</v>
      </c>
      <c r="CQ241" s="22">
        <v>0.0</v>
      </c>
      <c r="CR241" s="22">
        <v>1.0</v>
      </c>
      <c r="CS241" s="22">
        <v>1.0</v>
      </c>
      <c r="CT241" s="22">
        <v>0.0</v>
      </c>
      <c r="CU241" s="22">
        <v>0.0</v>
      </c>
      <c r="CV241" s="22">
        <v>0.0</v>
      </c>
      <c r="CW241" s="22">
        <v>0.0</v>
      </c>
      <c r="CX241" s="22">
        <v>0.0</v>
      </c>
      <c r="CY241" s="22">
        <v>2.0</v>
      </c>
      <c r="CZ241" s="61">
        <v>1.25</v>
      </c>
      <c r="DA241" s="62" t="s">
        <v>568</v>
      </c>
    </row>
    <row r="242">
      <c r="A242" s="16" t="s">
        <v>506</v>
      </c>
      <c r="B242" s="16" t="s">
        <v>507</v>
      </c>
      <c r="C242" s="17" t="s">
        <v>55</v>
      </c>
      <c r="D242" s="16" t="s">
        <v>107</v>
      </c>
      <c r="E242" s="17" t="b">
        <f t="shared" ref="E242:K242" si="1211">If(IFERROR(SEARCH(E$1, $D242),0) &gt;= 1, true,false)</f>
        <v>1</v>
      </c>
      <c r="F242" s="17" t="b">
        <f t="shared" si="1211"/>
        <v>1</v>
      </c>
      <c r="G242" s="17" t="b">
        <f t="shared" si="1211"/>
        <v>0</v>
      </c>
      <c r="H242" s="17" t="b">
        <f t="shared" si="1211"/>
        <v>0</v>
      </c>
      <c r="I242" s="17" t="b">
        <f t="shared" si="1211"/>
        <v>0</v>
      </c>
      <c r="J242" s="17" t="b">
        <f t="shared" si="1211"/>
        <v>0</v>
      </c>
      <c r="K242" s="17" t="b">
        <f t="shared" si="1211"/>
        <v>0</v>
      </c>
      <c r="L242" s="18" t="b">
        <v>1</v>
      </c>
      <c r="M242" s="18" t="b">
        <v>0</v>
      </c>
      <c r="N242" s="18" t="b">
        <v>0</v>
      </c>
      <c r="O242" s="18" t="b">
        <v>0</v>
      </c>
      <c r="P242" s="16" t="str">
        <f t="shared" si="7"/>
        <v>GUM | Gents Universiteitsmuseum</v>
      </c>
      <c r="Q242" s="19">
        <v>12.0</v>
      </c>
      <c r="R242" s="20" t="b">
        <v>0</v>
      </c>
      <c r="S242" s="18" t="b">
        <v>1</v>
      </c>
      <c r="T242" s="29">
        <v>12.0</v>
      </c>
      <c r="U242" s="21">
        <f t="shared" si="8"/>
        <v>1</v>
      </c>
      <c r="V242" s="21">
        <f t="shared" ref="V242:AB242" si="1212">if(OR(AW242 = $AO$4, AW242 = $AQ$4), 1, 0)</f>
        <v>1</v>
      </c>
      <c r="W242" s="21">
        <f t="shared" si="1212"/>
        <v>0</v>
      </c>
      <c r="X242" s="21">
        <f t="shared" si="1212"/>
        <v>0</v>
      </c>
      <c r="Y242" s="21">
        <f t="shared" si="1212"/>
        <v>0</v>
      </c>
      <c r="Z242" s="21">
        <f t="shared" si="1212"/>
        <v>0</v>
      </c>
      <c r="AA242" s="21">
        <f t="shared" si="1212"/>
        <v>0</v>
      </c>
      <c r="AB242" s="21">
        <f t="shared" si="1212"/>
        <v>0</v>
      </c>
      <c r="AC242" s="21">
        <f t="shared" si="10"/>
        <v>1</v>
      </c>
      <c r="AD242" s="21">
        <f t="shared" si="11"/>
        <v>0</v>
      </c>
      <c r="AE242" s="21">
        <f t="shared" ref="AE242:AH242" si="1213">if(OR(BD242 = $AO$6, BD242 = $AS$6, BD242 = $AT$6, BD242 = $AU$6), 1, 0)</f>
        <v>1</v>
      </c>
      <c r="AF242" s="21">
        <f t="shared" si="1213"/>
        <v>0</v>
      </c>
      <c r="AG242" s="21">
        <f t="shared" si="1213"/>
        <v>0</v>
      </c>
      <c r="AH242" s="21">
        <f t="shared" si="1213"/>
        <v>0</v>
      </c>
      <c r="AI242" s="21">
        <f t="shared" si="13"/>
        <v>1</v>
      </c>
      <c r="AJ242" s="21">
        <f t="shared" si="14"/>
        <v>3</v>
      </c>
      <c r="AK242" s="59">
        <f t="shared" si="15"/>
        <v>1.875</v>
      </c>
      <c r="AL242" s="60" t="str">
        <f t="shared" si="16"/>
        <v>subpar</v>
      </c>
      <c r="AW242" s="22" t="str">
        <f t="shared" ref="AW242:BC242" si="1214">IF(IFERROR(SEARCH(E$1, $D242),0) &gt;= 1, E$1,0)</f>
        <v>Geschiedenis en archeologie</v>
      </c>
      <c r="AX242" s="22" t="str">
        <f t="shared" si="1214"/>
        <v>Wetenschap en technologie</v>
      </c>
      <c r="AY242" s="22">
        <f t="shared" si="1214"/>
        <v>0</v>
      </c>
      <c r="AZ242" s="22">
        <f t="shared" si="1214"/>
        <v>0</v>
      </c>
      <c r="BA242" s="22">
        <f t="shared" si="1214"/>
        <v>0</v>
      </c>
      <c r="BB242" s="22">
        <f t="shared" si="1214"/>
        <v>0</v>
      </c>
      <c r="BC242" s="22">
        <f t="shared" si="1214"/>
        <v>0</v>
      </c>
      <c r="BD242" s="22" t="str">
        <f t="shared" ref="BD242:BG242" si="1215">IF(L242 = true, BD$1, 0)</f>
        <v>Shop</v>
      </c>
      <c r="BE242" s="22">
        <f t="shared" si="1215"/>
        <v>0</v>
      </c>
      <c r="BF242" s="22">
        <f t="shared" si="1215"/>
        <v>0</v>
      </c>
      <c r="BG242" s="22">
        <f t="shared" si="1215"/>
        <v>0</v>
      </c>
      <c r="BH242" s="22" t="str">
        <f>IFERROR(__xludf.DUMMYFUNCTION("""COMPUTED_VALUE"""),"CAP/museum voor Schone Kunsten van Bergen")</f>
        <v>CAP/museum voor Schone Kunsten van Bergen</v>
      </c>
      <c r="BI242" s="24">
        <f>IFERROR(__xludf.DUMMYFUNCTION("""COMPUTED_VALUE"""),16.0)</f>
        <v>16</v>
      </c>
      <c r="BJ242" s="22" t="b">
        <f>IFERROR(__xludf.DUMMYFUNCTION("""COMPUTED_VALUE"""),FALSE)</f>
        <v>0</v>
      </c>
      <c r="BK242" s="22" t="b">
        <f>IFERROR(__xludf.DUMMYFUNCTION("""COMPUTED_VALUE"""),TRUE)</f>
        <v>1</v>
      </c>
      <c r="BL242" s="24">
        <f>IFERROR(__xludf.DUMMYFUNCTION("""COMPUTED_VALUE"""),16.0)</f>
        <v>16</v>
      </c>
      <c r="BM242" s="22">
        <f>IFERROR(__xludf.DUMMYFUNCTION("""COMPUTED_VALUE"""),0.0)</f>
        <v>0</v>
      </c>
      <c r="BN242" s="22">
        <f>IFERROR(__xludf.DUMMYFUNCTION("""COMPUTED_VALUE"""),0.0)</f>
        <v>0</v>
      </c>
      <c r="BO242" s="22">
        <f>IFERROR(__xludf.DUMMYFUNCTION("""COMPUTED_VALUE"""),0.0)</f>
        <v>0</v>
      </c>
      <c r="BP242" s="22">
        <f>IFERROR(__xludf.DUMMYFUNCTION("""COMPUTED_VALUE"""),0.0)</f>
        <v>0</v>
      </c>
      <c r="BQ242" s="22">
        <f>IFERROR(__xludf.DUMMYFUNCTION("""COMPUTED_VALUE"""),0.0)</f>
        <v>0</v>
      </c>
      <c r="BR242" s="22">
        <f>IFERROR(__xludf.DUMMYFUNCTION("""COMPUTED_VALUE"""),0.0)</f>
        <v>0</v>
      </c>
      <c r="BS242" s="22">
        <f>IFERROR(__xludf.DUMMYFUNCTION("""COMPUTED_VALUE"""),1.0)</f>
        <v>1</v>
      </c>
      <c r="BT242" s="22">
        <f>IFERROR(__xludf.DUMMYFUNCTION("""COMPUTED_VALUE"""),0.0)</f>
        <v>0</v>
      </c>
      <c r="BU242" s="22">
        <f>IFERROR(__xludf.DUMMYFUNCTION("""COMPUTED_VALUE"""),1.0)</f>
        <v>1</v>
      </c>
      <c r="BV242" s="22">
        <f>IFERROR(__xludf.DUMMYFUNCTION("""COMPUTED_VALUE"""),0.0)</f>
        <v>0</v>
      </c>
      <c r="BW242" s="22">
        <f>IFERROR(__xludf.DUMMYFUNCTION("""COMPUTED_VALUE"""),1.0)</f>
        <v>1</v>
      </c>
      <c r="BX242" s="22">
        <f>IFERROR(__xludf.DUMMYFUNCTION("""COMPUTED_VALUE"""),0.0)</f>
        <v>0</v>
      </c>
      <c r="BY242" s="22">
        <f>IFERROR(__xludf.DUMMYFUNCTION("""COMPUTED_VALUE"""),0.0)</f>
        <v>0</v>
      </c>
      <c r="BZ242" s="22">
        <f>IFERROR(__xludf.DUMMYFUNCTION("""COMPUTED_VALUE"""),0.0)</f>
        <v>0</v>
      </c>
      <c r="CA242" s="22">
        <f>IFERROR(__xludf.DUMMYFUNCTION("""COMPUTED_VALUE"""),1.0)</f>
        <v>1</v>
      </c>
      <c r="CB242" s="22">
        <f>IFERROR(__xludf.DUMMYFUNCTION("""COMPUTED_VALUE"""),2.0)</f>
        <v>2</v>
      </c>
      <c r="CC242" s="61">
        <f>IFERROR(__xludf.DUMMYFUNCTION("""COMPUTED_VALUE"""),1.25)</f>
        <v>1.25</v>
      </c>
      <c r="CD242" s="62" t="str">
        <f>IFERROR(__xludf.DUMMYFUNCTION("""COMPUTED_VALUE"""),"subpar")</f>
        <v>subpar</v>
      </c>
      <c r="CE242" s="22" t="s">
        <v>325</v>
      </c>
      <c r="CF242" s="24">
        <v>16.0</v>
      </c>
      <c r="CG242" s="22" t="b">
        <v>0</v>
      </c>
      <c r="CH242" s="22" t="b">
        <v>1</v>
      </c>
      <c r="CI242" s="24">
        <v>16.0</v>
      </c>
      <c r="CJ242" s="22">
        <v>0.0</v>
      </c>
      <c r="CK242" s="22">
        <v>0.0</v>
      </c>
      <c r="CL242" s="22">
        <v>0.0</v>
      </c>
      <c r="CM242" s="22">
        <v>0.0</v>
      </c>
      <c r="CN242" s="22">
        <v>0.0</v>
      </c>
      <c r="CO242" s="22">
        <v>0.0</v>
      </c>
      <c r="CP242" s="22">
        <v>1.0</v>
      </c>
      <c r="CQ242" s="22">
        <v>0.0</v>
      </c>
      <c r="CR242" s="22">
        <v>1.0</v>
      </c>
      <c r="CS242" s="22">
        <v>0.0</v>
      </c>
      <c r="CT242" s="22">
        <v>1.0</v>
      </c>
      <c r="CU242" s="22">
        <v>0.0</v>
      </c>
      <c r="CV242" s="22">
        <v>0.0</v>
      </c>
      <c r="CW242" s="22">
        <v>0.0</v>
      </c>
      <c r="CX242" s="22">
        <v>1.0</v>
      </c>
      <c r="CY242" s="22">
        <v>2.0</v>
      </c>
      <c r="CZ242" s="61">
        <v>1.25</v>
      </c>
      <c r="DA242" s="62" t="s">
        <v>568</v>
      </c>
    </row>
    <row r="243">
      <c r="A243" s="16"/>
      <c r="B243" s="16" t="s">
        <v>508</v>
      </c>
      <c r="C243" s="17" t="s">
        <v>55</v>
      </c>
      <c r="D243" s="16" t="s">
        <v>9</v>
      </c>
      <c r="E243" s="17" t="b">
        <f t="shared" ref="E243:K243" si="1216">If(IFERROR(SEARCH(E$1, $D243),0) &gt;= 1, true,false)</f>
        <v>0</v>
      </c>
      <c r="F243" s="17" t="b">
        <f t="shared" si="1216"/>
        <v>0</v>
      </c>
      <c r="G243" s="17" t="b">
        <f t="shared" si="1216"/>
        <v>0</v>
      </c>
      <c r="H243" s="17" t="b">
        <f t="shared" si="1216"/>
        <v>0</v>
      </c>
      <c r="I243" s="17" t="b">
        <f t="shared" si="1216"/>
        <v>0</v>
      </c>
      <c r="J243" s="17" t="b">
        <f t="shared" si="1216"/>
        <v>1</v>
      </c>
      <c r="K243" s="17" t="b">
        <f t="shared" si="1216"/>
        <v>0</v>
      </c>
      <c r="L243" s="18" t="b">
        <v>1</v>
      </c>
      <c r="M243" s="18" t="b">
        <v>0</v>
      </c>
      <c r="N243" s="18" t="b">
        <v>0</v>
      </c>
      <c r="O243" s="18" t="b">
        <v>0</v>
      </c>
      <c r="P243" s="16" t="str">
        <f t="shared" si="7"/>
        <v>Herbert Foundation</v>
      </c>
      <c r="Q243" s="19">
        <v>12.0</v>
      </c>
      <c r="R243" s="20" t="b">
        <v>0</v>
      </c>
      <c r="S243" s="18" t="b">
        <v>0</v>
      </c>
      <c r="T243" s="21"/>
      <c r="U243" s="21">
        <f t="shared" si="8"/>
        <v>1</v>
      </c>
      <c r="V243" s="21">
        <f t="shared" ref="V243:AB243" si="1217">if(OR(AW243 = $AO$4, AW243 = $AQ$4), 1, 0)</f>
        <v>0</v>
      </c>
      <c r="W243" s="21">
        <f t="shared" si="1217"/>
        <v>0</v>
      </c>
      <c r="X243" s="21">
        <f t="shared" si="1217"/>
        <v>0</v>
      </c>
      <c r="Y243" s="21">
        <f t="shared" si="1217"/>
        <v>0</v>
      </c>
      <c r="Z243" s="21">
        <f t="shared" si="1217"/>
        <v>0</v>
      </c>
      <c r="AA243" s="21">
        <f t="shared" si="1217"/>
        <v>1</v>
      </c>
      <c r="AB243" s="21">
        <f t="shared" si="1217"/>
        <v>0</v>
      </c>
      <c r="AC243" s="21">
        <f t="shared" si="10"/>
        <v>1</v>
      </c>
      <c r="AD243" s="21">
        <f t="shared" si="11"/>
        <v>0</v>
      </c>
      <c r="AE243" s="21">
        <f t="shared" ref="AE243:AH243" si="1218">if(OR(BD243 = $AO$6, BD243 = $AS$6, BD243 = $AT$6, BD243 = $AU$6), 1, 0)</f>
        <v>1</v>
      </c>
      <c r="AF243" s="21">
        <f t="shared" si="1218"/>
        <v>0</v>
      </c>
      <c r="AG243" s="21">
        <f t="shared" si="1218"/>
        <v>0</v>
      </c>
      <c r="AH243" s="21">
        <f t="shared" si="1218"/>
        <v>0</v>
      </c>
      <c r="AI243" s="21">
        <f t="shared" si="13"/>
        <v>1</v>
      </c>
      <c r="AJ243" s="21">
        <f t="shared" si="14"/>
        <v>3</v>
      </c>
      <c r="AK243" s="59">
        <f t="shared" si="15"/>
        <v>1.875</v>
      </c>
      <c r="AL243" s="60" t="str">
        <f t="shared" si="16"/>
        <v>subpar</v>
      </c>
      <c r="AW243" s="22">
        <f t="shared" ref="AW243:BC243" si="1219">IF(IFERROR(SEARCH(E$1, $D243),0) &gt;= 1, E$1,0)</f>
        <v>0</v>
      </c>
      <c r="AX243" s="22">
        <f t="shared" si="1219"/>
        <v>0</v>
      </c>
      <c r="AY243" s="22">
        <f t="shared" si="1219"/>
        <v>0</v>
      </c>
      <c r="AZ243" s="22">
        <f t="shared" si="1219"/>
        <v>0</v>
      </c>
      <c r="BA243" s="22">
        <f t="shared" si="1219"/>
        <v>0</v>
      </c>
      <c r="BB243" s="22" t="str">
        <f t="shared" si="1219"/>
        <v>Beeldende kunst</v>
      </c>
      <c r="BC243" s="22">
        <f t="shared" si="1219"/>
        <v>0</v>
      </c>
      <c r="BD243" s="22" t="str">
        <f t="shared" ref="BD243:BG243" si="1220">IF(L243 = true, BD$1, 0)</f>
        <v>Shop</v>
      </c>
      <c r="BE243" s="22">
        <f t="shared" si="1220"/>
        <v>0</v>
      </c>
      <c r="BF243" s="22">
        <f t="shared" si="1220"/>
        <v>0</v>
      </c>
      <c r="BG243" s="22">
        <f t="shared" si="1220"/>
        <v>0</v>
      </c>
      <c r="BH243" s="22" t="str">
        <f>IFERROR(__xludf.DUMMYFUNCTION("""COMPUTED_VALUE"""),"Bastogne Barracks")</f>
        <v>Bastogne Barracks</v>
      </c>
      <c r="BI243" s="24">
        <f>IFERROR(__xludf.DUMMYFUNCTION("""COMPUTED_VALUE"""),12.0)</f>
        <v>12</v>
      </c>
      <c r="BJ243" s="22" t="b">
        <f>IFERROR(__xludf.DUMMYFUNCTION("""COMPUTED_VALUE"""),FALSE)</f>
        <v>0</v>
      </c>
      <c r="BK243" s="22" t="b">
        <f>IFERROR(__xludf.DUMMYFUNCTION("""COMPUTED_VALUE"""),FALSE)</f>
        <v>0</v>
      </c>
      <c r="BL243" s="22"/>
      <c r="BM243" s="22">
        <f>IFERROR(__xludf.DUMMYFUNCTION("""COMPUTED_VALUE"""),0.0)</f>
        <v>0</v>
      </c>
      <c r="BN243" s="22">
        <f>IFERROR(__xludf.DUMMYFUNCTION("""COMPUTED_VALUE"""),1.0)</f>
        <v>1</v>
      </c>
      <c r="BO243" s="22">
        <f>IFERROR(__xludf.DUMMYFUNCTION("""COMPUTED_VALUE"""),0.0)</f>
        <v>0</v>
      </c>
      <c r="BP243" s="22">
        <f>IFERROR(__xludf.DUMMYFUNCTION("""COMPUTED_VALUE"""),0.0)</f>
        <v>0</v>
      </c>
      <c r="BQ243" s="22">
        <f>IFERROR(__xludf.DUMMYFUNCTION("""COMPUTED_VALUE"""),0.0)</f>
        <v>0</v>
      </c>
      <c r="BR243" s="22">
        <f>IFERROR(__xludf.DUMMYFUNCTION("""COMPUTED_VALUE"""),0.0)</f>
        <v>0</v>
      </c>
      <c r="BS243" s="22">
        <f>IFERROR(__xludf.DUMMYFUNCTION("""COMPUTED_VALUE"""),0.0)</f>
        <v>0</v>
      </c>
      <c r="BT243" s="22">
        <f>IFERROR(__xludf.DUMMYFUNCTION("""COMPUTED_VALUE"""),0.0)</f>
        <v>0</v>
      </c>
      <c r="BU243" s="22">
        <f>IFERROR(__xludf.DUMMYFUNCTION("""COMPUTED_VALUE"""),1.0)</f>
        <v>1</v>
      </c>
      <c r="BV243" s="22">
        <f>IFERROR(__xludf.DUMMYFUNCTION("""COMPUTED_VALUE"""),0.0)</f>
        <v>0</v>
      </c>
      <c r="BW243" s="22">
        <f>IFERROR(__xludf.DUMMYFUNCTION("""COMPUTED_VALUE"""),0.0)</f>
        <v>0</v>
      </c>
      <c r="BX243" s="22">
        <f>IFERROR(__xludf.DUMMYFUNCTION("""COMPUTED_VALUE"""),1.0)</f>
        <v>1</v>
      </c>
      <c r="BY243" s="22">
        <f>IFERROR(__xludf.DUMMYFUNCTION("""COMPUTED_VALUE"""),0.0)</f>
        <v>0</v>
      </c>
      <c r="BZ243" s="22">
        <f>IFERROR(__xludf.DUMMYFUNCTION("""COMPUTED_VALUE"""),0.0)</f>
        <v>0</v>
      </c>
      <c r="CA243" s="22">
        <f>IFERROR(__xludf.DUMMYFUNCTION("""COMPUTED_VALUE"""),1.0)</f>
        <v>1</v>
      </c>
      <c r="CB243" s="22">
        <f>IFERROR(__xludf.DUMMYFUNCTION("""COMPUTED_VALUE"""),2.0)</f>
        <v>2</v>
      </c>
      <c r="CC243" s="61">
        <f>IFERROR(__xludf.DUMMYFUNCTION("""COMPUTED_VALUE"""),1.25)</f>
        <v>1.25</v>
      </c>
      <c r="CD243" s="62" t="str">
        <f>IFERROR(__xludf.DUMMYFUNCTION("""COMPUTED_VALUE"""),"subpar")</f>
        <v>subpar</v>
      </c>
      <c r="CE243" s="22" t="s">
        <v>393</v>
      </c>
      <c r="CF243" s="24">
        <v>12.0</v>
      </c>
      <c r="CG243" s="22" t="b">
        <v>0</v>
      </c>
      <c r="CH243" s="22" t="b">
        <v>0</v>
      </c>
      <c r="CI243" s="22"/>
      <c r="CJ243" s="22">
        <v>0.0</v>
      </c>
      <c r="CK243" s="22">
        <v>1.0</v>
      </c>
      <c r="CL243" s="22">
        <v>0.0</v>
      </c>
      <c r="CM243" s="22">
        <v>0.0</v>
      </c>
      <c r="CN243" s="22">
        <v>0.0</v>
      </c>
      <c r="CO243" s="22">
        <v>0.0</v>
      </c>
      <c r="CP243" s="22">
        <v>0.0</v>
      </c>
      <c r="CQ243" s="22">
        <v>0.0</v>
      </c>
      <c r="CR243" s="22">
        <v>1.0</v>
      </c>
      <c r="CS243" s="22">
        <v>0.0</v>
      </c>
      <c r="CT243" s="22">
        <v>0.0</v>
      </c>
      <c r="CU243" s="22">
        <v>1.0</v>
      </c>
      <c r="CV243" s="22">
        <v>0.0</v>
      </c>
      <c r="CW243" s="22">
        <v>0.0</v>
      </c>
      <c r="CX243" s="22">
        <v>1.0</v>
      </c>
      <c r="CY243" s="22">
        <v>2.0</v>
      </c>
      <c r="CZ243" s="61">
        <v>1.25</v>
      </c>
      <c r="DA243" s="62" t="s">
        <v>568</v>
      </c>
    </row>
    <row r="244">
      <c r="A244" s="16" t="s">
        <v>509</v>
      </c>
      <c r="B244" s="16" t="s">
        <v>510</v>
      </c>
      <c r="C244" s="17" t="s">
        <v>55</v>
      </c>
      <c r="D244" s="16" t="s">
        <v>37</v>
      </c>
      <c r="E244" s="17" t="b">
        <f t="shared" ref="E244:K244" si="1221">If(IFERROR(SEARCH(E$1, $D244),0) &gt;= 1, true,false)</f>
        <v>1</v>
      </c>
      <c r="F244" s="17" t="b">
        <f t="shared" si="1221"/>
        <v>0</v>
      </c>
      <c r="G244" s="17" t="b">
        <f t="shared" si="1221"/>
        <v>0</v>
      </c>
      <c r="H244" s="17" t="b">
        <f t="shared" si="1221"/>
        <v>0</v>
      </c>
      <c r="I244" s="17" t="b">
        <f t="shared" si="1221"/>
        <v>0</v>
      </c>
      <c r="J244" s="17" t="b">
        <f t="shared" si="1221"/>
        <v>0</v>
      </c>
      <c r="K244" s="17" t="b">
        <f t="shared" si="1221"/>
        <v>1</v>
      </c>
      <c r="L244" s="18" t="b">
        <v>1</v>
      </c>
      <c r="M244" s="18" t="b">
        <v>1</v>
      </c>
      <c r="N244" s="18" t="b">
        <v>0</v>
      </c>
      <c r="O244" s="18" t="b">
        <v>0</v>
      </c>
      <c r="P244" s="16" t="str">
        <f t="shared" si="7"/>
        <v>Huis van Alijn</v>
      </c>
      <c r="Q244" s="19">
        <v>9.0</v>
      </c>
      <c r="R244" s="18" t="b">
        <v>0</v>
      </c>
      <c r="S244" s="18" t="b">
        <v>1</v>
      </c>
      <c r="T244" s="27">
        <v>9.0</v>
      </c>
      <c r="U244" s="21">
        <f t="shared" si="8"/>
        <v>1</v>
      </c>
      <c r="V244" s="21">
        <f t="shared" ref="V244:AB244" si="1222">if(OR(AW244 = $AO$4, AW244 = $AQ$4), 1, 0)</f>
        <v>1</v>
      </c>
      <c r="W244" s="21">
        <f t="shared" si="1222"/>
        <v>0</v>
      </c>
      <c r="X244" s="21">
        <f t="shared" si="1222"/>
        <v>0</v>
      </c>
      <c r="Y244" s="21">
        <f t="shared" si="1222"/>
        <v>0</v>
      </c>
      <c r="Z244" s="21">
        <f t="shared" si="1222"/>
        <v>0</v>
      </c>
      <c r="AA244" s="21">
        <f t="shared" si="1222"/>
        <v>0</v>
      </c>
      <c r="AB244" s="21">
        <f t="shared" si="1222"/>
        <v>0</v>
      </c>
      <c r="AC244" s="21">
        <f t="shared" si="10"/>
        <v>1</v>
      </c>
      <c r="AD244" s="21">
        <f t="shared" si="11"/>
        <v>1</v>
      </c>
      <c r="AE244" s="21">
        <f t="shared" ref="AE244:AH244" si="1223">if(OR(BD244 = $AO$6, BD244 = $AS$6, BD244 = $AT$6, BD244 = $AU$6), 1, 0)</f>
        <v>1</v>
      </c>
      <c r="AF244" s="21">
        <f t="shared" si="1223"/>
        <v>1</v>
      </c>
      <c r="AG244" s="21">
        <f t="shared" si="1223"/>
        <v>0</v>
      </c>
      <c r="AH244" s="21">
        <f t="shared" si="1223"/>
        <v>0</v>
      </c>
      <c r="AI244" s="21">
        <f t="shared" si="13"/>
        <v>2</v>
      </c>
      <c r="AJ244" s="21">
        <f t="shared" si="14"/>
        <v>5</v>
      </c>
      <c r="AK244" s="59">
        <f t="shared" si="15"/>
        <v>3.125</v>
      </c>
      <c r="AL244" s="60" t="str">
        <f t="shared" si="16"/>
        <v>good</v>
      </c>
      <c r="AW244" s="22" t="str">
        <f t="shared" ref="AW244:BC244" si="1224">IF(IFERROR(SEARCH(E$1, $D244),0) &gt;= 1, E$1,0)</f>
        <v>Geschiedenis en archeologie</v>
      </c>
      <c r="AX244" s="22">
        <f t="shared" si="1224"/>
        <v>0</v>
      </c>
      <c r="AY244" s="22">
        <f t="shared" si="1224"/>
        <v>0</v>
      </c>
      <c r="AZ244" s="22">
        <f t="shared" si="1224"/>
        <v>0</v>
      </c>
      <c r="BA244" s="22">
        <f t="shared" si="1224"/>
        <v>0</v>
      </c>
      <c r="BB244" s="22">
        <f t="shared" si="1224"/>
        <v>0</v>
      </c>
      <c r="BC244" s="22" t="str">
        <f t="shared" si="1224"/>
        <v>Toegepaste kunst en design</v>
      </c>
      <c r="BD244" s="22" t="str">
        <f t="shared" ref="BD244:BG244" si="1225">IF(L244 = true, BD$1, 0)</f>
        <v>Shop</v>
      </c>
      <c r="BE244" s="22" t="str">
        <f t="shared" si="1225"/>
        <v>Café</v>
      </c>
      <c r="BF244" s="22">
        <f t="shared" si="1225"/>
        <v>0</v>
      </c>
      <c r="BG244" s="22">
        <f t="shared" si="1225"/>
        <v>0</v>
      </c>
      <c r="BH244" s="22" t="str">
        <f>IFERROR(__xludf.DUMMYFUNCTION("""COMPUTED_VALUE"""),"Art et marges musée museum")</f>
        <v>Art et marges musée museum</v>
      </c>
      <c r="BI244" s="24">
        <f>IFERROR(__xludf.DUMMYFUNCTION("""COMPUTED_VALUE"""),6.0)</f>
        <v>6</v>
      </c>
      <c r="BJ244" s="22" t="b">
        <f>IFERROR(__xludf.DUMMYFUNCTION("""COMPUTED_VALUE"""),FALSE)</f>
        <v>0</v>
      </c>
      <c r="BK244" s="22" t="b">
        <f>IFERROR(__xludf.DUMMYFUNCTION("""COMPUTED_VALUE"""),TRUE)</f>
        <v>1</v>
      </c>
      <c r="BL244" s="24">
        <f>IFERROR(__xludf.DUMMYFUNCTION("""COMPUTED_VALUE"""),6.0)</f>
        <v>6</v>
      </c>
      <c r="BM244" s="22">
        <f>IFERROR(__xludf.DUMMYFUNCTION("""COMPUTED_VALUE"""),0.0)</f>
        <v>0</v>
      </c>
      <c r="BN244" s="22">
        <f>IFERROR(__xludf.DUMMYFUNCTION("""COMPUTED_VALUE"""),0.0)</f>
        <v>0</v>
      </c>
      <c r="BO244" s="22">
        <f>IFERROR(__xludf.DUMMYFUNCTION("""COMPUTED_VALUE"""),0.0)</f>
        <v>0</v>
      </c>
      <c r="BP244" s="22">
        <f>IFERROR(__xludf.DUMMYFUNCTION("""COMPUTED_VALUE"""),0.0)</f>
        <v>0</v>
      </c>
      <c r="BQ244" s="22">
        <f>IFERROR(__xludf.DUMMYFUNCTION("""COMPUTED_VALUE"""),0.0)</f>
        <v>0</v>
      </c>
      <c r="BR244" s="22">
        <f>IFERROR(__xludf.DUMMYFUNCTION("""COMPUTED_VALUE"""),0.0)</f>
        <v>0</v>
      </c>
      <c r="BS244" s="22">
        <f>IFERROR(__xludf.DUMMYFUNCTION("""COMPUTED_VALUE"""),1.0)</f>
        <v>1</v>
      </c>
      <c r="BT244" s="22">
        <f>IFERROR(__xludf.DUMMYFUNCTION("""COMPUTED_VALUE"""),0.0)</f>
        <v>0</v>
      </c>
      <c r="BU244" s="22">
        <f>IFERROR(__xludf.DUMMYFUNCTION("""COMPUTED_VALUE"""),1.0)</f>
        <v>1</v>
      </c>
      <c r="BV244" s="22">
        <f>IFERROR(__xludf.DUMMYFUNCTION("""COMPUTED_VALUE"""),1.0)</f>
        <v>1</v>
      </c>
      <c r="BW244" s="22">
        <f>IFERROR(__xludf.DUMMYFUNCTION("""COMPUTED_VALUE"""),0.0)</f>
        <v>0</v>
      </c>
      <c r="BX244" s="22">
        <f>IFERROR(__xludf.DUMMYFUNCTION("""COMPUTED_VALUE"""),0.0)</f>
        <v>0</v>
      </c>
      <c r="BY244" s="22">
        <f>IFERROR(__xludf.DUMMYFUNCTION("""COMPUTED_VALUE"""),0.0)</f>
        <v>0</v>
      </c>
      <c r="BZ244" s="22">
        <f>IFERROR(__xludf.DUMMYFUNCTION("""COMPUTED_VALUE"""),0.0)</f>
        <v>0</v>
      </c>
      <c r="CA244" s="22">
        <f>IFERROR(__xludf.DUMMYFUNCTION("""COMPUTED_VALUE"""),0.0)</f>
        <v>0</v>
      </c>
      <c r="CB244" s="22">
        <f>IFERROR(__xludf.DUMMYFUNCTION("""COMPUTED_VALUE"""),2.0)</f>
        <v>2</v>
      </c>
      <c r="CC244" s="61">
        <f>IFERROR(__xludf.DUMMYFUNCTION("""COMPUTED_VALUE"""),1.25)</f>
        <v>1.25</v>
      </c>
      <c r="CD244" s="62" t="str">
        <f>IFERROR(__xludf.DUMMYFUNCTION("""COMPUTED_VALUE"""),"subpar")</f>
        <v>subpar</v>
      </c>
      <c r="CE244" s="22" t="s">
        <v>412</v>
      </c>
      <c r="CF244" s="24">
        <v>6.0</v>
      </c>
      <c r="CG244" s="22" t="b">
        <v>0</v>
      </c>
      <c r="CH244" s="22" t="b">
        <v>1</v>
      </c>
      <c r="CI244" s="24">
        <v>6.0</v>
      </c>
      <c r="CJ244" s="22">
        <v>0.0</v>
      </c>
      <c r="CK244" s="22">
        <v>0.0</v>
      </c>
      <c r="CL244" s="22">
        <v>0.0</v>
      </c>
      <c r="CM244" s="22">
        <v>0.0</v>
      </c>
      <c r="CN244" s="22">
        <v>0.0</v>
      </c>
      <c r="CO244" s="22">
        <v>0.0</v>
      </c>
      <c r="CP244" s="22">
        <v>1.0</v>
      </c>
      <c r="CQ244" s="22">
        <v>0.0</v>
      </c>
      <c r="CR244" s="22">
        <v>1.0</v>
      </c>
      <c r="CS244" s="22">
        <v>1.0</v>
      </c>
      <c r="CT244" s="22">
        <v>0.0</v>
      </c>
      <c r="CU244" s="22">
        <v>0.0</v>
      </c>
      <c r="CV244" s="22">
        <v>0.0</v>
      </c>
      <c r="CW244" s="22">
        <v>0.0</v>
      </c>
      <c r="CX244" s="22">
        <v>0.0</v>
      </c>
      <c r="CY244" s="22">
        <v>2.0</v>
      </c>
      <c r="CZ244" s="61">
        <v>1.25</v>
      </c>
      <c r="DA244" s="62" t="s">
        <v>568</v>
      </c>
    </row>
    <row r="245">
      <c r="A245" s="16" t="s">
        <v>511</v>
      </c>
      <c r="B245" s="16" t="s">
        <v>512</v>
      </c>
      <c r="C245" s="17" t="s">
        <v>55</v>
      </c>
      <c r="D245" s="16" t="s">
        <v>107</v>
      </c>
      <c r="E245" s="17" t="b">
        <f t="shared" ref="E245:K245" si="1226">If(IFERROR(SEARCH(E$1, $D245),0) &gt;= 1, true,false)</f>
        <v>1</v>
      </c>
      <c r="F245" s="17" t="b">
        <f t="shared" si="1226"/>
        <v>1</v>
      </c>
      <c r="G245" s="17" t="b">
        <f t="shared" si="1226"/>
        <v>0</v>
      </c>
      <c r="H245" s="17" t="b">
        <f t="shared" si="1226"/>
        <v>0</v>
      </c>
      <c r="I245" s="17" t="b">
        <f t="shared" si="1226"/>
        <v>0</v>
      </c>
      <c r="J245" s="17" t="b">
        <f t="shared" si="1226"/>
        <v>0</v>
      </c>
      <c r="K245" s="17" t="b">
        <f t="shared" si="1226"/>
        <v>0</v>
      </c>
      <c r="L245" s="18" t="b">
        <v>0</v>
      </c>
      <c r="M245" s="18" t="b">
        <v>0</v>
      </c>
      <c r="N245" s="18" t="b">
        <v>0</v>
      </c>
      <c r="O245" s="18" t="b">
        <v>0</v>
      </c>
      <c r="P245" s="16" t="str">
        <f t="shared" si="7"/>
        <v>Industriemuseum</v>
      </c>
      <c r="Q245" s="19">
        <v>9.0</v>
      </c>
      <c r="R245" s="18" t="b">
        <v>0</v>
      </c>
      <c r="S245" s="18" t="b">
        <v>1</v>
      </c>
      <c r="T245" s="27">
        <v>9.0</v>
      </c>
      <c r="U245" s="21">
        <f t="shared" si="8"/>
        <v>1</v>
      </c>
      <c r="V245" s="21">
        <f t="shared" ref="V245:AB245" si="1227">if(OR(AW245 = $AO$4, AW245 = $AQ$4), 1, 0)</f>
        <v>1</v>
      </c>
      <c r="W245" s="21">
        <f t="shared" si="1227"/>
        <v>0</v>
      </c>
      <c r="X245" s="21">
        <f t="shared" si="1227"/>
        <v>0</v>
      </c>
      <c r="Y245" s="21">
        <f t="shared" si="1227"/>
        <v>0</v>
      </c>
      <c r="Z245" s="21">
        <f t="shared" si="1227"/>
        <v>0</v>
      </c>
      <c r="AA245" s="21">
        <f t="shared" si="1227"/>
        <v>0</v>
      </c>
      <c r="AB245" s="21">
        <f t="shared" si="1227"/>
        <v>0</v>
      </c>
      <c r="AC245" s="21">
        <f t="shared" si="10"/>
        <v>1</v>
      </c>
      <c r="AD245" s="21">
        <f t="shared" si="11"/>
        <v>1</v>
      </c>
      <c r="AE245" s="21">
        <f t="shared" ref="AE245:AH245" si="1228">if(OR(BD245 = $AO$6, BD245 = $AS$6, BD245 = $AT$6, BD245 = $AU$6), 1, 0)</f>
        <v>0</v>
      </c>
      <c r="AF245" s="21">
        <f t="shared" si="1228"/>
        <v>0</v>
      </c>
      <c r="AG245" s="21">
        <f t="shared" si="1228"/>
        <v>0</v>
      </c>
      <c r="AH245" s="21">
        <f t="shared" si="1228"/>
        <v>0</v>
      </c>
      <c r="AI245" s="21">
        <f t="shared" si="13"/>
        <v>0</v>
      </c>
      <c r="AJ245" s="21">
        <f t="shared" si="14"/>
        <v>3</v>
      </c>
      <c r="AK245" s="59">
        <f t="shared" si="15"/>
        <v>1.875</v>
      </c>
      <c r="AL245" s="60" t="str">
        <f t="shared" si="16"/>
        <v>subpar</v>
      </c>
      <c r="AW245" s="22" t="str">
        <f t="shared" ref="AW245:BC245" si="1229">IF(IFERROR(SEARCH(E$1, $D245),0) &gt;= 1, E$1,0)</f>
        <v>Geschiedenis en archeologie</v>
      </c>
      <c r="AX245" s="22" t="str">
        <f t="shared" si="1229"/>
        <v>Wetenschap en technologie</v>
      </c>
      <c r="AY245" s="22">
        <f t="shared" si="1229"/>
        <v>0</v>
      </c>
      <c r="AZ245" s="22">
        <f t="shared" si="1229"/>
        <v>0</v>
      </c>
      <c r="BA245" s="22">
        <f t="shared" si="1229"/>
        <v>0</v>
      </c>
      <c r="BB245" s="22">
        <f t="shared" si="1229"/>
        <v>0</v>
      </c>
      <c r="BC245" s="22">
        <f t="shared" si="1229"/>
        <v>0</v>
      </c>
      <c r="BD245" s="22">
        <f t="shared" ref="BD245:BG245" si="1230">IF(L245 = true, BD$1, 0)</f>
        <v>0</v>
      </c>
      <c r="BE245" s="22">
        <f t="shared" si="1230"/>
        <v>0</v>
      </c>
      <c r="BF245" s="22">
        <f t="shared" si="1230"/>
        <v>0</v>
      </c>
      <c r="BG245" s="22">
        <f t="shared" si="1230"/>
        <v>0</v>
      </c>
      <c r="BH245" s="22" t="str">
        <f>IFERROR(__xludf.DUMMYFUNCTION("""COMPUTED_VALUE"""),"CIVA")</f>
        <v>CIVA</v>
      </c>
      <c r="BI245" s="24">
        <f>IFERROR(__xludf.DUMMYFUNCTION("""COMPUTED_VALUE"""),10.0)</f>
        <v>10</v>
      </c>
      <c r="BJ245" s="22" t="b">
        <f>IFERROR(__xludf.DUMMYFUNCTION("""COMPUTED_VALUE"""),FALSE)</f>
        <v>0</v>
      </c>
      <c r="BK245" s="22" t="b">
        <f>IFERROR(__xludf.DUMMYFUNCTION("""COMPUTED_VALUE"""),FALSE)</f>
        <v>0</v>
      </c>
      <c r="BL245" s="22"/>
      <c r="BM245" s="22">
        <f>IFERROR(__xludf.DUMMYFUNCTION("""COMPUTED_VALUE"""),0.0)</f>
        <v>0</v>
      </c>
      <c r="BN245" s="22">
        <f>IFERROR(__xludf.DUMMYFUNCTION("""COMPUTED_VALUE"""),0.0)</f>
        <v>0</v>
      </c>
      <c r="BO245" s="22">
        <f>IFERROR(__xludf.DUMMYFUNCTION("""COMPUTED_VALUE"""),0.0)</f>
        <v>0</v>
      </c>
      <c r="BP245" s="22">
        <f>IFERROR(__xludf.DUMMYFUNCTION("""COMPUTED_VALUE"""),0.0)</f>
        <v>0</v>
      </c>
      <c r="BQ245" s="22">
        <f>IFERROR(__xludf.DUMMYFUNCTION("""COMPUTED_VALUE"""),0.0)</f>
        <v>0</v>
      </c>
      <c r="BR245" s="22">
        <f>IFERROR(__xludf.DUMMYFUNCTION("""COMPUTED_VALUE"""),0.0)</f>
        <v>0</v>
      </c>
      <c r="BS245" s="22">
        <f>IFERROR(__xludf.DUMMYFUNCTION("""COMPUTED_VALUE"""),0.0)</f>
        <v>0</v>
      </c>
      <c r="BT245" s="22">
        <f>IFERROR(__xludf.DUMMYFUNCTION("""COMPUTED_VALUE"""),0.0)</f>
        <v>0</v>
      </c>
      <c r="BU245" s="22">
        <f>IFERROR(__xludf.DUMMYFUNCTION("""COMPUTED_VALUE"""),0.0)</f>
        <v>0</v>
      </c>
      <c r="BV245" s="22">
        <f>IFERROR(__xludf.DUMMYFUNCTION("""COMPUTED_VALUE"""),1.0)</f>
        <v>1</v>
      </c>
      <c r="BW245" s="22">
        <f>IFERROR(__xludf.DUMMYFUNCTION("""COMPUTED_VALUE"""),1.0)</f>
        <v>1</v>
      </c>
      <c r="BX245" s="22">
        <f>IFERROR(__xludf.DUMMYFUNCTION("""COMPUTED_VALUE"""),0.0)</f>
        <v>0</v>
      </c>
      <c r="BY245" s="22">
        <f>IFERROR(__xludf.DUMMYFUNCTION("""COMPUTED_VALUE"""),0.0)</f>
        <v>0</v>
      </c>
      <c r="BZ245" s="22">
        <f>IFERROR(__xludf.DUMMYFUNCTION("""COMPUTED_VALUE"""),0.0)</f>
        <v>0</v>
      </c>
      <c r="CA245" s="22">
        <f>IFERROR(__xludf.DUMMYFUNCTION("""COMPUTED_VALUE"""),1.0)</f>
        <v>1</v>
      </c>
      <c r="CB245" s="22">
        <f>IFERROR(__xludf.DUMMYFUNCTION("""COMPUTED_VALUE"""),2.0)</f>
        <v>2</v>
      </c>
      <c r="CC245" s="61">
        <f>IFERROR(__xludf.DUMMYFUNCTION("""COMPUTED_VALUE"""),1.25)</f>
        <v>1.25</v>
      </c>
      <c r="CD245" s="62" t="str">
        <f>IFERROR(__xludf.DUMMYFUNCTION("""COMPUTED_VALUE"""),"subpar")</f>
        <v>subpar</v>
      </c>
      <c r="CE245" s="22" t="s">
        <v>419</v>
      </c>
      <c r="CF245" s="24">
        <v>10.0</v>
      </c>
      <c r="CG245" s="22" t="b">
        <v>0</v>
      </c>
      <c r="CH245" s="22" t="b">
        <v>0</v>
      </c>
      <c r="CI245" s="22"/>
      <c r="CJ245" s="22">
        <v>0.0</v>
      </c>
      <c r="CK245" s="22">
        <v>0.0</v>
      </c>
      <c r="CL245" s="22">
        <v>0.0</v>
      </c>
      <c r="CM245" s="22">
        <v>0.0</v>
      </c>
      <c r="CN245" s="22">
        <v>0.0</v>
      </c>
      <c r="CO245" s="22">
        <v>0.0</v>
      </c>
      <c r="CP245" s="22">
        <v>0.0</v>
      </c>
      <c r="CQ245" s="22">
        <v>0.0</v>
      </c>
      <c r="CR245" s="22">
        <v>0.0</v>
      </c>
      <c r="CS245" s="22">
        <v>1.0</v>
      </c>
      <c r="CT245" s="22">
        <v>1.0</v>
      </c>
      <c r="CU245" s="22">
        <v>0.0</v>
      </c>
      <c r="CV245" s="22">
        <v>0.0</v>
      </c>
      <c r="CW245" s="22">
        <v>0.0</v>
      </c>
      <c r="CX245" s="22">
        <v>1.0</v>
      </c>
      <c r="CY245" s="22">
        <v>2.0</v>
      </c>
      <c r="CZ245" s="61">
        <v>1.25</v>
      </c>
      <c r="DA245" s="62" t="s">
        <v>568</v>
      </c>
    </row>
    <row r="246">
      <c r="A246" s="16" t="s">
        <v>513</v>
      </c>
      <c r="B246" s="16" t="s">
        <v>514</v>
      </c>
      <c r="C246" s="17" t="s">
        <v>55</v>
      </c>
      <c r="D246" s="16" t="s">
        <v>107</v>
      </c>
      <c r="E246" s="17" t="b">
        <f t="shared" ref="E246:K246" si="1231">If(IFERROR(SEARCH(E$1, $D246),0) &gt;= 1, true,false)</f>
        <v>1</v>
      </c>
      <c r="F246" s="17" t="b">
        <f t="shared" si="1231"/>
        <v>1</v>
      </c>
      <c r="G246" s="17" t="b">
        <f t="shared" si="1231"/>
        <v>0</v>
      </c>
      <c r="H246" s="17" t="b">
        <f t="shared" si="1231"/>
        <v>0</v>
      </c>
      <c r="I246" s="17" t="b">
        <f t="shared" si="1231"/>
        <v>0</v>
      </c>
      <c r="J246" s="17" t="b">
        <f t="shared" si="1231"/>
        <v>0</v>
      </c>
      <c r="K246" s="17" t="b">
        <f t="shared" si="1231"/>
        <v>0</v>
      </c>
      <c r="L246" s="18" t="b">
        <v>1</v>
      </c>
      <c r="M246" s="18" t="b">
        <v>0</v>
      </c>
      <c r="N246" s="18" t="b">
        <v>1</v>
      </c>
      <c r="O246" s="18" t="b">
        <v>0</v>
      </c>
      <c r="P246" s="16" t="str">
        <f t="shared" si="7"/>
        <v>Mercatormuseum</v>
      </c>
      <c r="Q246" s="19">
        <v>8.0</v>
      </c>
      <c r="R246" s="18" t="b">
        <v>1</v>
      </c>
      <c r="S246" s="18" t="b">
        <v>0</v>
      </c>
      <c r="U246" s="21">
        <f t="shared" si="8"/>
        <v>1</v>
      </c>
      <c r="V246" s="21">
        <f t="shared" ref="V246:AB246" si="1232">if(OR(AW246 = $AO$4, AW246 = $AQ$4), 1, 0)</f>
        <v>1</v>
      </c>
      <c r="W246" s="21">
        <f t="shared" si="1232"/>
        <v>0</v>
      </c>
      <c r="X246" s="21">
        <f t="shared" si="1232"/>
        <v>0</v>
      </c>
      <c r="Y246" s="21">
        <f t="shared" si="1232"/>
        <v>0</v>
      </c>
      <c r="Z246" s="21">
        <f t="shared" si="1232"/>
        <v>0</v>
      </c>
      <c r="AA246" s="21">
        <f t="shared" si="1232"/>
        <v>0</v>
      </c>
      <c r="AB246" s="21">
        <f t="shared" si="1232"/>
        <v>0</v>
      </c>
      <c r="AC246" s="21">
        <f t="shared" si="10"/>
        <v>1</v>
      </c>
      <c r="AD246" s="21">
        <f t="shared" si="11"/>
        <v>1</v>
      </c>
      <c r="AE246" s="21">
        <f t="shared" ref="AE246:AH246" si="1233">if(OR(BD246 = $AO$6, BD246 = $AS$6, BD246 = $AT$6, BD246 = $AU$6), 1, 0)</f>
        <v>1</v>
      </c>
      <c r="AF246" s="21">
        <f t="shared" si="1233"/>
        <v>0</v>
      </c>
      <c r="AG246" s="21">
        <f t="shared" si="1233"/>
        <v>1</v>
      </c>
      <c r="AH246" s="21">
        <f t="shared" si="1233"/>
        <v>0</v>
      </c>
      <c r="AI246" s="21">
        <f t="shared" si="13"/>
        <v>2</v>
      </c>
      <c r="AJ246" s="21">
        <f t="shared" si="14"/>
        <v>5</v>
      </c>
      <c r="AK246" s="59">
        <f t="shared" si="15"/>
        <v>3.125</v>
      </c>
      <c r="AL246" s="60" t="str">
        <f t="shared" si="16"/>
        <v>good</v>
      </c>
      <c r="AW246" s="22" t="str">
        <f t="shared" ref="AW246:BC246" si="1234">IF(IFERROR(SEARCH(E$1, $D246),0) &gt;= 1, E$1,0)</f>
        <v>Geschiedenis en archeologie</v>
      </c>
      <c r="AX246" s="22" t="str">
        <f t="shared" si="1234"/>
        <v>Wetenschap en technologie</v>
      </c>
      <c r="AY246" s="22">
        <f t="shared" si="1234"/>
        <v>0</v>
      </c>
      <c r="AZ246" s="22">
        <f t="shared" si="1234"/>
        <v>0</v>
      </c>
      <c r="BA246" s="22">
        <f t="shared" si="1234"/>
        <v>0</v>
      </c>
      <c r="BB246" s="22">
        <f t="shared" si="1234"/>
        <v>0</v>
      </c>
      <c r="BC246" s="22">
        <f t="shared" si="1234"/>
        <v>0</v>
      </c>
      <c r="BD246" s="22" t="str">
        <f t="shared" ref="BD246:BG246" si="1235">IF(L246 = true, BD$1, 0)</f>
        <v>Shop</v>
      </c>
      <c r="BE246" s="22">
        <f t="shared" si="1235"/>
        <v>0</v>
      </c>
      <c r="BF246" s="22" t="str">
        <f t="shared" si="1235"/>
        <v>Parking</v>
      </c>
      <c r="BG246" s="22">
        <f t="shared" si="1235"/>
        <v>0</v>
      </c>
      <c r="BH246" s="22" t="str">
        <f>IFERROR(__xludf.DUMMYFUNCTION("""COMPUTED_VALUE"""),"Brel Stichting")</f>
        <v>Brel Stichting</v>
      </c>
      <c r="BI246" s="24">
        <f>IFERROR(__xludf.DUMMYFUNCTION("""COMPUTED_VALUE"""),14.0)</f>
        <v>14</v>
      </c>
      <c r="BJ246" s="22" t="b">
        <f>IFERROR(__xludf.DUMMYFUNCTION("""COMPUTED_VALUE"""),FALSE)</f>
        <v>0</v>
      </c>
      <c r="BK246" s="22" t="b">
        <f>IFERROR(__xludf.DUMMYFUNCTION("""COMPUTED_VALUE"""),FALSE)</f>
        <v>0</v>
      </c>
      <c r="BL246" s="22"/>
      <c r="BM246" s="22">
        <f>IFERROR(__xludf.DUMMYFUNCTION("""COMPUTED_VALUE"""),0.0)</f>
        <v>0</v>
      </c>
      <c r="BN246" s="22">
        <f>IFERROR(__xludf.DUMMYFUNCTION("""COMPUTED_VALUE"""),1.0)</f>
        <v>1</v>
      </c>
      <c r="BO246" s="22">
        <f>IFERROR(__xludf.DUMMYFUNCTION("""COMPUTED_VALUE"""),0.0)</f>
        <v>0</v>
      </c>
      <c r="BP246" s="22">
        <f>IFERROR(__xludf.DUMMYFUNCTION("""COMPUTED_VALUE"""),0.0)</f>
        <v>0</v>
      </c>
      <c r="BQ246" s="22">
        <f>IFERROR(__xludf.DUMMYFUNCTION("""COMPUTED_VALUE"""),0.0)</f>
        <v>0</v>
      </c>
      <c r="BR246" s="22">
        <f>IFERROR(__xludf.DUMMYFUNCTION("""COMPUTED_VALUE"""),0.0)</f>
        <v>0</v>
      </c>
      <c r="BS246" s="22">
        <f>IFERROR(__xludf.DUMMYFUNCTION("""COMPUTED_VALUE"""),0.0)</f>
        <v>0</v>
      </c>
      <c r="BT246" s="22">
        <f>IFERROR(__xludf.DUMMYFUNCTION("""COMPUTED_VALUE"""),0.0)</f>
        <v>0</v>
      </c>
      <c r="BU246" s="22">
        <f>IFERROR(__xludf.DUMMYFUNCTION("""COMPUTED_VALUE"""),1.0)</f>
        <v>1</v>
      </c>
      <c r="BV246" s="22">
        <f>IFERROR(__xludf.DUMMYFUNCTION("""COMPUTED_VALUE"""),0.0)</f>
        <v>0</v>
      </c>
      <c r="BW246" s="22">
        <f>IFERROR(__xludf.DUMMYFUNCTION("""COMPUTED_VALUE"""),1.0)</f>
        <v>1</v>
      </c>
      <c r="BX246" s="22">
        <f>IFERROR(__xludf.DUMMYFUNCTION("""COMPUTED_VALUE"""),0.0)</f>
        <v>0</v>
      </c>
      <c r="BY246" s="22">
        <f>IFERROR(__xludf.DUMMYFUNCTION("""COMPUTED_VALUE"""),0.0)</f>
        <v>0</v>
      </c>
      <c r="BZ246" s="22">
        <f>IFERROR(__xludf.DUMMYFUNCTION("""COMPUTED_VALUE"""),0.0)</f>
        <v>0</v>
      </c>
      <c r="CA246" s="22">
        <f>IFERROR(__xludf.DUMMYFUNCTION("""COMPUTED_VALUE"""),1.0)</f>
        <v>1</v>
      </c>
      <c r="CB246" s="22">
        <f>IFERROR(__xludf.DUMMYFUNCTION("""COMPUTED_VALUE"""),2.0)</f>
        <v>2</v>
      </c>
      <c r="CC246" s="61">
        <f>IFERROR(__xludf.DUMMYFUNCTION("""COMPUTED_VALUE"""),1.25)</f>
        <v>1.25</v>
      </c>
      <c r="CD246" s="62" t="str">
        <f>IFERROR(__xludf.DUMMYFUNCTION("""COMPUTED_VALUE"""),"subpar")</f>
        <v>subpar</v>
      </c>
      <c r="CE246" s="22" t="s">
        <v>424</v>
      </c>
      <c r="CF246" s="24">
        <v>14.0</v>
      </c>
      <c r="CG246" s="22" t="b">
        <v>0</v>
      </c>
      <c r="CH246" s="22" t="b">
        <v>0</v>
      </c>
      <c r="CI246" s="22"/>
      <c r="CJ246" s="22">
        <v>0.0</v>
      </c>
      <c r="CK246" s="22">
        <v>1.0</v>
      </c>
      <c r="CL246" s="22">
        <v>0.0</v>
      </c>
      <c r="CM246" s="22">
        <v>0.0</v>
      </c>
      <c r="CN246" s="22">
        <v>0.0</v>
      </c>
      <c r="CO246" s="22">
        <v>0.0</v>
      </c>
      <c r="CP246" s="22">
        <v>0.0</v>
      </c>
      <c r="CQ246" s="22">
        <v>0.0</v>
      </c>
      <c r="CR246" s="22">
        <v>1.0</v>
      </c>
      <c r="CS246" s="22">
        <v>0.0</v>
      </c>
      <c r="CT246" s="22">
        <v>1.0</v>
      </c>
      <c r="CU246" s="22">
        <v>0.0</v>
      </c>
      <c r="CV246" s="22">
        <v>0.0</v>
      </c>
      <c r="CW246" s="22">
        <v>0.0</v>
      </c>
      <c r="CX246" s="22">
        <v>1.0</v>
      </c>
      <c r="CY246" s="22">
        <v>2.0</v>
      </c>
      <c r="CZ246" s="61">
        <v>1.25</v>
      </c>
      <c r="DA246" s="62" t="s">
        <v>568</v>
      </c>
    </row>
    <row r="247">
      <c r="A247" s="16" t="s">
        <v>515</v>
      </c>
      <c r="B247" s="16" t="s">
        <v>516</v>
      </c>
      <c r="C247" s="17" t="s">
        <v>55</v>
      </c>
      <c r="D247" s="16" t="s">
        <v>4</v>
      </c>
      <c r="E247" s="17" t="b">
        <f t="shared" ref="E247:K247" si="1236">If(IFERROR(SEARCH(E$1, $D247),0) &gt;= 1, true,false)</f>
        <v>1</v>
      </c>
      <c r="F247" s="17" t="b">
        <f t="shared" si="1236"/>
        <v>0</v>
      </c>
      <c r="G247" s="17" t="b">
        <f t="shared" si="1236"/>
        <v>0</v>
      </c>
      <c r="H247" s="17" t="b">
        <f t="shared" si="1236"/>
        <v>0</v>
      </c>
      <c r="I247" s="17" t="b">
        <f t="shared" si="1236"/>
        <v>0</v>
      </c>
      <c r="J247" s="17" t="b">
        <f t="shared" si="1236"/>
        <v>0</v>
      </c>
      <c r="K247" s="17" t="b">
        <f t="shared" si="1236"/>
        <v>0</v>
      </c>
      <c r="L247" s="18" t="b">
        <v>1</v>
      </c>
      <c r="M247" s="18" t="b">
        <v>0</v>
      </c>
      <c r="N247" s="18" t="b">
        <v>0</v>
      </c>
      <c r="O247" s="18" t="b">
        <v>0</v>
      </c>
      <c r="P247" s="16" t="str">
        <f t="shared" si="7"/>
        <v>MOU | Museum Oudenaarde</v>
      </c>
      <c r="Q247" s="19">
        <v>10.0</v>
      </c>
      <c r="R247" s="18" t="b">
        <v>0</v>
      </c>
      <c r="S247" s="18" t="b">
        <v>0</v>
      </c>
      <c r="U247" s="21">
        <f t="shared" si="8"/>
        <v>1</v>
      </c>
      <c r="V247" s="21">
        <f t="shared" ref="V247:AB247" si="1237">if(OR(AW247 = $AO$4, AW247 = $AQ$4), 1, 0)</f>
        <v>1</v>
      </c>
      <c r="W247" s="21">
        <f t="shared" si="1237"/>
        <v>0</v>
      </c>
      <c r="X247" s="21">
        <f t="shared" si="1237"/>
        <v>0</v>
      </c>
      <c r="Y247" s="21">
        <f t="shared" si="1237"/>
        <v>0</v>
      </c>
      <c r="Z247" s="21">
        <f t="shared" si="1237"/>
        <v>0</v>
      </c>
      <c r="AA247" s="21">
        <f t="shared" si="1237"/>
        <v>0</v>
      </c>
      <c r="AB247" s="21">
        <f t="shared" si="1237"/>
        <v>0</v>
      </c>
      <c r="AC247" s="21">
        <f t="shared" si="10"/>
        <v>1</v>
      </c>
      <c r="AD247" s="21">
        <f t="shared" si="11"/>
        <v>1</v>
      </c>
      <c r="AE247" s="21">
        <f t="shared" ref="AE247:AH247" si="1238">if(OR(BD247 = $AO$6, BD247 = $AS$6, BD247 = $AT$6, BD247 = $AU$6), 1, 0)</f>
        <v>1</v>
      </c>
      <c r="AF247" s="21">
        <f t="shared" si="1238"/>
        <v>0</v>
      </c>
      <c r="AG247" s="21">
        <f t="shared" si="1238"/>
        <v>0</v>
      </c>
      <c r="AH247" s="21">
        <f t="shared" si="1238"/>
        <v>0</v>
      </c>
      <c r="AI247" s="21">
        <f t="shared" si="13"/>
        <v>1</v>
      </c>
      <c r="AJ247" s="21">
        <f t="shared" si="14"/>
        <v>4</v>
      </c>
      <c r="AK247" s="59">
        <f t="shared" si="15"/>
        <v>2.5</v>
      </c>
      <c r="AL247" s="60" t="str">
        <f t="shared" si="16"/>
        <v>subpar</v>
      </c>
      <c r="AW247" s="22" t="str">
        <f t="shared" ref="AW247:BC247" si="1239">IF(IFERROR(SEARCH(E$1, $D247),0) &gt;= 1, E$1,0)</f>
        <v>Geschiedenis en archeologie</v>
      </c>
      <c r="AX247" s="22">
        <f t="shared" si="1239"/>
        <v>0</v>
      </c>
      <c r="AY247" s="22">
        <f t="shared" si="1239"/>
        <v>0</v>
      </c>
      <c r="AZ247" s="22">
        <f t="shared" si="1239"/>
        <v>0</v>
      </c>
      <c r="BA247" s="22">
        <f t="shared" si="1239"/>
        <v>0</v>
      </c>
      <c r="BB247" s="22">
        <f t="shared" si="1239"/>
        <v>0</v>
      </c>
      <c r="BC247" s="22">
        <f t="shared" si="1239"/>
        <v>0</v>
      </c>
      <c r="BD247" s="22" t="str">
        <f t="shared" ref="BD247:BG247" si="1240">IF(L247 = true, BD$1, 0)</f>
        <v>Shop</v>
      </c>
      <c r="BE247" s="22">
        <f t="shared" si="1240"/>
        <v>0</v>
      </c>
      <c r="BF247" s="22">
        <f t="shared" si="1240"/>
        <v>0</v>
      </c>
      <c r="BG247" s="22">
        <f t="shared" si="1240"/>
        <v>0</v>
      </c>
      <c r="BH247" s="22" t="str">
        <f>IFERROR(__xludf.DUMMYFUNCTION("""COMPUTED_VALUE"""),"Fondation CAB")</f>
        <v>Fondation CAB</v>
      </c>
      <c r="BI247" s="24">
        <f>IFERROR(__xludf.DUMMYFUNCTION("""COMPUTED_VALUE"""),6.0)</f>
        <v>6</v>
      </c>
      <c r="BJ247" s="22" t="b">
        <f>IFERROR(__xludf.DUMMYFUNCTION("""COMPUTED_VALUE"""),FALSE)</f>
        <v>0</v>
      </c>
      <c r="BK247" s="22" t="b">
        <f>IFERROR(__xludf.DUMMYFUNCTION("""COMPUTED_VALUE"""),FALSE)</f>
        <v>0</v>
      </c>
      <c r="BL247" s="22"/>
      <c r="BM247" s="22">
        <f>IFERROR(__xludf.DUMMYFUNCTION("""COMPUTED_VALUE"""),0.0)</f>
        <v>0</v>
      </c>
      <c r="BN247" s="22">
        <f>IFERROR(__xludf.DUMMYFUNCTION("""COMPUTED_VALUE"""),0.0)</f>
        <v>0</v>
      </c>
      <c r="BO247" s="22">
        <f>IFERROR(__xludf.DUMMYFUNCTION("""COMPUTED_VALUE"""),0.0)</f>
        <v>0</v>
      </c>
      <c r="BP247" s="22">
        <f>IFERROR(__xludf.DUMMYFUNCTION("""COMPUTED_VALUE"""),0.0)</f>
        <v>0</v>
      </c>
      <c r="BQ247" s="22">
        <f>IFERROR(__xludf.DUMMYFUNCTION("""COMPUTED_VALUE"""),0.0)</f>
        <v>0</v>
      </c>
      <c r="BR247" s="22">
        <f>IFERROR(__xludf.DUMMYFUNCTION("""COMPUTED_VALUE"""),0.0)</f>
        <v>0</v>
      </c>
      <c r="BS247" s="22">
        <f>IFERROR(__xludf.DUMMYFUNCTION("""COMPUTED_VALUE"""),0.0)</f>
        <v>0</v>
      </c>
      <c r="BT247" s="22">
        <f>IFERROR(__xludf.DUMMYFUNCTION("""COMPUTED_VALUE"""),0.0)</f>
        <v>0</v>
      </c>
      <c r="BU247" s="22">
        <f>IFERROR(__xludf.DUMMYFUNCTION("""COMPUTED_VALUE"""),0.0)</f>
        <v>0</v>
      </c>
      <c r="BV247" s="22">
        <f>IFERROR(__xludf.DUMMYFUNCTION("""COMPUTED_VALUE"""),1.0)</f>
        <v>1</v>
      </c>
      <c r="BW247" s="22">
        <f>IFERROR(__xludf.DUMMYFUNCTION("""COMPUTED_VALUE"""),1.0)</f>
        <v>1</v>
      </c>
      <c r="BX247" s="22">
        <f>IFERROR(__xludf.DUMMYFUNCTION("""COMPUTED_VALUE"""),0.0)</f>
        <v>0</v>
      </c>
      <c r="BY247" s="22">
        <f>IFERROR(__xludf.DUMMYFUNCTION("""COMPUTED_VALUE"""),0.0)</f>
        <v>0</v>
      </c>
      <c r="BZ247" s="22">
        <f>IFERROR(__xludf.DUMMYFUNCTION("""COMPUTED_VALUE"""),0.0)</f>
        <v>0</v>
      </c>
      <c r="CA247" s="22">
        <f>IFERROR(__xludf.DUMMYFUNCTION("""COMPUTED_VALUE"""),1.0)</f>
        <v>1</v>
      </c>
      <c r="CB247" s="22">
        <f>IFERROR(__xludf.DUMMYFUNCTION("""COMPUTED_VALUE"""),2.0)</f>
        <v>2</v>
      </c>
      <c r="CC247" s="61">
        <f>IFERROR(__xludf.DUMMYFUNCTION("""COMPUTED_VALUE"""),1.25)</f>
        <v>1.25</v>
      </c>
      <c r="CD247" s="62" t="str">
        <f>IFERROR(__xludf.DUMMYFUNCTION("""COMPUTED_VALUE"""),"subpar")</f>
        <v>subpar</v>
      </c>
      <c r="CE247" s="22" t="s">
        <v>426</v>
      </c>
      <c r="CF247" s="24">
        <v>6.0</v>
      </c>
      <c r="CG247" s="22" t="b">
        <v>0</v>
      </c>
      <c r="CH247" s="22" t="b">
        <v>0</v>
      </c>
      <c r="CI247" s="22"/>
      <c r="CJ247" s="22">
        <v>0.0</v>
      </c>
      <c r="CK247" s="22">
        <v>0.0</v>
      </c>
      <c r="CL247" s="22">
        <v>0.0</v>
      </c>
      <c r="CM247" s="22">
        <v>0.0</v>
      </c>
      <c r="CN247" s="22">
        <v>0.0</v>
      </c>
      <c r="CO247" s="22">
        <v>0.0</v>
      </c>
      <c r="CP247" s="22">
        <v>0.0</v>
      </c>
      <c r="CQ247" s="22">
        <v>0.0</v>
      </c>
      <c r="CR247" s="22">
        <v>0.0</v>
      </c>
      <c r="CS247" s="22">
        <v>1.0</v>
      </c>
      <c r="CT247" s="22">
        <v>1.0</v>
      </c>
      <c r="CU247" s="22">
        <v>0.0</v>
      </c>
      <c r="CV247" s="22">
        <v>0.0</v>
      </c>
      <c r="CW247" s="22">
        <v>0.0</v>
      </c>
      <c r="CX247" s="22">
        <v>1.0</v>
      </c>
      <c r="CY247" s="22">
        <v>2.0</v>
      </c>
      <c r="CZ247" s="61">
        <v>1.25</v>
      </c>
      <c r="DA247" s="62" t="s">
        <v>568</v>
      </c>
    </row>
    <row r="248">
      <c r="A248" s="16" t="s">
        <v>517</v>
      </c>
      <c r="B248" s="16" t="s">
        <v>518</v>
      </c>
      <c r="C248" s="17" t="s">
        <v>55</v>
      </c>
      <c r="D248" s="16" t="s">
        <v>9</v>
      </c>
      <c r="E248" s="17" t="b">
        <f t="shared" ref="E248:K248" si="1241">If(IFERROR(SEARCH(E$1, $D248),0) &gt;= 1, true,false)</f>
        <v>0</v>
      </c>
      <c r="F248" s="17" t="b">
        <f t="shared" si="1241"/>
        <v>0</v>
      </c>
      <c r="G248" s="17" t="b">
        <f t="shared" si="1241"/>
        <v>0</v>
      </c>
      <c r="H248" s="17" t="b">
        <f t="shared" si="1241"/>
        <v>0</v>
      </c>
      <c r="I248" s="17" t="b">
        <f t="shared" si="1241"/>
        <v>0</v>
      </c>
      <c r="J248" s="17" t="b">
        <f t="shared" si="1241"/>
        <v>1</v>
      </c>
      <c r="K248" s="17" t="b">
        <f t="shared" si="1241"/>
        <v>0</v>
      </c>
      <c r="L248" s="18" t="b">
        <v>1</v>
      </c>
      <c r="M248" s="18" t="b">
        <v>1</v>
      </c>
      <c r="N248" s="18" t="b">
        <v>0</v>
      </c>
      <c r="O248" s="18" t="b">
        <v>1</v>
      </c>
      <c r="P248" s="16" t="str">
        <f t="shared" si="7"/>
        <v>MSK | Museum voor Schone Kunsten Gent</v>
      </c>
      <c r="Q248" s="19">
        <v>22.0</v>
      </c>
      <c r="R248" s="18" t="b">
        <v>0</v>
      </c>
      <c r="S248" s="18" t="b">
        <v>1</v>
      </c>
      <c r="T248" s="29">
        <v>13.0</v>
      </c>
      <c r="U248" s="21">
        <f t="shared" si="8"/>
        <v>1</v>
      </c>
      <c r="V248" s="21">
        <f t="shared" ref="V248:AB248" si="1242">if(OR(AW248 = $AO$4, AW248 = $AQ$4), 1, 0)</f>
        <v>0</v>
      </c>
      <c r="W248" s="21">
        <f t="shared" si="1242"/>
        <v>0</v>
      </c>
      <c r="X248" s="21">
        <f t="shared" si="1242"/>
        <v>0</v>
      </c>
      <c r="Y248" s="21">
        <f t="shared" si="1242"/>
        <v>0</v>
      </c>
      <c r="Z248" s="21">
        <f t="shared" si="1242"/>
        <v>0</v>
      </c>
      <c r="AA248" s="21">
        <f t="shared" si="1242"/>
        <v>1</v>
      </c>
      <c r="AB248" s="21">
        <f t="shared" si="1242"/>
        <v>0</v>
      </c>
      <c r="AC248" s="21">
        <f t="shared" si="10"/>
        <v>1</v>
      </c>
      <c r="AD248" s="21">
        <f t="shared" si="11"/>
        <v>0</v>
      </c>
      <c r="AE248" s="21">
        <f t="shared" ref="AE248:AH248" si="1243">if(OR(BD248 = $AO$6, BD248 = $AS$6, BD248 = $AT$6, BD248 = $AU$6), 1, 0)</f>
        <v>1</v>
      </c>
      <c r="AF248" s="21">
        <f t="shared" si="1243"/>
        <v>1</v>
      </c>
      <c r="AG248" s="21">
        <f t="shared" si="1243"/>
        <v>0</v>
      </c>
      <c r="AH248" s="21">
        <f t="shared" si="1243"/>
        <v>1</v>
      </c>
      <c r="AI248" s="21">
        <f t="shared" si="13"/>
        <v>3</v>
      </c>
      <c r="AJ248" s="21">
        <f t="shared" si="14"/>
        <v>5</v>
      </c>
      <c r="AK248" s="59">
        <f t="shared" si="15"/>
        <v>3.125</v>
      </c>
      <c r="AL248" s="60" t="str">
        <f t="shared" si="16"/>
        <v>good</v>
      </c>
      <c r="AW248" s="22">
        <f t="shared" ref="AW248:BC248" si="1244">IF(IFERROR(SEARCH(E$1, $D248),0) &gt;= 1, E$1,0)</f>
        <v>0</v>
      </c>
      <c r="AX248" s="22">
        <f t="shared" si="1244"/>
        <v>0</v>
      </c>
      <c r="AY248" s="22">
        <f t="shared" si="1244"/>
        <v>0</v>
      </c>
      <c r="AZ248" s="22">
        <f t="shared" si="1244"/>
        <v>0</v>
      </c>
      <c r="BA248" s="22">
        <f t="shared" si="1244"/>
        <v>0</v>
      </c>
      <c r="BB248" s="22" t="str">
        <f t="shared" si="1244"/>
        <v>Beeldende kunst</v>
      </c>
      <c r="BC248" s="22">
        <f t="shared" si="1244"/>
        <v>0</v>
      </c>
      <c r="BD248" s="22" t="str">
        <f t="shared" ref="BD248:BG248" si="1245">IF(L248 = true, BD$1, 0)</f>
        <v>Shop</v>
      </c>
      <c r="BE248" s="22" t="str">
        <f t="shared" si="1245"/>
        <v>Café</v>
      </c>
      <c r="BF248" s="22">
        <f t="shared" si="1245"/>
        <v>0</v>
      </c>
      <c r="BG248" s="22" t="str">
        <f t="shared" si="1245"/>
        <v>Restaurant</v>
      </c>
      <c r="BH248" s="22" t="str">
        <f>IFERROR(__xludf.DUMMYFUNCTION("""COMPUTED_VALUE"""),"LAB·AN x Hotel van Eetvelde")</f>
        <v>LAB·AN x Hotel van Eetvelde</v>
      </c>
      <c r="BI248" s="24">
        <f>IFERROR(__xludf.DUMMYFUNCTION("""COMPUTED_VALUE"""),12.0)</f>
        <v>12</v>
      </c>
      <c r="BJ248" s="22" t="b">
        <f>IFERROR(__xludf.DUMMYFUNCTION("""COMPUTED_VALUE"""),FALSE)</f>
        <v>0</v>
      </c>
      <c r="BK248" s="22" t="b">
        <f>IFERROR(__xludf.DUMMYFUNCTION("""COMPUTED_VALUE"""),FALSE)</f>
        <v>0</v>
      </c>
      <c r="BL248" s="22"/>
      <c r="BM248" s="22">
        <f>IFERROR(__xludf.DUMMYFUNCTION("""COMPUTED_VALUE"""),0.0)</f>
        <v>0</v>
      </c>
      <c r="BN248" s="22">
        <f>IFERROR(__xludf.DUMMYFUNCTION("""COMPUTED_VALUE"""),1.0)</f>
        <v>1</v>
      </c>
      <c r="BO248" s="22">
        <f>IFERROR(__xludf.DUMMYFUNCTION("""COMPUTED_VALUE"""),0.0)</f>
        <v>0</v>
      </c>
      <c r="BP248" s="22">
        <f>IFERROR(__xludf.DUMMYFUNCTION("""COMPUTED_VALUE"""),0.0)</f>
        <v>0</v>
      </c>
      <c r="BQ248" s="22">
        <f>IFERROR(__xludf.DUMMYFUNCTION("""COMPUTED_VALUE"""),0.0)</f>
        <v>0</v>
      </c>
      <c r="BR248" s="22">
        <f>IFERROR(__xludf.DUMMYFUNCTION("""COMPUTED_VALUE"""),0.0)</f>
        <v>0</v>
      </c>
      <c r="BS248" s="22">
        <f>IFERROR(__xludf.DUMMYFUNCTION("""COMPUTED_VALUE"""),0.0)</f>
        <v>0</v>
      </c>
      <c r="BT248" s="22">
        <f>IFERROR(__xludf.DUMMYFUNCTION("""COMPUTED_VALUE"""),0.0)</f>
        <v>0</v>
      </c>
      <c r="BU248" s="22">
        <f>IFERROR(__xludf.DUMMYFUNCTION("""COMPUTED_VALUE"""),1.0)</f>
        <v>1</v>
      </c>
      <c r="BV248" s="22">
        <f>IFERROR(__xludf.DUMMYFUNCTION("""COMPUTED_VALUE"""),0.0)</f>
        <v>0</v>
      </c>
      <c r="BW248" s="22">
        <f>IFERROR(__xludf.DUMMYFUNCTION("""COMPUTED_VALUE"""),1.0)</f>
        <v>1</v>
      </c>
      <c r="BX248" s="22">
        <f>IFERROR(__xludf.DUMMYFUNCTION("""COMPUTED_VALUE"""),0.0)</f>
        <v>0</v>
      </c>
      <c r="BY248" s="22">
        <f>IFERROR(__xludf.DUMMYFUNCTION("""COMPUTED_VALUE"""),0.0)</f>
        <v>0</v>
      </c>
      <c r="BZ248" s="22">
        <f>IFERROR(__xludf.DUMMYFUNCTION("""COMPUTED_VALUE"""),0.0)</f>
        <v>0</v>
      </c>
      <c r="CA248" s="22">
        <f>IFERROR(__xludf.DUMMYFUNCTION("""COMPUTED_VALUE"""),1.0)</f>
        <v>1</v>
      </c>
      <c r="CB248" s="22">
        <f>IFERROR(__xludf.DUMMYFUNCTION("""COMPUTED_VALUE"""),2.0)</f>
        <v>2</v>
      </c>
      <c r="CC248" s="61">
        <f>IFERROR(__xludf.DUMMYFUNCTION("""COMPUTED_VALUE"""),1.25)</f>
        <v>1.25</v>
      </c>
      <c r="CD248" s="62" t="str">
        <f>IFERROR(__xludf.DUMMYFUNCTION("""COMPUTED_VALUE"""),"subpar")</f>
        <v>subpar</v>
      </c>
      <c r="CE248" s="22" t="s">
        <v>435</v>
      </c>
      <c r="CF248" s="24">
        <v>12.0</v>
      </c>
      <c r="CG248" s="22" t="b">
        <v>0</v>
      </c>
      <c r="CH248" s="22" t="b">
        <v>0</v>
      </c>
      <c r="CI248" s="22"/>
      <c r="CJ248" s="22">
        <v>0.0</v>
      </c>
      <c r="CK248" s="22">
        <v>1.0</v>
      </c>
      <c r="CL248" s="22">
        <v>0.0</v>
      </c>
      <c r="CM248" s="22">
        <v>0.0</v>
      </c>
      <c r="CN248" s="22">
        <v>0.0</v>
      </c>
      <c r="CO248" s="22">
        <v>0.0</v>
      </c>
      <c r="CP248" s="22">
        <v>0.0</v>
      </c>
      <c r="CQ248" s="22">
        <v>0.0</v>
      </c>
      <c r="CR248" s="22">
        <v>1.0</v>
      </c>
      <c r="CS248" s="22">
        <v>0.0</v>
      </c>
      <c r="CT248" s="22">
        <v>1.0</v>
      </c>
      <c r="CU248" s="22">
        <v>0.0</v>
      </c>
      <c r="CV248" s="22">
        <v>0.0</v>
      </c>
      <c r="CW248" s="22">
        <v>0.0</v>
      </c>
      <c r="CX248" s="22">
        <v>1.0</v>
      </c>
      <c r="CY248" s="22">
        <v>2.0</v>
      </c>
      <c r="CZ248" s="61">
        <v>1.25</v>
      </c>
      <c r="DA248" s="62" t="s">
        <v>568</v>
      </c>
    </row>
    <row r="249">
      <c r="A249" s="16" t="s">
        <v>519</v>
      </c>
      <c r="B249" s="16" t="s">
        <v>520</v>
      </c>
      <c r="C249" s="17" t="s">
        <v>55</v>
      </c>
      <c r="D249" s="16" t="s">
        <v>428</v>
      </c>
      <c r="E249" s="17" t="b">
        <f t="shared" ref="E249:K249" si="1246">If(IFERROR(SEARCH(E$1, $D249),0) &gt;= 1, true,false)</f>
        <v>1</v>
      </c>
      <c r="F249" s="17" t="b">
        <f t="shared" si="1246"/>
        <v>0</v>
      </c>
      <c r="G249" s="17" t="b">
        <f t="shared" si="1246"/>
        <v>1</v>
      </c>
      <c r="H249" s="17" t="b">
        <f t="shared" si="1246"/>
        <v>0</v>
      </c>
      <c r="I249" s="17" t="b">
        <f t="shared" si="1246"/>
        <v>0</v>
      </c>
      <c r="J249" s="17" t="b">
        <f t="shared" si="1246"/>
        <v>1</v>
      </c>
      <c r="K249" s="17" t="b">
        <f t="shared" si="1246"/>
        <v>0</v>
      </c>
      <c r="L249" s="18" t="b">
        <v>1</v>
      </c>
      <c r="M249" s="18" t="b">
        <v>0</v>
      </c>
      <c r="N249" s="18" t="b">
        <v>1</v>
      </c>
      <c r="O249" s="18" t="b">
        <v>0</v>
      </c>
      <c r="P249" s="16" t="str">
        <f t="shared" si="7"/>
        <v>mudel | Museum van Deinze en de Leiestreek</v>
      </c>
      <c r="Q249" s="19">
        <v>10.0</v>
      </c>
      <c r="R249" s="18" t="b">
        <v>1</v>
      </c>
      <c r="S249" s="18" t="b">
        <v>0</v>
      </c>
      <c r="T249" s="33"/>
      <c r="U249" s="21">
        <f t="shared" si="8"/>
        <v>1</v>
      </c>
      <c r="V249" s="21">
        <f t="shared" ref="V249:AB249" si="1247">if(OR(AW249 = $AO$4, AW249 = $AQ$4), 1, 0)</f>
        <v>1</v>
      </c>
      <c r="W249" s="21">
        <f t="shared" si="1247"/>
        <v>0</v>
      </c>
      <c r="X249" s="21">
        <f t="shared" si="1247"/>
        <v>0</v>
      </c>
      <c r="Y249" s="21">
        <f t="shared" si="1247"/>
        <v>0</v>
      </c>
      <c r="Z249" s="21">
        <f t="shared" si="1247"/>
        <v>0</v>
      </c>
      <c r="AA249" s="21">
        <f t="shared" si="1247"/>
        <v>1</v>
      </c>
      <c r="AB249" s="21">
        <f t="shared" si="1247"/>
        <v>0</v>
      </c>
      <c r="AC249" s="21">
        <f t="shared" si="10"/>
        <v>2</v>
      </c>
      <c r="AD249" s="21">
        <f t="shared" si="11"/>
        <v>1</v>
      </c>
      <c r="AE249" s="21">
        <f t="shared" ref="AE249:AH249" si="1248">if(OR(BD249 = $AO$6, BD249 = $AS$6, BD249 = $AT$6, BD249 = $AU$6), 1, 0)</f>
        <v>1</v>
      </c>
      <c r="AF249" s="21">
        <f t="shared" si="1248"/>
        <v>0</v>
      </c>
      <c r="AG249" s="21">
        <f t="shared" si="1248"/>
        <v>1</v>
      </c>
      <c r="AH249" s="21">
        <f t="shared" si="1248"/>
        <v>0</v>
      </c>
      <c r="AI249" s="21">
        <f t="shared" si="13"/>
        <v>2</v>
      </c>
      <c r="AJ249" s="21">
        <f t="shared" si="14"/>
        <v>6</v>
      </c>
      <c r="AK249" s="59">
        <f t="shared" si="15"/>
        <v>3.75</v>
      </c>
      <c r="AL249" s="60" t="str">
        <f t="shared" si="16"/>
        <v>good</v>
      </c>
      <c r="AW249" s="22" t="str">
        <f t="shared" ref="AW249:BC249" si="1249">IF(IFERROR(SEARCH(E$1, $D249),0) &gt;= 1, E$1,0)</f>
        <v>Geschiedenis en archeologie</v>
      </c>
      <c r="AX249" s="22">
        <f t="shared" si="1249"/>
        <v>0</v>
      </c>
      <c r="AY249" s="22" t="str">
        <f t="shared" si="1249"/>
        <v>Mode</v>
      </c>
      <c r="AZ249" s="22">
        <f t="shared" si="1249"/>
        <v>0</v>
      </c>
      <c r="BA249" s="22">
        <f t="shared" si="1249"/>
        <v>0</v>
      </c>
      <c r="BB249" s="22" t="str">
        <f t="shared" si="1249"/>
        <v>Beeldende kunst</v>
      </c>
      <c r="BC249" s="22">
        <f t="shared" si="1249"/>
        <v>0</v>
      </c>
      <c r="BD249" s="22" t="str">
        <f t="shared" ref="BD249:BG249" si="1250">IF(L249 = true, BD$1, 0)</f>
        <v>Shop</v>
      </c>
      <c r="BE249" s="22">
        <f t="shared" si="1250"/>
        <v>0</v>
      </c>
      <c r="BF249" s="22" t="str">
        <f t="shared" si="1250"/>
        <v>Parking</v>
      </c>
      <c r="BG249" s="22">
        <f t="shared" si="1250"/>
        <v>0</v>
      </c>
      <c r="BH249" s="22" t="str">
        <f>IFERROR(__xludf.DUMMYFUNCTION("""COMPUTED_VALUE"""),"Het Autrique Huis")</f>
        <v>Het Autrique Huis</v>
      </c>
      <c r="BI249" s="24">
        <f>IFERROR(__xludf.DUMMYFUNCTION("""COMPUTED_VALUE"""),9.0)</f>
        <v>9</v>
      </c>
      <c r="BJ249" s="22" t="b">
        <f>IFERROR(__xludf.DUMMYFUNCTION("""COMPUTED_VALUE"""),FALSE)</f>
        <v>0</v>
      </c>
      <c r="BK249" s="22" t="b">
        <f>IFERROR(__xludf.DUMMYFUNCTION("""COMPUTED_VALUE"""),FALSE)</f>
        <v>0</v>
      </c>
      <c r="BL249" s="22"/>
      <c r="BM249" s="22">
        <f>IFERROR(__xludf.DUMMYFUNCTION("""COMPUTED_VALUE"""),0.0)</f>
        <v>0</v>
      </c>
      <c r="BN249" s="22">
        <f>IFERROR(__xludf.DUMMYFUNCTION("""COMPUTED_VALUE"""),0.0)</f>
        <v>0</v>
      </c>
      <c r="BO249" s="22">
        <f>IFERROR(__xludf.DUMMYFUNCTION("""COMPUTED_VALUE"""),0.0)</f>
        <v>0</v>
      </c>
      <c r="BP249" s="22">
        <f>IFERROR(__xludf.DUMMYFUNCTION("""COMPUTED_VALUE"""),0.0)</f>
        <v>0</v>
      </c>
      <c r="BQ249" s="22">
        <f>IFERROR(__xludf.DUMMYFUNCTION("""COMPUTED_VALUE"""),0.0)</f>
        <v>0</v>
      </c>
      <c r="BR249" s="22">
        <f>IFERROR(__xludf.DUMMYFUNCTION("""COMPUTED_VALUE"""),0.0)</f>
        <v>0</v>
      </c>
      <c r="BS249" s="22">
        <f>IFERROR(__xludf.DUMMYFUNCTION("""COMPUTED_VALUE"""),0.0)</f>
        <v>0</v>
      </c>
      <c r="BT249" s="22">
        <f>IFERROR(__xludf.DUMMYFUNCTION("""COMPUTED_VALUE"""),0.0)</f>
        <v>0</v>
      </c>
      <c r="BU249" s="22">
        <f>IFERROR(__xludf.DUMMYFUNCTION("""COMPUTED_VALUE"""),0.0)</f>
        <v>0</v>
      </c>
      <c r="BV249" s="22">
        <f>IFERROR(__xludf.DUMMYFUNCTION("""COMPUTED_VALUE"""),1.0)</f>
        <v>1</v>
      </c>
      <c r="BW249" s="22">
        <f>IFERROR(__xludf.DUMMYFUNCTION("""COMPUTED_VALUE"""),1.0)</f>
        <v>1</v>
      </c>
      <c r="BX249" s="22">
        <f>IFERROR(__xludf.DUMMYFUNCTION("""COMPUTED_VALUE"""),0.0)</f>
        <v>0</v>
      </c>
      <c r="BY249" s="22">
        <f>IFERROR(__xludf.DUMMYFUNCTION("""COMPUTED_VALUE"""),0.0)</f>
        <v>0</v>
      </c>
      <c r="BZ249" s="22">
        <f>IFERROR(__xludf.DUMMYFUNCTION("""COMPUTED_VALUE"""),0.0)</f>
        <v>0</v>
      </c>
      <c r="CA249" s="22">
        <f>IFERROR(__xludf.DUMMYFUNCTION("""COMPUTED_VALUE"""),1.0)</f>
        <v>1</v>
      </c>
      <c r="CB249" s="22">
        <f>IFERROR(__xludf.DUMMYFUNCTION("""COMPUTED_VALUE"""),2.0)</f>
        <v>2</v>
      </c>
      <c r="CC249" s="61">
        <f>IFERROR(__xludf.DUMMYFUNCTION("""COMPUTED_VALUE"""),1.25)</f>
        <v>1.25</v>
      </c>
      <c r="CD249" s="62" t="str">
        <f>IFERROR(__xludf.DUMMYFUNCTION("""COMPUTED_VALUE"""),"subpar")</f>
        <v>subpar</v>
      </c>
      <c r="CE249" s="22" t="s">
        <v>440</v>
      </c>
      <c r="CF249" s="24">
        <v>9.0</v>
      </c>
      <c r="CG249" s="22" t="b">
        <v>0</v>
      </c>
      <c r="CH249" s="22" t="b">
        <v>0</v>
      </c>
      <c r="CI249" s="22"/>
      <c r="CJ249" s="22">
        <v>0.0</v>
      </c>
      <c r="CK249" s="22">
        <v>0.0</v>
      </c>
      <c r="CL249" s="22">
        <v>0.0</v>
      </c>
      <c r="CM249" s="22">
        <v>0.0</v>
      </c>
      <c r="CN249" s="22">
        <v>0.0</v>
      </c>
      <c r="CO249" s="22">
        <v>0.0</v>
      </c>
      <c r="CP249" s="22">
        <v>0.0</v>
      </c>
      <c r="CQ249" s="22">
        <v>0.0</v>
      </c>
      <c r="CR249" s="22">
        <v>0.0</v>
      </c>
      <c r="CS249" s="22">
        <v>1.0</v>
      </c>
      <c r="CT249" s="22">
        <v>1.0</v>
      </c>
      <c r="CU249" s="22">
        <v>0.0</v>
      </c>
      <c r="CV249" s="22">
        <v>0.0</v>
      </c>
      <c r="CW249" s="22">
        <v>0.0</v>
      </c>
      <c r="CX249" s="22">
        <v>1.0</v>
      </c>
      <c r="CY249" s="22">
        <v>2.0</v>
      </c>
      <c r="CZ249" s="61">
        <v>1.25</v>
      </c>
      <c r="DA249" s="62" t="s">
        <v>568</v>
      </c>
    </row>
    <row r="250">
      <c r="A250" s="16" t="s">
        <v>521</v>
      </c>
      <c r="B250" s="16" t="s">
        <v>522</v>
      </c>
      <c r="C250" s="17" t="s">
        <v>55</v>
      </c>
      <c r="D250" s="16" t="s">
        <v>9</v>
      </c>
      <c r="E250" s="17" t="b">
        <f t="shared" ref="E250:K250" si="1251">If(IFERROR(SEARCH(E$1, $D250),0) &gt;= 1, true,false)</f>
        <v>0</v>
      </c>
      <c r="F250" s="17" t="b">
        <f t="shared" si="1251"/>
        <v>0</v>
      </c>
      <c r="G250" s="17" t="b">
        <f t="shared" si="1251"/>
        <v>0</v>
      </c>
      <c r="H250" s="17" t="b">
        <f t="shared" si="1251"/>
        <v>0</v>
      </c>
      <c r="I250" s="17" t="b">
        <f t="shared" si="1251"/>
        <v>0</v>
      </c>
      <c r="J250" s="17" t="b">
        <f t="shared" si="1251"/>
        <v>1</v>
      </c>
      <c r="K250" s="17" t="b">
        <f t="shared" si="1251"/>
        <v>0</v>
      </c>
      <c r="L250" s="18" t="b">
        <v>1</v>
      </c>
      <c r="M250" s="18" t="b">
        <v>0</v>
      </c>
      <c r="N250" s="18" t="b">
        <v>1</v>
      </c>
      <c r="O250" s="18" t="b">
        <v>0</v>
      </c>
      <c r="P250" s="16" t="str">
        <f t="shared" si="7"/>
        <v>Museum Dhondt-Dhaenens</v>
      </c>
      <c r="Q250" s="19">
        <v>12.0</v>
      </c>
      <c r="R250" s="18" t="b">
        <v>0</v>
      </c>
      <c r="S250" s="18" t="b">
        <v>0</v>
      </c>
      <c r="T250" s="32"/>
      <c r="U250" s="21">
        <f t="shared" si="8"/>
        <v>1</v>
      </c>
      <c r="V250" s="21">
        <f t="shared" ref="V250:AB250" si="1252">if(OR(AW250 = $AO$4, AW250 = $AQ$4), 1, 0)</f>
        <v>0</v>
      </c>
      <c r="W250" s="21">
        <f t="shared" si="1252"/>
        <v>0</v>
      </c>
      <c r="X250" s="21">
        <f t="shared" si="1252"/>
        <v>0</v>
      </c>
      <c r="Y250" s="21">
        <f t="shared" si="1252"/>
        <v>0</v>
      </c>
      <c r="Z250" s="21">
        <f t="shared" si="1252"/>
        <v>0</v>
      </c>
      <c r="AA250" s="21">
        <f t="shared" si="1252"/>
        <v>1</v>
      </c>
      <c r="AB250" s="21">
        <f t="shared" si="1252"/>
        <v>0</v>
      </c>
      <c r="AC250" s="21">
        <f t="shared" si="10"/>
        <v>1</v>
      </c>
      <c r="AD250" s="21">
        <f t="shared" si="11"/>
        <v>0</v>
      </c>
      <c r="AE250" s="21">
        <f t="shared" ref="AE250:AH250" si="1253">if(OR(BD250 = $AO$6, BD250 = $AS$6, BD250 = $AT$6, BD250 = $AU$6), 1, 0)</f>
        <v>1</v>
      </c>
      <c r="AF250" s="21">
        <f t="shared" si="1253"/>
        <v>0</v>
      </c>
      <c r="AG250" s="21">
        <f t="shared" si="1253"/>
        <v>1</v>
      </c>
      <c r="AH250" s="21">
        <f t="shared" si="1253"/>
        <v>0</v>
      </c>
      <c r="AI250" s="21">
        <f t="shared" si="13"/>
        <v>2</v>
      </c>
      <c r="AJ250" s="21">
        <f t="shared" si="14"/>
        <v>4</v>
      </c>
      <c r="AK250" s="59">
        <f t="shared" si="15"/>
        <v>2.5</v>
      </c>
      <c r="AL250" s="60" t="str">
        <f t="shared" si="16"/>
        <v>subpar</v>
      </c>
      <c r="AW250" s="22">
        <f t="shared" ref="AW250:BC250" si="1254">IF(IFERROR(SEARCH(E$1, $D250),0) &gt;= 1, E$1,0)</f>
        <v>0</v>
      </c>
      <c r="AX250" s="22">
        <f t="shared" si="1254"/>
        <v>0</v>
      </c>
      <c r="AY250" s="22">
        <f t="shared" si="1254"/>
        <v>0</v>
      </c>
      <c r="AZ250" s="22">
        <f t="shared" si="1254"/>
        <v>0</v>
      </c>
      <c r="BA250" s="22">
        <f t="shared" si="1254"/>
        <v>0</v>
      </c>
      <c r="BB250" s="22" t="str">
        <f t="shared" si="1254"/>
        <v>Beeldende kunst</v>
      </c>
      <c r="BC250" s="22">
        <f t="shared" si="1254"/>
        <v>0</v>
      </c>
      <c r="BD250" s="22" t="str">
        <f t="shared" ref="BD250:BG250" si="1255">IF(L250 = true, BD$1, 0)</f>
        <v>Shop</v>
      </c>
      <c r="BE250" s="22">
        <f t="shared" si="1255"/>
        <v>0</v>
      </c>
      <c r="BF250" s="22" t="str">
        <f t="shared" si="1255"/>
        <v>Parking</v>
      </c>
      <c r="BG250" s="22">
        <f t="shared" si="1255"/>
        <v>0</v>
      </c>
      <c r="BH250" s="22" t="str">
        <f>IFERROR(__xludf.DUMMYFUNCTION("""COMPUTED_VALUE"""),"Het Stadhuis van Brussel")</f>
        <v>Het Stadhuis van Brussel</v>
      </c>
      <c r="BI250" s="24">
        <f>IFERROR(__xludf.DUMMYFUNCTION("""COMPUTED_VALUE"""),15.0)</f>
        <v>15</v>
      </c>
      <c r="BJ250" s="22" t="b">
        <f>IFERROR(__xludf.DUMMYFUNCTION("""COMPUTED_VALUE"""),FALSE)</f>
        <v>0</v>
      </c>
      <c r="BK250" s="22" t="b">
        <f>IFERROR(__xludf.DUMMYFUNCTION("""COMPUTED_VALUE"""),FALSE)</f>
        <v>0</v>
      </c>
      <c r="BL250" s="22"/>
      <c r="BM250" s="22">
        <f>IFERROR(__xludf.DUMMYFUNCTION("""COMPUTED_VALUE"""),0.0)</f>
        <v>0</v>
      </c>
      <c r="BN250" s="22">
        <f>IFERROR(__xludf.DUMMYFUNCTION("""COMPUTED_VALUE"""),1.0)</f>
        <v>1</v>
      </c>
      <c r="BO250" s="22">
        <f>IFERROR(__xludf.DUMMYFUNCTION("""COMPUTED_VALUE"""),0.0)</f>
        <v>0</v>
      </c>
      <c r="BP250" s="22">
        <f>IFERROR(__xludf.DUMMYFUNCTION("""COMPUTED_VALUE"""),0.0)</f>
        <v>0</v>
      </c>
      <c r="BQ250" s="22">
        <f>IFERROR(__xludf.DUMMYFUNCTION("""COMPUTED_VALUE"""),0.0)</f>
        <v>0</v>
      </c>
      <c r="BR250" s="22">
        <f>IFERROR(__xludf.DUMMYFUNCTION("""COMPUTED_VALUE"""),0.0)</f>
        <v>0</v>
      </c>
      <c r="BS250" s="22">
        <f>IFERROR(__xludf.DUMMYFUNCTION("""COMPUTED_VALUE"""),1.0)</f>
        <v>1</v>
      </c>
      <c r="BT250" s="22">
        <f>IFERROR(__xludf.DUMMYFUNCTION("""COMPUTED_VALUE"""),0.0)</f>
        <v>0</v>
      </c>
      <c r="BU250" s="22">
        <f>IFERROR(__xludf.DUMMYFUNCTION("""COMPUTED_VALUE"""),2.0)</f>
        <v>2</v>
      </c>
      <c r="BV250" s="22">
        <f>IFERROR(__xludf.DUMMYFUNCTION("""COMPUTED_VALUE"""),0.0)</f>
        <v>0</v>
      </c>
      <c r="BW250" s="22">
        <f>IFERROR(__xludf.DUMMYFUNCTION("""COMPUTED_VALUE"""),0.0)</f>
        <v>0</v>
      </c>
      <c r="BX250" s="22">
        <f>IFERROR(__xludf.DUMMYFUNCTION("""COMPUTED_VALUE"""),0.0)</f>
        <v>0</v>
      </c>
      <c r="BY250" s="22">
        <f>IFERROR(__xludf.DUMMYFUNCTION("""COMPUTED_VALUE"""),0.0)</f>
        <v>0</v>
      </c>
      <c r="BZ250" s="22">
        <f>IFERROR(__xludf.DUMMYFUNCTION("""COMPUTED_VALUE"""),0.0)</f>
        <v>0</v>
      </c>
      <c r="CA250" s="22">
        <f>IFERROR(__xludf.DUMMYFUNCTION("""COMPUTED_VALUE"""),0.0)</f>
        <v>0</v>
      </c>
      <c r="CB250" s="22">
        <f>IFERROR(__xludf.DUMMYFUNCTION("""COMPUTED_VALUE"""),2.0)</f>
        <v>2</v>
      </c>
      <c r="CC250" s="61">
        <f>IFERROR(__xludf.DUMMYFUNCTION("""COMPUTED_VALUE"""),1.25)</f>
        <v>1.25</v>
      </c>
      <c r="CD250" s="62" t="str">
        <f>IFERROR(__xludf.DUMMYFUNCTION("""COMPUTED_VALUE"""),"subpar")</f>
        <v>subpar</v>
      </c>
      <c r="CE250" s="22" t="s">
        <v>442</v>
      </c>
      <c r="CF250" s="24">
        <v>15.0</v>
      </c>
      <c r="CG250" s="22" t="b">
        <v>0</v>
      </c>
      <c r="CH250" s="22" t="b">
        <v>0</v>
      </c>
      <c r="CI250" s="22"/>
      <c r="CJ250" s="22">
        <v>0.0</v>
      </c>
      <c r="CK250" s="22">
        <v>1.0</v>
      </c>
      <c r="CL250" s="22">
        <v>0.0</v>
      </c>
      <c r="CM250" s="22">
        <v>0.0</v>
      </c>
      <c r="CN250" s="22">
        <v>0.0</v>
      </c>
      <c r="CO250" s="22">
        <v>0.0</v>
      </c>
      <c r="CP250" s="22">
        <v>1.0</v>
      </c>
      <c r="CQ250" s="22">
        <v>0.0</v>
      </c>
      <c r="CR250" s="22">
        <v>2.0</v>
      </c>
      <c r="CS250" s="22">
        <v>0.0</v>
      </c>
      <c r="CT250" s="22">
        <v>0.0</v>
      </c>
      <c r="CU250" s="22">
        <v>0.0</v>
      </c>
      <c r="CV250" s="22">
        <v>0.0</v>
      </c>
      <c r="CW250" s="22">
        <v>0.0</v>
      </c>
      <c r="CX250" s="22">
        <v>0.0</v>
      </c>
      <c r="CY250" s="22">
        <v>2.0</v>
      </c>
      <c r="CZ250" s="61">
        <v>1.25</v>
      </c>
      <c r="DA250" s="62" t="s">
        <v>568</v>
      </c>
    </row>
    <row r="251">
      <c r="A251" s="16" t="s">
        <v>523</v>
      </c>
      <c r="B251" s="16" t="s">
        <v>524</v>
      </c>
      <c r="C251" s="17" t="s">
        <v>55</v>
      </c>
      <c r="D251" s="16" t="s">
        <v>163</v>
      </c>
      <c r="E251" s="17" t="b">
        <f t="shared" ref="E251:K251" si="1256">If(IFERROR(SEARCH(E$1, $D251),0) &gt;= 1, true,false)</f>
        <v>1</v>
      </c>
      <c r="F251" s="17" t="b">
        <f t="shared" si="1256"/>
        <v>1</v>
      </c>
      <c r="G251" s="17" t="b">
        <f t="shared" si="1256"/>
        <v>0</v>
      </c>
      <c r="H251" s="17" t="b">
        <f t="shared" si="1256"/>
        <v>0</v>
      </c>
      <c r="I251" s="17" t="b">
        <f t="shared" si="1256"/>
        <v>1</v>
      </c>
      <c r="J251" s="17" t="b">
        <f t="shared" si="1256"/>
        <v>1</v>
      </c>
      <c r="K251" s="17" t="b">
        <f t="shared" si="1256"/>
        <v>0</v>
      </c>
      <c r="L251" s="18" t="b">
        <v>1</v>
      </c>
      <c r="M251" s="18" t="b">
        <v>1</v>
      </c>
      <c r="N251" s="18" t="b">
        <v>1</v>
      </c>
      <c r="O251" s="18" t="b">
        <v>0</v>
      </c>
      <c r="P251" s="16" t="str">
        <f t="shared" si="7"/>
        <v>Museum Dr. Guislain</v>
      </c>
      <c r="Q251" s="19">
        <v>10.0</v>
      </c>
      <c r="R251" s="18" t="b">
        <v>0</v>
      </c>
      <c r="S251" s="18" t="b">
        <v>1</v>
      </c>
      <c r="T251" s="31">
        <v>10.0</v>
      </c>
      <c r="U251" s="21">
        <f t="shared" si="8"/>
        <v>1</v>
      </c>
      <c r="V251" s="21">
        <f t="shared" ref="V251:AB251" si="1257">if(OR(AW251 = $AO$4, AW251 = $AQ$4), 1, 0)</f>
        <v>1</v>
      </c>
      <c r="W251" s="21">
        <f t="shared" si="1257"/>
        <v>0</v>
      </c>
      <c r="X251" s="21">
        <f t="shared" si="1257"/>
        <v>0</v>
      </c>
      <c r="Y251" s="21">
        <f t="shared" si="1257"/>
        <v>0</v>
      </c>
      <c r="Z251" s="21">
        <f t="shared" si="1257"/>
        <v>0</v>
      </c>
      <c r="AA251" s="21">
        <f t="shared" si="1257"/>
        <v>1</v>
      </c>
      <c r="AB251" s="21">
        <f t="shared" si="1257"/>
        <v>0</v>
      </c>
      <c r="AC251" s="21">
        <f t="shared" si="10"/>
        <v>2</v>
      </c>
      <c r="AD251" s="21">
        <f t="shared" si="11"/>
        <v>1</v>
      </c>
      <c r="AE251" s="21">
        <f t="shared" ref="AE251:AH251" si="1258">if(OR(BD251 = $AO$6, BD251 = $AS$6, BD251 = $AT$6, BD251 = $AU$6), 1, 0)</f>
        <v>1</v>
      </c>
      <c r="AF251" s="21">
        <f t="shared" si="1258"/>
        <v>1</v>
      </c>
      <c r="AG251" s="21">
        <f t="shared" si="1258"/>
        <v>1</v>
      </c>
      <c r="AH251" s="21">
        <f t="shared" si="1258"/>
        <v>0</v>
      </c>
      <c r="AI251" s="21">
        <f t="shared" si="13"/>
        <v>3</v>
      </c>
      <c r="AJ251" s="21">
        <f t="shared" si="14"/>
        <v>7</v>
      </c>
      <c r="AK251" s="59">
        <f t="shared" si="15"/>
        <v>4.375</v>
      </c>
      <c r="AL251" s="60" t="str">
        <f t="shared" si="16"/>
        <v>excellent</v>
      </c>
      <c r="AW251" s="22" t="str">
        <f t="shared" ref="AW251:BC251" si="1259">IF(IFERROR(SEARCH(E$1, $D251),0) &gt;= 1, E$1,0)</f>
        <v>Geschiedenis en archeologie</v>
      </c>
      <c r="AX251" s="22" t="str">
        <f t="shared" si="1259"/>
        <v>Wetenschap en technologie</v>
      </c>
      <c r="AY251" s="22">
        <f t="shared" si="1259"/>
        <v>0</v>
      </c>
      <c r="AZ251" s="22">
        <f t="shared" si="1259"/>
        <v>0</v>
      </c>
      <c r="BA251" s="22" t="str">
        <f t="shared" si="1259"/>
        <v>Architectuur</v>
      </c>
      <c r="BB251" s="22" t="str">
        <f t="shared" si="1259"/>
        <v>Beeldende kunst</v>
      </c>
      <c r="BC251" s="22">
        <f t="shared" si="1259"/>
        <v>0</v>
      </c>
      <c r="BD251" s="22" t="str">
        <f t="shared" ref="BD251:BG251" si="1260">IF(L251 = true, BD$1, 0)</f>
        <v>Shop</v>
      </c>
      <c r="BE251" s="22" t="str">
        <f t="shared" si="1260"/>
        <v>Café</v>
      </c>
      <c r="BF251" s="22" t="str">
        <f t="shared" si="1260"/>
        <v>Parking</v>
      </c>
      <c r="BG251" s="22">
        <f t="shared" si="1260"/>
        <v>0</v>
      </c>
      <c r="BH251" s="22" t="str">
        <f>IFERROR(__xludf.DUMMYFUNCTION("""COMPUTED_VALUE"""),"Maison Hannon")</f>
        <v>Maison Hannon</v>
      </c>
      <c r="BI251" s="24">
        <f>IFERROR(__xludf.DUMMYFUNCTION("""COMPUTED_VALUE"""),14.0)</f>
        <v>14</v>
      </c>
      <c r="BJ251" s="22" t="b">
        <f>IFERROR(__xludf.DUMMYFUNCTION("""COMPUTED_VALUE"""),FALSE)</f>
        <v>0</v>
      </c>
      <c r="BK251" s="22" t="b">
        <f>IFERROR(__xludf.DUMMYFUNCTION("""COMPUTED_VALUE"""),TRUE)</f>
        <v>1</v>
      </c>
      <c r="BL251" s="24">
        <f>IFERROR(__xludf.DUMMYFUNCTION("""COMPUTED_VALUE"""),14.0)</f>
        <v>14</v>
      </c>
      <c r="BM251" s="22">
        <f>IFERROR(__xludf.DUMMYFUNCTION("""COMPUTED_VALUE"""),0.0)</f>
        <v>0</v>
      </c>
      <c r="BN251" s="22">
        <f>IFERROR(__xludf.DUMMYFUNCTION("""COMPUTED_VALUE"""),0.0)</f>
        <v>0</v>
      </c>
      <c r="BO251" s="22">
        <f>IFERROR(__xludf.DUMMYFUNCTION("""COMPUTED_VALUE"""),0.0)</f>
        <v>0</v>
      </c>
      <c r="BP251" s="22">
        <f>IFERROR(__xludf.DUMMYFUNCTION("""COMPUTED_VALUE"""),0.0)</f>
        <v>0</v>
      </c>
      <c r="BQ251" s="22">
        <f>IFERROR(__xludf.DUMMYFUNCTION("""COMPUTED_VALUE"""),0.0)</f>
        <v>0</v>
      </c>
      <c r="BR251" s="22">
        <f>IFERROR(__xludf.DUMMYFUNCTION("""COMPUTED_VALUE"""),0.0)</f>
        <v>0</v>
      </c>
      <c r="BS251" s="22">
        <f>IFERROR(__xludf.DUMMYFUNCTION("""COMPUTED_VALUE"""),1.0)</f>
        <v>1</v>
      </c>
      <c r="BT251" s="22">
        <f>IFERROR(__xludf.DUMMYFUNCTION("""COMPUTED_VALUE"""),0.0)</f>
        <v>0</v>
      </c>
      <c r="BU251" s="22">
        <f>IFERROR(__xludf.DUMMYFUNCTION("""COMPUTED_VALUE"""),1.0)</f>
        <v>1</v>
      </c>
      <c r="BV251" s="22">
        <f>IFERROR(__xludf.DUMMYFUNCTION("""COMPUTED_VALUE"""),0.0)</f>
        <v>0</v>
      </c>
      <c r="BW251" s="22">
        <f>IFERROR(__xludf.DUMMYFUNCTION("""COMPUTED_VALUE"""),1.0)</f>
        <v>1</v>
      </c>
      <c r="BX251" s="22">
        <f>IFERROR(__xludf.DUMMYFUNCTION("""COMPUTED_VALUE"""),0.0)</f>
        <v>0</v>
      </c>
      <c r="BY251" s="22">
        <f>IFERROR(__xludf.DUMMYFUNCTION("""COMPUTED_VALUE"""),0.0)</f>
        <v>0</v>
      </c>
      <c r="BZ251" s="22">
        <f>IFERROR(__xludf.DUMMYFUNCTION("""COMPUTED_VALUE"""),0.0)</f>
        <v>0</v>
      </c>
      <c r="CA251" s="22">
        <f>IFERROR(__xludf.DUMMYFUNCTION("""COMPUTED_VALUE"""),1.0)</f>
        <v>1</v>
      </c>
      <c r="CB251" s="22">
        <f>IFERROR(__xludf.DUMMYFUNCTION("""COMPUTED_VALUE"""),2.0)</f>
        <v>2</v>
      </c>
      <c r="CC251" s="61">
        <f>IFERROR(__xludf.DUMMYFUNCTION("""COMPUTED_VALUE"""),1.25)</f>
        <v>1.25</v>
      </c>
      <c r="CD251" s="62" t="str">
        <f>IFERROR(__xludf.DUMMYFUNCTION("""COMPUTED_VALUE"""),"subpar")</f>
        <v>subpar</v>
      </c>
      <c r="CE251" s="22" t="s">
        <v>447</v>
      </c>
      <c r="CF251" s="24">
        <v>14.0</v>
      </c>
      <c r="CG251" s="22" t="b">
        <v>0</v>
      </c>
      <c r="CH251" s="22" t="b">
        <v>1</v>
      </c>
      <c r="CI251" s="24">
        <v>14.0</v>
      </c>
      <c r="CJ251" s="22">
        <v>0.0</v>
      </c>
      <c r="CK251" s="22">
        <v>0.0</v>
      </c>
      <c r="CL251" s="22">
        <v>0.0</v>
      </c>
      <c r="CM251" s="22">
        <v>0.0</v>
      </c>
      <c r="CN251" s="22">
        <v>0.0</v>
      </c>
      <c r="CO251" s="22">
        <v>0.0</v>
      </c>
      <c r="CP251" s="22">
        <v>1.0</v>
      </c>
      <c r="CQ251" s="22">
        <v>0.0</v>
      </c>
      <c r="CR251" s="22">
        <v>1.0</v>
      </c>
      <c r="CS251" s="22">
        <v>0.0</v>
      </c>
      <c r="CT251" s="22">
        <v>1.0</v>
      </c>
      <c r="CU251" s="22">
        <v>0.0</v>
      </c>
      <c r="CV251" s="22">
        <v>0.0</v>
      </c>
      <c r="CW251" s="22">
        <v>0.0</v>
      </c>
      <c r="CX251" s="22">
        <v>1.0</v>
      </c>
      <c r="CY251" s="22">
        <v>2.0</v>
      </c>
      <c r="CZ251" s="61">
        <v>1.25</v>
      </c>
      <c r="DA251" s="62" t="s">
        <v>568</v>
      </c>
    </row>
    <row r="252">
      <c r="A252" s="16" t="s">
        <v>525</v>
      </c>
      <c r="B252" s="16" t="s">
        <v>526</v>
      </c>
      <c r="C252" s="17" t="s">
        <v>55</v>
      </c>
      <c r="D252" s="16" t="s">
        <v>9</v>
      </c>
      <c r="E252" s="17" t="b">
        <f t="shared" ref="E252:K252" si="1261">If(IFERROR(SEARCH(E$1, $D252),0) &gt;= 1, true,false)</f>
        <v>0</v>
      </c>
      <c r="F252" s="17" t="b">
        <f t="shared" si="1261"/>
        <v>0</v>
      </c>
      <c r="G252" s="17" t="b">
        <f t="shared" si="1261"/>
        <v>0</v>
      </c>
      <c r="H252" s="17" t="b">
        <f t="shared" si="1261"/>
        <v>0</v>
      </c>
      <c r="I252" s="17" t="b">
        <f t="shared" si="1261"/>
        <v>0</v>
      </c>
      <c r="J252" s="17" t="b">
        <f t="shared" si="1261"/>
        <v>1</v>
      </c>
      <c r="K252" s="17" t="b">
        <f t="shared" si="1261"/>
        <v>0</v>
      </c>
      <c r="L252" s="18" t="b">
        <v>1</v>
      </c>
      <c r="M252" s="18" t="b">
        <v>0</v>
      </c>
      <c r="N252" s="18" t="b">
        <v>0</v>
      </c>
      <c r="O252" s="18" t="b">
        <v>0</v>
      </c>
      <c r="P252" s="16" t="str">
        <f t="shared" si="7"/>
        <v>Gemeentelijk museum Gevaert-Minne</v>
      </c>
      <c r="Q252" s="19">
        <v>5.0</v>
      </c>
      <c r="R252" s="18" t="b">
        <v>0</v>
      </c>
      <c r="S252" s="18" t="b">
        <v>1</v>
      </c>
      <c r="T252" s="31">
        <v>5.0</v>
      </c>
      <c r="U252" s="21">
        <f t="shared" si="8"/>
        <v>1</v>
      </c>
      <c r="V252" s="21">
        <f t="shared" ref="V252:AB252" si="1262">if(OR(AW252 = $AO$4, AW252 = $AQ$4), 1, 0)</f>
        <v>0</v>
      </c>
      <c r="W252" s="21">
        <f t="shared" si="1262"/>
        <v>0</v>
      </c>
      <c r="X252" s="21">
        <f t="shared" si="1262"/>
        <v>0</v>
      </c>
      <c r="Y252" s="21">
        <f t="shared" si="1262"/>
        <v>0</v>
      </c>
      <c r="Z252" s="21">
        <f t="shared" si="1262"/>
        <v>0</v>
      </c>
      <c r="AA252" s="21">
        <f t="shared" si="1262"/>
        <v>1</v>
      </c>
      <c r="AB252" s="21">
        <f t="shared" si="1262"/>
        <v>0</v>
      </c>
      <c r="AC252" s="21">
        <f t="shared" si="10"/>
        <v>1</v>
      </c>
      <c r="AD252" s="21">
        <f t="shared" si="11"/>
        <v>1</v>
      </c>
      <c r="AE252" s="21">
        <f t="shared" ref="AE252:AH252" si="1263">if(OR(BD252 = $AO$6, BD252 = $AS$6, BD252 = $AT$6, BD252 = $AU$6), 1, 0)</f>
        <v>1</v>
      </c>
      <c r="AF252" s="21">
        <f t="shared" si="1263"/>
        <v>0</v>
      </c>
      <c r="AG252" s="21">
        <f t="shared" si="1263"/>
        <v>0</v>
      </c>
      <c r="AH252" s="21">
        <f t="shared" si="1263"/>
        <v>0</v>
      </c>
      <c r="AI252" s="21">
        <f t="shared" si="13"/>
        <v>1</v>
      </c>
      <c r="AJ252" s="21">
        <f t="shared" si="14"/>
        <v>4</v>
      </c>
      <c r="AK252" s="59">
        <f t="shared" si="15"/>
        <v>2.5</v>
      </c>
      <c r="AL252" s="60" t="str">
        <f t="shared" si="16"/>
        <v>subpar</v>
      </c>
      <c r="AW252" s="22">
        <f t="shared" ref="AW252:BC252" si="1264">IF(IFERROR(SEARCH(E$1, $D252),0) &gt;= 1, E$1,0)</f>
        <v>0</v>
      </c>
      <c r="AX252" s="22">
        <f t="shared" si="1264"/>
        <v>0</v>
      </c>
      <c r="AY252" s="22">
        <f t="shared" si="1264"/>
        <v>0</v>
      </c>
      <c r="AZ252" s="22">
        <f t="shared" si="1264"/>
        <v>0</v>
      </c>
      <c r="BA252" s="22">
        <f t="shared" si="1264"/>
        <v>0</v>
      </c>
      <c r="BB252" s="22" t="str">
        <f t="shared" si="1264"/>
        <v>Beeldende kunst</v>
      </c>
      <c r="BC252" s="22">
        <f t="shared" si="1264"/>
        <v>0</v>
      </c>
      <c r="BD252" s="22" t="str">
        <f t="shared" ref="BD252:BG252" si="1265">IF(L252 = true, BD$1, 0)</f>
        <v>Shop</v>
      </c>
      <c r="BE252" s="22">
        <f t="shared" si="1265"/>
        <v>0</v>
      </c>
      <c r="BF252" s="22">
        <f t="shared" si="1265"/>
        <v>0</v>
      </c>
      <c r="BG252" s="22">
        <f t="shared" si="1265"/>
        <v>0</v>
      </c>
      <c r="BH252" s="22" t="str">
        <f>IFERROR(__xludf.DUMMYFUNCTION("""COMPUTED_VALUE"""),"Museum van de Nationale Bank van België")</f>
        <v>Museum van de Nationale Bank van België</v>
      </c>
      <c r="BI252" s="24">
        <f>IFERROR(__xludf.DUMMYFUNCTION("""COMPUTED_VALUE"""),0.0)</f>
        <v>0</v>
      </c>
      <c r="BJ252" s="22" t="b">
        <f>IFERROR(__xludf.DUMMYFUNCTION("""COMPUTED_VALUE"""),FALSE)</f>
        <v>0</v>
      </c>
      <c r="BK252" s="22" t="b">
        <f>IFERROR(__xludf.DUMMYFUNCTION("""COMPUTED_VALUE"""),FALSE)</f>
        <v>0</v>
      </c>
      <c r="BL252" s="22"/>
      <c r="BM252" s="22">
        <f>IFERROR(__xludf.DUMMYFUNCTION("""COMPUTED_VALUE"""),0.0)</f>
        <v>0</v>
      </c>
      <c r="BN252" s="22">
        <f>IFERROR(__xludf.DUMMYFUNCTION("""COMPUTED_VALUE"""),1.0)</f>
        <v>1</v>
      </c>
      <c r="BO252" s="22">
        <f>IFERROR(__xludf.DUMMYFUNCTION("""COMPUTED_VALUE"""),0.0)</f>
        <v>0</v>
      </c>
      <c r="BP252" s="22">
        <f>IFERROR(__xludf.DUMMYFUNCTION("""COMPUTED_VALUE"""),0.0)</f>
        <v>0</v>
      </c>
      <c r="BQ252" s="22">
        <f>IFERROR(__xludf.DUMMYFUNCTION("""COMPUTED_VALUE"""),0.0)</f>
        <v>0</v>
      </c>
      <c r="BR252" s="22">
        <f>IFERROR(__xludf.DUMMYFUNCTION("""COMPUTED_VALUE"""),0.0)</f>
        <v>0</v>
      </c>
      <c r="BS252" s="22">
        <f>IFERROR(__xludf.DUMMYFUNCTION("""COMPUTED_VALUE"""),0.0)</f>
        <v>0</v>
      </c>
      <c r="BT252" s="22">
        <f>IFERROR(__xludf.DUMMYFUNCTION("""COMPUTED_VALUE"""),0.0)</f>
        <v>0</v>
      </c>
      <c r="BU252" s="22">
        <f>IFERROR(__xludf.DUMMYFUNCTION("""COMPUTED_VALUE"""),1.0)</f>
        <v>1</v>
      </c>
      <c r="BV252" s="22">
        <f>IFERROR(__xludf.DUMMYFUNCTION("""COMPUTED_VALUE"""),1.0)</f>
        <v>1</v>
      </c>
      <c r="BW252" s="22">
        <f>IFERROR(__xludf.DUMMYFUNCTION("""COMPUTED_VALUE"""),0.0)</f>
        <v>0</v>
      </c>
      <c r="BX252" s="22">
        <f>IFERROR(__xludf.DUMMYFUNCTION("""COMPUTED_VALUE"""),0.0)</f>
        <v>0</v>
      </c>
      <c r="BY252" s="22">
        <f>IFERROR(__xludf.DUMMYFUNCTION("""COMPUTED_VALUE"""),0.0)</f>
        <v>0</v>
      </c>
      <c r="BZ252" s="22">
        <f>IFERROR(__xludf.DUMMYFUNCTION("""COMPUTED_VALUE"""),0.0)</f>
        <v>0</v>
      </c>
      <c r="CA252" s="22">
        <f>IFERROR(__xludf.DUMMYFUNCTION("""COMPUTED_VALUE"""),0.0)</f>
        <v>0</v>
      </c>
      <c r="CB252" s="22">
        <f>IFERROR(__xludf.DUMMYFUNCTION("""COMPUTED_VALUE"""),2.0)</f>
        <v>2</v>
      </c>
      <c r="CC252" s="61">
        <f>IFERROR(__xludf.DUMMYFUNCTION("""COMPUTED_VALUE"""),1.25)</f>
        <v>1.25</v>
      </c>
      <c r="CD252" s="62" t="str">
        <f>IFERROR(__xludf.DUMMYFUNCTION("""COMPUTED_VALUE"""),"subpar")</f>
        <v>subpar</v>
      </c>
      <c r="CE252" s="22" t="s">
        <v>471</v>
      </c>
      <c r="CF252" s="24">
        <v>0.0</v>
      </c>
      <c r="CG252" s="22" t="b">
        <v>0</v>
      </c>
      <c r="CH252" s="22" t="b">
        <v>0</v>
      </c>
      <c r="CI252" s="22"/>
      <c r="CJ252" s="22">
        <v>0.0</v>
      </c>
      <c r="CK252" s="22">
        <v>1.0</v>
      </c>
      <c r="CL252" s="22">
        <v>0.0</v>
      </c>
      <c r="CM252" s="22">
        <v>0.0</v>
      </c>
      <c r="CN252" s="22">
        <v>0.0</v>
      </c>
      <c r="CO252" s="22">
        <v>0.0</v>
      </c>
      <c r="CP252" s="22">
        <v>0.0</v>
      </c>
      <c r="CQ252" s="22">
        <v>0.0</v>
      </c>
      <c r="CR252" s="22">
        <v>1.0</v>
      </c>
      <c r="CS252" s="22">
        <v>1.0</v>
      </c>
      <c r="CT252" s="22">
        <v>0.0</v>
      </c>
      <c r="CU252" s="22">
        <v>0.0</v>
      </c>
      <c r="CV252" s="22">
        <v>0.0</v>
      </c>
      <c r="CW252" s="22">
        <v>0.0</v>
      </c>
      <c r="CX252" s="22">
        <v>0.0</v>
      </c>
      <c r="CY252" s="22">
        <v>2.0</v>
      </c>
      <c r="CZ252" s="61">
        <v>1.25</v>
      </c>
      <c r="DA252" s="62" t="s">
        <v>568</v>
      </c>
    </row>
    <row r="253">
      <c r="A253" s="16" t="s">
        <v>527</v>
      </c>
      <c r="B253" s="16" t="s">
        <v>528</v>
      </c>
      <c r="C253" s="17" t="s">
        <v>55</v>
      </c>
      <c r="D253" s="16" t="s">
        <v>9</v>
      </c>
      <c r="E253" s="17" t="b">
        <f t="shared" ref="E253:K253" si="1266">If(IFERROR(SEARCH(E$1, $D253),0) &gt;= 1, true,false)</f>
        <v>0</v>
      </c>
      <c r="F253" s="17" t="b">
        <f t="shared" si="1266"/>
        <v>0</v>
      </c>
      <c r="G253" s="17" t="b">
        <f t="shared" si="1266"/>
        <v>0</v>
      </c>
      <c r="H253" s="17" t="b">
        <f t="shared" si="1266"/>
        <v>0</v>
      </c>
      <c r="I253" s="17" t="b">
        <f t="shared" si="1266"/>
        <v>0</v>
      </c>
      <c r="J253" s="17" t="b">
        <f t="shared" si="1266"/>
        <v>1</v>
      </c>
      <c r="K253" s="17" t="b">
        <f t="shared" si="1266"/>
        <v>0</v>
      </c>
      <c r="L253" s="18" t="b">
        <v>1</v>
      </c>
      <c r="M253" s="18" t="b">
        <v>0</v>
      </c>
      <c r="N253" s="18" t="b">
        <v>0</v>
      </c>
      <c r="O253" s="18" t="b">
        <v>0</v>
      </c>
      <c r="P253" s="16" t="str">
        <f t="shared" si="7"/>
        <v>Gemeentelijk museum Gust De Smet</v>
      </c>
      <c r="Q253" s="19">
        <v>5.0</v>
      </c>
      <c r="R253" s="18" t="b">
        <v>0</v>
      </c>
      <c r="S253" s="18" t="b">
        <v>0</v>
      </c>
      <c r="T253" s="33"/>
      <c r="U253" s="21">
        <f t="shared" si="8"/>
        <v>1</v>
      </c>
      <c r="V253" s="21">
        <f t="shared" ref="V253:AB253" si="1267">if(OR(AW253 = $AO$4, AW253 = $AQ$4), 1, 0)</f>
        <v>0</v>
      </c>
      <c r="W253" s="21">
        <f t="shared" si="1267"/>
        <v>0</v>
      </c>
      <c r="X253" s="21">
        <f t="shared" si="1267"/>
        <v>0</v>
      </c>
      <c r="Y253" s="21">
        <f t="shared" si="1267"/>
        <v>0</v>
      </c>
      <c r="Z253" s="21">
        <f t="shared" si="1267"/>
        <v>0</v>
      </c>
      <c r="AA253" s="21">
        <f t="shared" si="1267"/>
        <v>1</v>
      </c>
      <c r="AB253" s="21">
        <f t="shared" si="1267"/>
        <v>0</v>
      </c>
      <c r="AC253" s="21">
        <f t="shared" si="10"/>
        <v>1</v>
      </c>
      <c r="AD253" s="21">
        <f t="shared" si="11"/>
        <v>1</v>
      </c>
      <c r="AE253" s="21">
        <f t="shared" ref="AE253:AH253" si="1268">if(OR(BD253 = $AO$6, BD253 = $AS$6, BD253 = $AT$6, BD253 = $AU$6), 1, 0)</f>
        <v>1</v>
      </c>
      <c r="AF253" s="21">
        <f t="shared" si="1268"/>
        <v>0</v>
      </c>
      <c r="AG253" s="21">
        <f t="shared" si="1268"/>
        <v>0</v>
      </c>
      <c r="AH253" s="21">
        <f t="shared" si="1268"/>
        <v>0</v>
      </c>
      <c r="AI253" s="21">
        <f t="shared" si="13"/>
        <v>1</v>
      </c>
      <c r="AJ253" s="21">
        <f t="shared" si="14"/>
        <v>4</v>
      </c>
      <c r="AK253" s="59">
        <f t="shared" si="15"/>
        <v>2.5</v>
      </c>
      <c r="AL253" s="60" t="str">
        <f t="shared" si="16"/>
        <v>subpar</v>
      </c>
      <c r="AW253" s="22">
        <f t="shared" ref="AW253:BC253" si="1269">IF(IFERROR(SEARCH(E$1, $D253),0) &gt;= 1, E$1,0)</f>
        <v>0</v>
      </c>
      <c r="AX253" s="22">
        <f t="shared" si="1269"/>
        <v>0</v>
      </c>
      <c r="AY253" s="22">
        <f t="shared" si="1269"/>
        <v>0</v>
      </c>
      <c r="AZ253" s="22">
        <f t="shared" si="1269"/>
        <v>0</v>
      </c>
      <c r="BA253" s="22">
        <f t="shared" si="1269"/>
        <v>0</v>
      </c>
      <c r="BB253" s="22" t="str">
        <f t="shared" si="1269"/>
        <v>Beeldende kunst</v>
      </c>
      <c r="BC253" s="22">
        <f t="shared" si="1269"/>
        <v>0</v>
      </c>
      <c r="BD253" s="22" t="str">
        <f t="shared" ref="BD253:BG253" si="1270">IF(L253 = true, BD$1, 0)</f>
        <v>Shop</v>
      </c>
      <c r="BE253" s="22">
        <f t="shared" si="1270"/>
        <v>0</v>
      </c>
      <c r="BF253" s="22">
        <f t="shared" si="1270"/>
        <v>0</v>
      </c>
      <c r="BG253" s="22">
        <f t="shared" si="1270"/>
        <v>0</v>
      </c>
      <c r="BH253" s="22" t="str">
        <f>IFERROR(__xludf.DUMMYFUNCTION("""COMPUTED_VALUE"""),"Geneeskundemuseum")</f>
        <v>Geneeskundemuseum</v>
      </c>
      <c r="BI253" s="24">
        <f>IFERROR(__xludf.DUMMYFUNCTION("""COMPUTED_VALUE"""),5.0)</f>
        <v>5</v>
      </c>
      <c r="BJ253" s="22" t="b">
        <f>IFERROR(__xludf.DUMMYFUNCTION("""COMPUTED_VALUE"""),FALSE)</f>
        <v>0</v>
      </c>
      <c r="BK253" s="22" t="b">
        <f>IFERROR(__xludf.DUMMYFUNCTION("""COMPUTED_VALUE"""),FALSE)</f>
        <v>0</v>
      </c>
      <c r="BL253" s="22"/>
      <c r="BM253" s="22">
        <f>IFERROR(__xludf.DUMMYFUNCTION("""COMPUTED_VALUE"""),0.0)</f>
        <v>0</v>
      </c>
      <c r="BN253" s="22">
        <f>IFERROR(__xludf.DUMMYFUNCTION("""COMPUTED_VALUE"""),1.0)</f>
        <v>1</v>
      </c>
      <c r="BO253" s="22">
        <f>IFERROR(__xludf.DUMMYFUNCTION("""COMPUTED_VALUE"""),0.0)</f>
        <v>0</v>
      </c>
      <c r="BP253" s="22">
        <f>IFERROR(__xludf.DUMMYFUNCTION("""COMPUTED_VALUE"""),0.0)</f>
        <v>0</v>
      </c>
      <c r="BQ253" s="22">
        <f>IFERROR(__xludf.DUMMYFUNCTION("""COMPUTED_VALUE"""),0.0)</f>
        <v>0</v>
      </c>
      <c r="BR253" s="22">
        <f>IFERROR(__xludf.DUMMYFUNCTION("""COMPUTED_VALUE"""),0.0)</f>
        <v>0</v>
      </c>
      <c r="BS253" s="22">
        <f>IFERROR(__xludf.DUMMYFUNCTION("""COMPUTED_VALUE"""),0.0)</f>
        <v>0</v>
      </c>
      <c r="BT253" s="22">
        <f>IFERROR(__xludf.DUMMYFUNCTION("""COMPUTED_VALUE"""),0.0)</f>
        <v>0</v>
      </c>
      <c r="BU253" s="22">
        <f>IFERROR(__xludf.DUMMYFUNCTION("""COMPUTED_VALUE"""),1.0)</f>
        <v>1</v>
      </c>
      <c r="BV253" s="22">
        <f>IFERROR(__xludf.DUMMYFUNCTION("""COMPUTED_VALUE"""),1.0)</f>
        <v>1</v>
      </c>
      <c r="BW253" s="22">
        <f>IFERROR(__xludf.DUMMYFUNCTION("""COMPUTED_VALUE"""),0.0)</f>
        <v>0</v>
      </c>
      <c r="BX253" s="22">
        <f>IFERROR(__xludf.DUMMYFUNCTION("""COMPUTED_VALUE"""),0.0)</f>
        <v>0</v>
      </c>
      <c r="BY253" s="22">
        <f>IFERROR(__xludf.DUMMYFUNCTION("""COMPUTED_VALUE"""),0.0)</f>
        <v>0</v>
      </c>
      <c r="BZ253" s="22">
        <f>IFERROR(__xludf.DUMMYFUNCTION("""COMPUTED_VALUE"""),0.0)</f>
        <v>0</v>
      </c>
      <c r="CA253" s="22">
        <f>IFERROR(__xludf.DUMMYFUNCTION("""COMPUTED_VALUE"""),0.0)</f>
        <v>0</v>
      </c>
      <c r="CB253" s="22">
        <f>IFERROR(__xludf.DUMMYFUNCTION("""COMPUTED_VALUE"""),2.0)</f>
        <v>2</v>
      </c>
      <c r="CC253" s="61">
        <f>IFERROR(__xludf.DUMMYFUNCTION("""COMPUTED_VALUE"""),1.25)</f>
        <v>1.25</v>
      </c>
      <c r="CD253" s="62" t="str">
        <f>IFERROR(__xludf.DUMMYFUNCTION("""COMPUTED_VALUE"""),"subpar")</f>
        <v>subpar</v>
      </c>
      <c r="CE253" s="22" t="s">
        <v>473</v>
      </c>
      <c r="CF253" s="24">
        <v>5.0</v>
      </c>
      <c r="CG253" s="22" t="b">
        <v>0</v>
      </c>
      <c r="CH253" s="22" t="b">
        <v>0</v>
      </c>
      <c r="CI253" s="22"/>
      <c r="CJ253" s="22">
        <v>0.0</v>
      </c>
      <c r="CK253" s="22">
        <v>1.0</v>
      </c>
      <c r="CL253" s="22">
        <v>0.0</v>
      </c>
      <c r="CM253" s="22">
        <v>0.0</v>
      </c>
      <c r="CN253" s="22">
        <v>0.0</v>
      </c>
      <c r="CO253" s="22">
        <v>0.0</v>
      </c>
      <c r="CP253" s="22">
        <v>0.0</v>
      </c>
      <c r="CQ253" s="22">
        <v>0.0</v>
      </c>
      <c r="CR253" s="22">
        <v>1.0</v>
      </c>
      <c r="CS253" s="22">
        <v>1.0</v>
      </c>
      <c r="CT253" s="22">
        <v>0.0</v>
      </c>
      <c r="CU253" s="22">
        <v>0.0</v>
      </c>
      <c r="CV253" s="22">
        <v>0.0</v>
      </c>
      <c r="CW253" s="22">
        <v>0.0</v>
      </c>
      <c r="CX253" s="22">
        <v>0.0</v>
      </c>
      <c r="CY253" s="22">
        <v>2.0</v>
      </c>
      <c r="CZ253" s="61">
        <v>1.25</v>
      </c>
      <c r="DA253" s="62" t="s">
        <v>568</v>
      </c>
    </row>
    <row r="254">
      <c r="A254" s="16" t="s">
        <v>529</v>
      </c>
      <c r="B254" s="16" t="s">
        <v>530</v>
      </c>
      <c r="C254" s="17" t="s">
        <v>55</v>
      </c>
      <c r="D254" s="16" t="s">
        <v>4</v>
      </c>
      <c r="E254" s="17" t="b">
        <f t="shared" ref="E254:K254" si="1271">If(IFERROR(SEARCH(E$1, $D254),0) &gt;= 1, true,false)</f>
        <v>1</v>
      </c>
      <c r="F254" s="17" t="b">
        <f t="shared" si="1271"/>
        <v>0</v>
      </c>
      <c r="G254" s="17" t="b">
        <f t="shared" si="1271"/>
        <v>0</v>
      </c>
      <c r="H254" s="17" t="b">
        <f t="shared" si="1271"/>
        <v>0</v>
      </c>
      <c r="I254" s="17" t="b">
        <f t="shared" si="1271"/>
        <v>0</v>
      </c>
      <c r="J254" s="17" t="b">
        <f t="shared" si="1271"/>
        <v>0</v>
      </c>
      <c r="K254" s="17" t="b">
        <f t="shared" si="1271"/>
        <v>0</v>
      </c>
      <c r="L254" s="18" t="b">
        <v>1</v>
      </c>
      <c r="M254" s="18" t="b">
        <v>1</v>
      </c>
      <c r="N254" s="18" t="b">
        <v>1</v>
      </c>
      <c r="O254" s="18" t="b">
        <v>0</v>
      </c>
      <c r="P254" s="16" t="str">
        <f t="shared" si="7"/>
        <v>Provinciale Erfgoedsite Ename</v>
      </c>
      <c r="Q254" s="19">
        <v>8.0</v>
      </c>
      <c r="R254" s="18" t="b">
        <v>0</v>
      </c>
      <c r="S254" s="18" t="b">
        <v>0</v>
      </c>
      <c r="T254" s="16"/>
      <c r="U254" s="21">
        <f t="shared" si="8"/>
        <v>1</v>
      </c>
      <c r="V254" s="21">
        <f t="shared" ref="V254:AB254" si="1272">if(OR(AW254 = $AO$4, AW254 = $AQ$4), 1, 0)</f>
        <v>1</v>
      </c>
      <c r="W254" s="21">
        <f t="shared" si="1272"/>
        <v>0</v>
      </c>
      <c r="X254" s="21">
        <f t="shared" si="1272"/>
        <v>0</v>
      </c>
      <c r="Y254" s="21">
        <f t="shared" si="1272"/>
        <v>0</v>
      </c>
      <c r="Z254" s="21">
        <f t="shared" si="1272"/>
        <v>0</v>
      </c>
      <c r="AA254" s="21">
        <f t="shared" si="1272"/>
        <v>0</v>
      </c>
      <c r="AB254" s="21">
        <f t="shared" si="1272"/>
        <v>0</v>
      </c>
      <c r="AC254" s="21">
        <f t="shared" si="10"/>
        <v>1</v>
      </c>
      <c r="AD254" s="21">
        <f t="shared" si="11"/>
        <v>1</v>
      </c>
      <c r="AE254" s="21">
        <f t="shared" ref="AE254:AH254" si="1273">if(OR(BD254 = $AO$6, BD254 = $AS$6, BD254 = $AT$6, BD254 = $AU$6), 1, 0)</f>
        <v>1</v>
      </c>
      <c r="AF254" s="21">
        <f t="shared" si="1273"/>
        <v>1</v>
      </c>
      <c r="AG254" s="21">
        <f t="shared" si="1273"/>
        <v>1</v>
      </c>
      <c r="AH254" s="21">
        <f t="shared" si="1273"/>
        <v>0</v>
      </c>
      <c r="AI254" s="21">
        <f t="shared" si="13"/>
        <v>3</v>
      </c>
      <c r="AJ254" s="21">
        <f t="shared" si="14"/>
        <v>6</v>
      </c>
      <c r="AK254" s="59">
        <f t="shared" si="15"/>
        <v>3.75</v>
      </c>
      <c r="AL254" s="60" t="str">
        <f t="shared" si="16"/>
        <v>good</v>
      </c>
      <c r="AW254" s="22" t="str">
        <f t="shared" ref="AW254:BC254" si="1274">IF(IFERROR(SEARCH(E$1, $D254),0) &gt;= 1, E$1,0)</f>
        <v>Geschiedenis en archeologie</v>
      </c>
      <c r="AX254" s="22">
        <f t="shared" si="1274"/>
        <v>0</v>
      </c>
      <c r="AY254" s="22">
        <f t="shared" si="1274"/>
        <v>0</v>
      </c>
      <c r="AZ254" s="22">
        <f t="shared" si="1274"/>
        <v>0</v>
      </c>
      <c r="BA254" s="22">
        <f t="shared" si="1274"/>
        <v>0</v>
      </c>
      <c r="BB254" s="22">
        <f t="shared" si="1274"/>
        <v>0</v>
      </c>
      <c r="BC254" s="22">
        <f t="shared" si="1274"/>
        <v>0</v>
      </c>
      <c r="BD254" s="22" t="str">
        <f t="shared" ref="BD254:BG254" si="1275">IF(L254 = true, BD$1, 0)</f>
        <v>Shop</v>
      </c>
      <c r="BE254" s="22" t="str">
        <f t="shared" si="1275"/>
        <v>Café</v>
      </c>
      <c r="BF254" s="22" t="str">
        <f t="shared" si="1275"/>
        <v>Parking</v>
      </c>
      <c r="BG254" s="22">
        <f t="shared" si="1275"/>
        <v>0</v>
      </c>
      <c r="BH254" s="22" t="str">
        <f>IFERROR(__xludf.DUMMYFUNCTION("""COMPUTED_VALUE"""),"René Magritte Museum &amp; Museum voor abstracte kuns")</f>
        <v>René Magritte Museum &amp; Museum voor abstracte kuns</v>
      </c>
      <c r="BI254" s="24">
        <f>IFERROR(__xludf.DUMMYFUNCTION("""COMPUTED_VALUE"""),15.0)</f>
        <v>15</v>
      </c>
      <c r="BJ254" s="22" t="b">
        <f>IFERROR(__xludf.DUMMYFUNCTION("""COMPUTED_VALUE"""),FALSE)</f>
        <v>0</v>
      </c>
      <c r="BK254" s="22" t="b">
        <f>IFERROR(__xludf.DUMMYFUNCTION("""COMPUTED_VALUE"""),FALSE)</f>
        <v>0</v>
      </c>
      <c r="BL254" s="22"/>
      <c r="BM254" s="22">
        <f>IFERROR(__xludf.DUMMYFUNCTION("""COMPUTED_VALUE"""),0.0)</f>
        <v>0</v>
      </c>
      <c r="BN254" s="22">
        <f>IFERROR(__xludf.DUMMYFUNCTION("""COMPUTED_VALUE"""),0.0)</f>
        <v>0</v>
      </c>
      <c r="BO254" s="22">
        <f>IFERROR(__xludf.DUMMYFUNCTION("""COMPUTED_VALUE"""),0.0)</f>
        <v>0</v>
      </c>
      <c r="BP254" s="22">
        <f>IFERROR(__xludf.DUMMYFUNCTION("""COMPUTED_VALUE"""),0.0)</f>
        <v>0</v>
      </c>
      <c r="BQ254" s="22">
        <f>IFERROR(__xludf.DUMMYFUNCTION("""COMPUTED_VALUE"""),0.0)</f>
        <v>0</v>
      </c>
      <c r="BR254" s="22">
        <f>IFERROR(__xludf.DUMMYFUNCTION("""COMPUTED_VALUE"""),0.0)</f>
        <v>0</v>
      </c>
      <c r="BS254" s="22">
        <f>IFERROR(__xludf.DUMMYFUNCTION("""COMPUTED_VALUE"""),1.0)</f>
        <v>1</v>
      </c>
      <c r="BT254" s="22">
        <f>IFERROR(__xludf.DUMMYFUNCTION("""COMPUTED_VALUE"""),0.0)</f>
        <v>0</v>
      </c>
      <c r="BU254" s="22">
        <f>IFERROR(__xludf.DUMMYFUNCTION("""COMPUTED_VALUE"""),1.0)</f>
        <v>1</v>
      </c>
      <c r="BV254" s="22">
        <f>IFERROR(__xludf.DUMMYFUNCTION("""COMPUTED_VALUE"""),0.0)</f>
        <v>0</v>
      </c>
      <c r="BW254" s="22">
        <f>IFERROR(__xludf.DUMMYFUNCTION("""COMPUTED_VALUE"""),1.0)</f>
        <v>1</v>
      </c>
      <c r="BX254" s="22">
        <f>IFERROR(__xludf.DUMMYFUNCTION("""COMPUTED_VALUE"""),0.0)</f>
        <v>0</v>
      </c>
      <c r="BY254" s="22">
        <f>IFERROR(__xludf.DUMMYFUNCTION("""COMPUTED_VALUE"""),0.0)</f>
        <v>0</v>
      </c>
      <c r="BZ254" s="22">
        <f>IFERROR(__xludf.DUMMYFUNCTION("""COMPUTED_VALUE"""),0.0)</f>
        <v>0</v>
      </c>
      <c r="CA254" s="22">
        <f>IFERROR(__xludf.DUMMYFUNCTION("""COMPUTED_VALUE"""),1.0)</f>
        <v>1</v>
      </c>
      <c r="CB254" s="22">
        <f>IFERROR(__xludf.DUMMYFUNCTION("""COMPUTED_VALUE"""),2.0)</f>
        <v>2</v>
      </c>
      <c r="CC254" s="61">
        <f>IFERROR(__xludf.DUMMYFUNCTION("""COMPUTED_VALUE"""),1.25)</f>
        <v>1.25</v>
      </c>
      <c r="CD254" s="62" t="str">
        <f>IFERROR(__xludf.DUMMYFUNCTION("""COMPUTED_VALUE"""),"subpar")</f>
        <v>subpar</v>
      </c>
      <c r="CE254" s="22" t="s">
        <v>486</v>
      </c>
      <c r="CF254" s="24">
        <v>15.0</v>
      </c>
      <c r="CG254" s="22" t="b">
        <v>0</v>
      </c>
      <c r="CH254" s="22" t="b">
        <v>0</v>
      </c>
      <c r="CI254" s="22"/>
      <c r="CJ254" s="22">
        <v>0.0</v>
      </c>
      <c r="CK254" s="22">
        <v>0.0</v>
      </c>
      <c r="CL254" s="22">
        <v>0.0</v>
      </c>
      <c r="CM254" s="22">
        <v>0.0</v>
      </c>
      <c r="CN254" s="22">
        <v>0.0</v>
      </c>
      <c r="CO254" s="22">
        <v>0.0</v>
      </c>
      <c r="CP254" s="22">
        <v>1.0</v>
      </c>
      <c r="CQ254" s="22">
        <v>0.0</v>
      </c>
      <c r="CR254" s="22">
        <v>1.0</v>
      </c>
      <c r="CS254" s="22">
        <v>0.0</v>
      </c>
      <c r="CT254" s="22">
        <v>1.0</v>
      </c>
      <c r="CU254" s="22">
        <v>0.0</v>
      </c>
      <c r="CV254" s="22">
        <v>0.0</v>
      </c>
      <c r="CW254" s="22">
        <v>0.0</v>
      </c>
      <c r="CX254" s="22">
        <v>1.0</v>
      </c>
      <c r="CY254" s="22">
        <v>2.0</v>
      </c>
      <c r="CZ254" s="61">
        <v>1.25</v>
      </c>
      <c r="DA254" s="62" t="s">
        <v>568</v>
      </c>
    </row>
    <row r="255">
      <c r="A255" s="16" t="s">
        <v>531</v>
      </c>
      <c r="B255" s="16" t="s">
        <v>532</v>
      </c>
      <c r="C255" s="17" t="s">
        <v>55</v>
      </c>
      <c r="D255" s="16" t="s">
        <v>4</v>
      </c>
      <c r="E255" s="17" t="b">
        <f t="shared" ref="E255:K255" si="1276">If(IFERROR(SEARCH(E$1, $D255),0) &gt;= 1, true,false)</f>
        <v>1</v>
      </c>
      <c r="F255" s="17" t="b">
        <f t="shared" si="1276"/>
        <v>0</v>
      </c>
      <c r="G255" s="17" t="b">
        <f t="shared" si="1276"/>
        <v>0</v>
      </c>
      <c r="H255" s="17" t="b">
        <f t="shared" si="1276"/>
        <v>0</v>
      </c>
      <c r="I255" s="17" t="b">
        <f t="shared" si="1276"/>
        <v>0</v>
      </c>
      <c r="J255" s="17" t="b">
        <f t="shared" si="1276"/>
        <v>0</v>
      </c>
      <c r="K255" s="17" t="b">
        <f t="shared" si="1276"/>
        <v>0</v>
      </c>
      <c r="L255" s="18" t="b">
        <v>0</v>
      </c>
      <c r="M255" s="18" t="b">
        <v>1</v>
      </c>
      <c r="N255" s="18" t="b">
        <v>1</v>
      </c>
      <c r="O255" s="18" t="b">
        <v>0</v>
      </c>
      <c r="P255" s="16" t="str">
        <f t="shared" si="7"/>
        <v>Provinciale Erfgoedsite Scheepswerven Baasrode</v>
      </c>
      <c r="Q255" s="19">
        <v>8.0</v>
      </c>
      <c r="R255" s="18" t="b">
        <v>0</v>
      </c>
      <c r="S255" s="18" t="b">
        <v>0</v>
      </c>
      <c r="T255" s="16"/>
      <c r="U255" s="21">
        <f t="shared" si="8"/>
        <v>1</v>
      </c>
      <c r="V255" s="21">
        <f t="shared" ref="V255:AB255" si="1277">if(OR(AW255 = $AO$4, AW255 = $AQ$4), 1, 0)</f>
        <v>1</v>
      </c>
      <c r="W255" s="21">
        <f t="shared" si="1277"/>
        <v>0</v>
      </c>
      <c r="X255" s="21">
        <f t="shared" si="1277"/>
        <v>0</v>
      </c>
      <c r="Y255" s="21">
        <f t="shared" si="1277"/>
        <v>0</v>
      </c>
      <c r="Z255" s="21">
        <f t="shared" si="1277"/>
        <v>0</v>
      </c>
      <c r="AA255" s="21">
        <f t="shared" si="1277"/>
        <v>0</v>
      </c>
      <c r="AB255" s="21">
        <f t="shared" si="1277"/>
        <v>0</v>
      </c>
      <c r="AC255" s="21">
        <f t="shared" si="10"/>
        <v>1</v>
      </c>
      <c r="AD255" s="21">
        <f t="shared" si="11"/>
        <v>1</v>
      </c>
      <c r="AE255" s="21">
        <f t="shared" ref="AE255:AH255" si="1278">if(OR(BD255 = $AO$6, BD255 = $AS$6, BD255 = $AT$6, BD255 = $AU$6), 1, 0)</f>
        <v>0</v>
      </c>
      <c r="AF255" s="21">
        <f t="shared" si="1278"/>
        <v>1</v>
      </c>
      <c r="AG255" s="21">
        <f t="shared" si="1278"/>
        <v>1</v>
      </c>
      <c r="AH255" s="21">
        <f t="shared" si="1278"/>
        <v>0</v>
      </c>
      <c r="AI255" s="21">
        <f t="shared" si="13"/>
        <v>2</v>
      </c>
      <c r="AJ255" s="21">
        <f t="shared" si="14"/>
        <v>5</v>
      </c>
      <c r="AK255" s="59">
        <f t="shared" si="15"/>
        <v>3.125</v>
      </c>
      <c r="AL255" s="60" t="str">
        <f t="shared" si="16"/>
        <v>good</v>
      </c>
      <c r="AW255" s="22" t="str">
        <f t="shared" ref="AW255:BC255" si="1279">IF(IFERROR(SEARCH(E$1, $D255),0) &gt;= 1, E$1,0)</f>
        <v>Geschiedenis en archeologie</v>
      </c>
      <c r="AX255" s="22">
        <f t="shared" si="1279"/>
        <v>0</v>
      </c>
      <c r="AY255" s="22">
        <f t="shared" si="1279"/>
        <v>0</v>
      </c>
      <c r="AZ255" s="22">
        <f t="shared" si="1279"/>
        <v>0</v>
      </c>
      <c r="BA255" s="22">
        <f t="shared" si="1279"/>
        <v>0</v>
      </c>
      <c r="BB255" s="22">
        <f t="shared" si="1279"/>
        <v>0</v>
      </c>
      <c r="BC255" s="22">
        <f t="shared" si="1279"/>
        <v>0</v>
      </c>
      <c r="BD255" s="22">
        <f t="shared" ref="BD255:BG255" si="1280">IF(L255 = true, BD$1, 0)</f>
        <v>0</v>
      </c>
      <c r="BE255" s="22" t="str">
        <f t="shared" si="1280"/>
        <v>Café</v>
      </c>
      <c r="BF255" s="22" t="str">
        <f t="shared" si="1280"/>
        <v>Parking</v>
      </c>
      <c r="BG255" s="22">
        <f t="shared" si="1280"/>
        <v>0</v>
      </c>
      <c r="BH255" s="22" t="str">
        <f>IFERROR(__xludf.DUMMYFUNCTION("""COMPUTED_VALUE"""),"Belfort van Brugge")</f>
        <v>Belfort van Brugge</v>
      </c>
      <c r="BI255" s="24">
        <f>IFERROR(__xludf.DUMMYFUNCTION("""COMPUTED_VALUE"""),15.0)</f>
        <v>15</v>
      </c>
      <c r="BJ255" s="22" t="b">
        <f>IFERROR(__xludf.DUMMYFUNCTION("""COMPUTED_VALUE"""),FALSE)</f>
        <v>0</v>
      </c>
      <c r="BK255" s="22" t="b">
        <f>IFERROR(__xludf.DUMMYFUNCTION("""COMPUTED_VALUE"""),FALSE)</f>
        <v>0</v>
      </c>
      <c r="BL255" s="22"/>
      <c r="BM255" s="22">
        <f>IFERROR(__xludf.DUMMYFUNCTION("""COMPUTED_VALUE"""),0.0)</f>
        <v>0</v>
      </c>
      <c r="BN255" s="22">
        <f>IFERROR(__xludf.DUMMYFUNCTION("""COMPUTED_VALUE"""),1.0)</f>
        <v>1</v>
      </c>
      <c r="BO255" s="22">
        <f>IFERROR(__xludf.DUMMYFUNCTION("""COMPUTED_VALUE"""),0.0)</f>
        <v>0</v>
      </c>
      <c r="BP255" s="22">
        <f>IFERROR(__xludf.DUMMYFUNCTION("""COMPUTED_VALUE"""),0.0)</f>
        <v>0</v>
      </c>
      <c r="BQ255" s="22">
        <f>IFERROR(__xludf.DUMMYFUNCTION("""COMPUTED_VALUE"""),0.0)</f>
        <v>0</v>
      </c>
      <c r="BR255" s="22">
        <f>IFERROR(__xludf.DUMMYFUNCTION("""COMPUTED_VALUE"""),0.0)</f>
        <v>0</v>
      </c>
      <c r="BS255" s="22">
        <f>IFERROR(__xludf.DUMMYFUNCTION("""COMPUTED_VALUE"""),0.0)</f>
        <v>0</v>
      </c>
      <c r="BT255" s="22">
        <f>IFERROR(__xludf.DUMMYFUNCTION("""COMPUTED_VALUE"""),0.0)</f>
        <v>0</v>
      </c>
      <c r="BU255" s="22">
        <f>IFERROR(__xludf.DUMMYFUNCTION("""COMPUTED_VALUE"""),1.0)</f>
        <v>1</v>
      </c>
      <c r="BV255" s="22">
        <f>IFERROR(__xludf.DUMMYFUNCTION("""COMPUTED_VALUE"""),0.0)</f>
        <v>0</v>
      </c>
      <c r="BW255" s="22">
        <f>IFERROR(__xludf.DUMMYFUNCTION("""COMPUTED_VALUE"""),0.0)</f>
        <v>0</v>
      </c>
      <c r="BX255" s="22">
        <f>IFERROR(__xludf.DUMMYFUNCTION("""COMPUTED_VALUE"""),0.0)</f>
        <v>0</v>
      </c>
      <c r="BY255" s="22">
        <f>IFERROR(__xludf.DUMMYFUNCTION("""COMPUTED_VALUE"""),0.0)</f>
        <v>0</v>
      </c>
      <c r="BZ255" s="22">
        <f>IFERROR(__xludf.DUMMYFUNCTION("""COMPUTED_VALUE"""),0.0)</f>
        <v>0</v>
      </c>
      <c r="CA255" s="22">
        <f>IFERROR(__xludf.DUMMYFUNCTION("""COMPUTED_VALUE"""),0.0)</f>
        <v>0</v>
      </c>
      <c r="CB255" s="22">
        <f>IFERROR(__xludf.DUMMYFUNCTION("""COMPUTED_VALUE"""),1.0)</f>
        <v>1</v>
      </c>
      <c r="CC255" s="61">
        <f>IFERROR(__xludf.DUMMYFUNCTION("""COMPUTED_VALUE"""),0.625)</f>
        <v>0.625</v>
      </c>
      <c r="CD255" s="62" t="str">
        <f>IFERROR(__xludf.DUMMYFUNCTION("""COMPUTED_VALUE"""),"no match")</f>
        <v>no match</v>
      </c>
      <c r="CE255" s="22" t="s">
        <v>73</v>
      </c>
      <c r="CF255" s="24">
        <v>15.0</v>
      </c>
      <c r="CG255" s="22" t="b">
        <v>0</v>
      </c>
      <c r="CH255" s="22" t="b">
        <v>0</v>
      </c>
      <c r="CI255" s="22"/>
      <c r="CJ255" s="22">
        <v>0.0</v>
      </c>
      <c r="CK255" s="22">
        <v>1.0</v>
      </c>
      <c r="CL255" s="22">
        <v>0.0</v>
      </c>
      <c r="CM255" s="22">
        <v>0.0</v>
      </c>
      <c r="CN255" s="22">
        <v>0.0</v>
      </c>
      <c r="CO255" s="22">
        <v>0.0</v>
      </c>
      <c r="CP255" s="22">
        <v>0.0</v>
      </c>
      <c r="CQ255" s="22">
        <v>0.0</v>
      </c>
      <c r="CR255" s="22">
        <v>1.0</v>
      </c>
      <c r="CS255" s="22">
        <v>0.0</v>
      </c>
      <c r="CT255" s="22">
        <v>0.0</v>
      </c>
      <c r="CU255" s="22">
        <v>0.0</v>
      </c>
      <c r="CV255" s="22">
        <v>0.0</v>
      </c>
      <c r="CW255" s="22">
        <v>0.0</v>
      </c>
      <c r="CX255" s="22">
        <v>0.0</v>
      </c>
      <c r="CY255" s="22">
        <v>1.0</v>
      </c>
      <c r="CZ255" s="61">
        <v>0.625</v>
      </c>
      <c r="DA255" s="62" t="s">
        <v>569</v>
      </c>
    </row>
    <row r="256">
      <c r="A256" s="16" t="s">
        <v>533</v>
      </c>
      <c r="B256" s="16" t="s">
        <v>534</v>
      </c>
      <c r="C256" s="17" t="s">
        <v>55</v>
      </c>
      <c r="D256" s="16" t="s">
        <v>4</v>
      </c>
      <c r="E256" s="17" t="b">
        <f t="shared" ref="E256:K256" si="1281">If(IFERROR(SEARCH(E$1, $D256),0) &gt;= 1, true,false)</f>
        <v>1</v>
      </c>
      <c r="F256" s="17" t="b">
        <f t="shared" si="1281"/>
        <v>0</v>
      </c>
      <c r="G256" s="17" t="b">
        <f t="shared" si="1281"/>
        <v>0</v>
      </c>
      <c r="H256" s="17" t="b">
        <f t="shared" si="1281"/>
        <v>0</v>
      </c>
      <c r="I256" s="17" t="b">
        <f t="shared" si="1281"/>
        <v>0</v>
      </c>
      <c r="J256" s="17" t="b">
        <f t="shared" si="1281"/>
        <v>0</v>
      </c>
      <c r="K256" s="17" t="b">
        <f t="shared" si="1281"/>
        <v>0</v>
      </c>
      <c r="L256" s="18" t="b">
        <v>0</v>
      </c>
      <c r="M256" s="18" t="b">
        <v>0</v>
      </c>
      <c r="N256" s="18" t="b">
        <v>1</v>
      </c>
      <c r="O256" s="18" t="b">
        <v>0</v>
      </c>
      <c r="P256" s="16" t="str">
        <f t="shared" si="7"/>
        <v>Provinciale Erfgoedsite Archeocentrum Velzeke</v>
      </c>
      <c r="Q256" s="19">
        <v>8.0</v>
      </c>
      <c r="R256" s="18" t="b">
        <v>0</v>
      </c>
      <c r="S256" s="18" t="b">
        <v>1</v>
      </c>
      <c r="T256" s="29">
        <v>8.0</v>
      </c>
      <c r="U256" s="21">
        <f t="shared" si="8"/>
        <v>1</v>
      </c>
      <c r="V256" s="21">
        <f t="shared" ref="V256:AB256" si="1282">if(OR(AW256 = $AO$4, AW256 = $AQ$4), 1, 0)</f>
        <v>1</v>
      </c>
      <c r="W256" s="21">
        <f t="shared" si="1282"/>
        <v>0</v>
      </c>
      <c r="X256" s="21">
        <f t="shared" si="1282"/>
        <v>0</v>
      </c>
      <c r="Y256" s="21">
        <f t="shared" si="1282"/>
        <v>0</v>
      </c>
      <c r="Z256" s="21">
        <f t="shared" si="1282"/>
        <v>0</v>
      </c>
      <c r="AA256" s="21">
        <f t="shared" si="1282"/>
        <v>0</v>
      </c>
      <c r="AB256" s="21">
        <f t="shared" si="1282"/>
        <v>0</v>
      </c>
      <c r="AC256" s="21">
        <f t="shared" si="10"/>
        <v>1</v>
      </c>
      <c r="AD256" s="21">
        <f t="shared" si="11"/>
        <v>1</v>
      </c>
      <c r="AE256" s="21">
        <f t="shared" ref="AE256:AH256" si="1283">if(OR(BD256 = $AO$6, BD256 = $AS$6, BD256 = $AT$6, BD256 = $AU$6), 1, 0)</f>
        <v>0</v>
      </c>
      <c r="AF256" s="21">
        <f t="shared" si="1283"/>
        <v>0</v>
      </c>
      <c r="AG256" s="21">
        <f t="shared" si="1283"/>
        <v>1</v>
      </c>
      <c r="AH256" s="21">
        <f t="shared" si="1283"/>
        <v>0</v>
      </c>
      <c r="AI256" s="21">
        <f t="shared" si="13"/>
        <v>1</v>
      </c>
      <c r="AJ256" s="21">
        <f t="shared" si="14"/>
        <v>4</v>
      </c>
      <c r="AK256" s="59">
        <f t="shared" si="15"/>
        <v>2.5</v>
      </c>
      <c r="AL256" s="60" t="str">
        <f t="shared" si="16"/>
        <v>subpar</v>
      </c>
      <c r="AW256" s="22" t="str">
        <f t="shared" ref="AW256:BC256" si="1284">IF(IFERROR(SEARCH(E$1, $D256),0) &gt;= 1, E$1,0)</f>
        <v>Geschiedenis en archeologie</v>
      </c>
      <c r="AX256" s="22">
        <f t="shared" si="1284"/>
        <v>0</v>
      </c>
      <c r="AY256" s="22">
        <f t="shared" si="1284"/>
        <v>0</v>
      </c>
      <c r="AZ256" s="22">
        <f t="shared" si="1284"/>
        <v>0</v>
      </c>
      <c r="BA256" s="22">
        <f t="shared" si="1284"/>
        <v>0</v>
      </c>
      <c r="BB256" s="22">
        <f t="shared" si="1284"/>
        <v>0</v>
      </c>
      <c r="BC256" s="22">
        <f t="shared" si="1284"/>
        <v>0</v>
      </c>
      <c r="BD256" s="22">
        <f t="shared" ref="BD256:BG256" si="1285">IF(L256 = true, BD$1, 0)</f>
        <v>0</v>
      </c>
      <c r="BE256" s="22">
        <f t="shared" si="1285"/>
        <v>0</v>
      </c>
      <c r="BF256" s="22" t="str">
        <f t="shared" si="1285"/>
        <v>Parking</v>
      </c>
      <c r="BG256" s="22">
        <f t="shared" si="1285"/>
        <v>0</v>
      </c>
      <c r="BH256" s="22" t="str">
        <f>IFERROR(__xludf.DUMMYFUNCTION("""COMPUTED_VALUE"""),"Gezellehuis")</f>
        <v>Gezellehuis</v>
      </c>
      <c r="BI256" s="24">
        <f>IFERROR(__xludf.DUMMYFUNCTION("""COMPUTED_VALUE"""),0.0)</f>
        <v>0</v>
      </c>
      <c r="BJ256" s="22" t="b">
        <f>IFERROR(__xludf.DUMMYFUNCTION("""COMPUTED_VALUE"""),FALSE)</f>
        <v>0</v>
      </c>
      <c r="BK256" s="22" t="b">
        <f>IFERROR(__xludf.DUMMYFUNCTION("""COMPUTED_VALUE"""),FALSE)</f>
        <v>0</v>
      </c>
      <c r="BL256" s="22"/>
      <c r="BM256" s="22">
        <f>IFERROR(__xludf.DUMMYFUNCTION("""COMPUTED_VALUE"""),0.0)</f>
        <v>0</v>
      </c>
      <c r="BN256" s="22">
        <f>IFERROR(__xludf.DUMMYFUNCTION("""COMPUTED_VALUE"""),0.0)</f>
        <v>0</v>
      </c>
      <c r="BO256" s="22">
        <f>IFERROR(__xludf.DUMMYFUNCTION("""COMPUTED_VALUE"""),0.0)</f>
        <v>0</v>
      </c>
      <c r="BP256" s="22">
        <f>IFERROR(__xludf.DUMMYFUNCTION("""COMPUTED_VALUE"""),0.0)</f>
        <v>0</v>
      </c>
      <c r="BQ256" s="22">
        <f>IFERROR(__xludf.DUMMYFUNCTION("""COMPUTED_VALUE"""),0.0)</f>
        <v>0</v>
      </c>
      <c r="BR256" s="22">
        <f>IFERROR(__xludf.DUMMYFUNCTION("""COMPUTED_VALUE"""),0.0)</f>
        <v>0</v>
      </c>
      <c r="BS256" s="22">
        <f>IFERROR(__xludf.DUMMYFUNCTION("""COMPUTED_VALUE"""),0.0)</f>
        <v>0</v>
      </c>
      <c r="BT256" s="22">
        <f>IFERROR(__xludf.DUMMYFUNCTION("""COMPUTED_VALUE"""),0.0)</f>
        <v>0</v>
      </c>
      <c r="BU256" s="22">
        <f>IFERROR(__xludf.DUMMYFUNCTION("""COMPUTED_VALUE"""),0.0)</f>
        <v>0</v>
      </c>
      <c r="BV256" s="22">
        <f>IFERROR(__xludf.DUMMYFUNCTION("""COMPUTED_VALUE"""),1.0)</f>
        <v>1</v>
      </c>
      <c r="BW256" s="22">
        <f>IFERROR(__xludf.DUMMYFUNCTION("""COMPUTED_VALUE"""),0.0)</f>
        <v>0</v>
      </c>
      <c r="BX256" s="22">
        <f>IFERROR(__xludf.DUMMYFUNCTION("""COMPUTED_VALUE"""),0.0)</f>
        <v>0</v>
      </c>
      <c r="BY256" s="22">
        <f>IFERROR(__xludf.DUMMYFUNCTION("""COMPUTED_VALUE"""),0.0)</f>
        <v>0</v>
      </c>
      <c r="BZ256" s="22">
        <f>IFERROR(__xludf.DUMMYFUNCTION("""COMPUTED_VALUE"""),0.0)</f>
        <v>0</v>
      </c>
      <c r="CA256" s="22">
        <f>IFERROR(__xludf.DUMMYFUNCTION("""COMPUTED_VALUE"""),0.0)</f>
        <v>0</v>
      </c>
      <c r="CB256" s="22">
        <f>IFERROR(__xludf.DUMMYFUNCTION("""COMPUTED_VALUE"""),1.0)</f>
        <v>1</v>
      </c>
      <c r="CC256" s="61">
        <f>IFERROR(__xludf.DUMMYFUNCTION("""COMPUTED_VALUE"""),0.625)</f>
        <v>0.625</v>
      </c>
      <c r="CD256" s="62" t="str">
        <f>IFERROR(__xludf.DUMMYFUNCTION("""COMPUTED_VALUE"""),"no match")</f>
        <v>no match</v>
      </c>
      <c r="CE256" s="22" t="s">
        <v>84</v>
      </c>
      <c r="CF256" s="24">
        <v>0.0</v>
      </c>
      <c r="CG256" s="22" t="b">
        <v>0</v>
      </c>
      <c r="CH256" s="22" t="b">
        <v>0</v>
      </c>
      <c r="CI256" s="22"/>
      <c r="CJ256" s="22">
        <v>0.0</v>
      </c>
      <c r="CK256" s="22">
        <v>0.0</v>
      </c>
      <c r="CL256" s="22">
        <v>0.0</v>
      </c>
      <c r="CM256" s="22">
        <v>0.0</v>
      </c>
      <c r="CN256" s="22">
        <v>0.0</v>
      </c>
      <c r="CO256" s="22">
        <v>0.0</v>
      </c>
      <c r="CP256" s="22">
        <v>0.0</v>
      </c>
      <c r="CQ256" s="22">
        <v>0.0</v>
      </c>
      <c r="CR256" s="22">
        <v>0.0</v>
      </c>
      <c r="CS256" s="22">
        <v>1.0</v>
      </c>
      <c r="CT256" s="22">
        <v>0.0</v>
      </c>
      <c r="CU256" s="22">
        <v>0.0</v>
      </c>
      <c r="CV256" s="22">
        <v>0.0</v>
      </c>
      <c r="CW256" s="22">
        <v>0.0</v>
      </c>
      <c r="CX256" s="22">
        <v>0.0</v>
      </c>
      <c r="CY256" s="22">
        <v>1.0</v>
      </c>
      <c r="CZ256" s="61">
        <v>0.625</v>
      </c>
      <c r="DA256" s="62" t="s">
        <v>569</v>
      </c>
    </row>
    <row r="257">
      <c r="A257" s="16" t="s">
        <v>535</v>
      </c>
      <c r="B257" s="16" t="s">
        <v>536</v>
      </c>
      <c r="C257" s="17" t="s">
        <v>55</v>
      </c>
      <c r="D257" s="16" t="s">
        <v>9</v>
      </c>
      <c r="E257" s="17" t="b">
        <f t="shared" ref="E257:K257" si="1286">If(IFERROR(SEARCH(E$1, $D257),0) &gt;= 1, true,false)</f>
        <v>0</v>
      </c>
      <c r="F257" s="17" t="b">
        <f t="shared" si="1286"/>
        <v>0</v>
      </c>
      <c r="G257" s="17" t="b">
        <f t="shared" si="1286"/>
        <v>0</v>
      </c>
      <c r="H257" s="17" t="b">
        <f t="shared" si="1286"/>
        <v>0</v>
      </c>
      <c r="I257" s="17" t="b">
        <f t="shared" si="1286"/>
        <v>0</v>
      </c>
      <c r="J257" s="17" t="b">
        <f t="shared" si="1286"/>
        <v>1</v>
      </c>
      <c r="K257" s="17" t="b">
        <f t="shared" si="1286"/>
        <v>0</v>
      </c>
      <c r="L257" s="18" t="b">
        <v>1</v>
      </c>
      <c r="M257" s="18" t="b">
        <v>0</v>
      </c>
      <c r="N257" s="18" t="b">
        <v>1</v>
      </c>
      <c r="O257" s="18" t="b">
        <v>0</v>
      </c>
      <c r="P257" s="16" t="str">
        <f t="shared" si="7"/>
        <v>Roger Raveelmuseum</v>
      </c>
      <c r="Q257" s="19">
        <v>10.0</v>
      </c>
      <c r="R257" s="18" t="b">
        <v>1</v>
      </c>
      <c r="S257" s="18" t="b">
        <v>0</v>
      </c>
      <c r="T257" s="21"/>
      <c r="U257" s="21">
        <f t="shared" si="8"/>
        <v>1</v>
      </c>
      <c r="V257" s="21">
        <f t="shared" ref="V257:AB257" si="1287">if(OR(AW257 = $AO$4, AW257 = $AQ$4), 1, 0)</f>
        <v>0</v>
      </c>
      <c r="W257" s="21">
        <f t="shared" si="1287"/>
        <v>0</v>
      </c>
      <c r="X257" s="21">
        <f t="shared" si="1287"/>
        <v>0</v>
      </c>
      <c r="Y257" s="21">
        <f t="shared" si="1287"/>
        <v>0</v>
      </c>
      <c r="Z257" s="21">
        <f t="shared" si="1287"/>
        <v>0</v>
      </c>
      <c r="AA257" s="21">
        <f t="shared" si="1287"/>
        <v>1</v>
      </c>
      <c r="AB257" s="21">
        <f t="shared" si="1287"/>
        <v>0</v>
      </c>
      <c r="AC257" s="21">
        <f t="shared" si="10"/>
        <v>1</v>
      </c>
      <c r="AD257" s="21">
        <f t="shared" si="11"/>
        <v>1</v>
      </c>
      <c r="AE257" s="21">
        <f t="shared" ref="AE257:AH257" si="1288">if(OR(BD257 = $AO$6, BD257 = $AS$6, BD257 = $AT$6, BD257 = $AU$6), 1, 0)</f>
        <v>1</v>
      </c>
      <c r="AF257" s="21">
        <f t="shared" si="1288"/>
        <v>0</v>
      </c>
      <c r="AG257" s="21">
        <f t="shared" si="1288"/>
        <v>1</v>
      </c>
      <c r="AH257" s="21">
        <f t="shared" si="1288"/>
        <v>0</v>
      </c>
      <c r="AI257" s="21">
        <f t="shared" si="13"/>
        <v>2</v>
      </c>
      <c r="AJ257" s="21">
        <f t="shared" si="14"/>
        <v>5</v>
      </c>
      <c r="AK257" s="59">
        <f t="shared" si="15"/>
        <v>3.125</v>
      </c>
      <c r="AL257" s="60" t="str">
        <f t="shared" si="16"/>
        <v>good</v>
      </c>
      <c r="AW257" s="22">
        <f t="shared" ref="AW257:BC257" si="1289">IF(IFERROR(SEARCH(E$1, $D257),0) &gt;= 1, E$1,0)</f>
        <v>0</v>
      </c>
      <c r="AX257" s="22">
        <f t="shared" si="1289"/>
        <v>0</v>
      </c>
      <c r="AY257" s="22">
        <f t="shared" si="1289"/>
        <v>0</v>
      </c>
      <c r="AZ257" s="22">
        <f t="shared" si="1289"/>
        <v>0</v>
      </c>
      <c r="BA257" s="22">
        <f t="shared" si="1289"/>
        <v>0</v>
      </c>
      <c r="BB257" s="22" t="str">
        <f t="shared" si="1289"/>
        <v>Beeldende kunst</v>
      </c>
      <c r="BC257" s="22">
        <f t="shared" si="1289"/>
        <v>0</v>
      </c>
      <c r="BD257" s="22" t="str">
        <f t="shared" ref="BD257:BG257" si="1290">IF(L257 = true, BD$1, 0)</f>
        <v>Shop</v>
      </c>
      <c r="BE257" s="22">
        <f t="shared" si="1290"/>
        <v>0</v>
      </c>
      <c r="BF257" s="22" t="str">
        <f t="shared" si="1290"/>
        <v>Parking</v>
      </c>
      <c r="BG257" s="22">
        <f t="shared" si="1290"/>
        <v>0</v>
      </c>
      <c r="BH257" s="22" t="str">
        <f>IFERROR(__xludf.DUMMYFUNCTION("""COMPUTED_VALUE"""),"Permekemuseum")</f>
        <v>Permekemuseum</v>
      </c>
      <c r="BI257" s="24">
        <f>IFERROR(__xludf.DUMMYFUNCTION("""COMPUTED_VALUE"""),12.0)</f>
        <v>12</v>
      </c>
      <c r="BJ257" s="22" t="b">
        <f>IFERROR(__xludf.DUMMYFUNCTION("""COMPUTED_VALUE"""),FALSE)</f>
        <v>0</v>
      </c>
      <c r="BK257" s="22" t="b">
        <f>IFERROR(__xludf.DUMMYFUNCTION("""COMPUTED_VALUE"""),FALSE)</f>
        <v>0</v>
      </c>
      <c r="BL257" s="22"/>
      <c r="BM257" s="22">
        <f>IFERROR(__xludf.DUMMYFUNCTION("""COMPUTED_VALUE"""),0.0)</f>
        <v>0</v>
      </c>
      <c r="BN257" s="22">
        <f>IFERROR(__xludf.DUMMYFUNCTION("""COMPUTED_VALUE"""),0.0)</f>
        <v>0</v>
      </c>
      <c r="BO257" s="22">
        <f>IFERROR(__xludf.DUMMYFUNCTION("""COMPUTED_VALUE"""),0.0)</f>
        <v>0</v>
      </c>
      <c r="BP257" s="22">
        <f>IFERROR(__xludf.DUMMYFUNCTION("""COMPUTED_VALUE"""),0.0)</f>
        <v>0</v>
      </c>
      <c r="BQ257" s="22">
        <f>IFERROR(__xludf.DUMMYFUNCTION("""COMPUTED_VALUE"""),0.0)</f>
        <v>0</v>
      </c>
      <c r="BR257" s="22">
        <f>IFERROR(__xludf.DUMMYFUNCTION("""COMPUTED_VALUE"""),0.0)</f>
        <v>0</v>
      </c>
      <c r="BS257" s="22">
        <f>IFERROR(__xludf.DUMMYFUNCTION("""COMPUTED_VALUE"""),1.0)</f>
        <v>1</v>
      </c>
      <c r="BT257" s="22">
        <f>IFERROR(__xludf.DUMMYFUNCTION("""COMPUTED_VALUE"""),0.0)</f>
        <v>0</v>
      </c>
      <c r="BU257" s="22">
        <f>IFERROR(__xludf.DUMMYFUNCTION("""COMPUTED_VALUE"""),1.0)</f>
        <v>1</v>
      </c>
      <c r="BV257" s="22">
        <f>IFERROR(__xludf.DUMMYFUNCTION("""COMPUTED_VALUE"""),0.0)</f>
        <v>0</v>
      </c>
      <c r="BW257" s="22">
        <f>IFERROR(__xludf.DUMMYFUNCTION("""COMPUTED_VALUE"""),0.0)</f>
        <v>0</v>
      </c>
      <c r="BX257" s="22">
        <f>IFERROR(__xludf.DUMMYFUNCTION("""COMPUTED_VALUE"""),0.0)</f>
        <v>0</v>
      </c>
      <c r="BY257" s="22">
        <f>IFERROR(__xludf.DUMMYFUNCTION("""COMPUTED_VALUE"""),0.0)</f>
        <v>0</v>
      </c>
      <c r="BZ257" s="22">
        <f>IFERROR(__xludf.DUMMYFUNCTION("""COMPUTED_VALUE"""),0.0)</f>
        <v>0</v>
      </c>
      <c r="CA257" s="22">
        <f>IFERROR(__xludf.DUMMYFUNCTION("""COMPUTED_VALUE"""),0.0)</f>
        <v>0</v>
      </c>
      <c r="CB257" s="22">
        <f>IFERROR(__xludf.DUMMYFUNCTION("""COMPUTED_VALUE"""),1.0)</f>
        <v>1</v>
      </c>
      <c r="CC257" s="61">
        <f>IFERROR(__xludf.DUMMYFUNCTION("""COMPUTED_VALUE"""),0.625)</f>
        <v>0.625</v>
      </c>
      <c r="CD257" s="62" t="str">
        <f>IFERROR(__xludf.DUMMYFUNCTION("""COMPUTED_VALUE"""),"no match")</f>
        <v>no match</v>
      </c>
      <c r="CE257" s="22" t="s">
        <v>127</v>
      </c>
      <c r="CF257" s="24">
        <v>12.0</v>
      </c>
      <c r="CG257" s="22" t="b">
        <v>0</v>
      </c>
      <c r="CH257" s="22" t="b">
        <v>0</v>
      </c>
      <c r="CI257" s="22"/>
      <c r="CJ257" s="22">
        <v>0.0</v>
      </c>
      <c r="CK257" s="22">
        <v>0.0</v>
      </c>
      <c r="CL257" s="22">
        <v>0.0</v>
      </c>
      <c r="CM257" s="22">
        <v>0.0</v>
      </c>
      <c r="CN257" s="22">
        <v>0.0</v>
      </c>
      <c r="CO257" s="22">
        <v>0.0</v>
      </c>
      <c r="CP257" s="22">
        <v>1.0</v>
      </c>
      <c r="CQ257" s="22">
        <v>0.0</v>
      </c>
      <c r="CR257" s="22">
        <v>1.0</v>
      </c>
      <c r="CS257" s="22">
        <v>0.0</v>
      </c>
      <c r="CT257" s="22">
        <v>0.0</v>
      </c>
      <c r="CU257" s="22">
        <v>0.0</v>
      </c>
      <c r="CV257" s="22">
        <v>0.0</v>
      </c>
      <c r="CW257" s="22">
        <v>0.0</v>
      </c>
      <c r="CX257" s="22">
        <v>0.0</v>
      </c>
      <c r="CY257" s="22">
        <v>1.0</v>
      </c>
      <c r="CZ257" s="61">
        <v>0.625</v>
      </c>
      <c r="DA257" s="62" t="s">
        <v>569</v>
      </c>
    </row>
    <row r="258">
      <c r="A258" s="16" t="s">
        <v>537</v>
      </c>
      <c r="B258" s="16" t="s">
        <v>538</v>
      </c>
      <c r="C258" s="17" t="s">
        <v>55</v>
      </c>
      <c r="D258" s="16" t="s">
        <v>156</v>
      </c>
      <c r="E258" s="17" t="b">
        <f t="shared" ref="E258:K258" si="1291">If(IFERROR(SEARCH(E$1, $D258),0) &gt;= 1, true,false)</f>
        <v>1</v>
      </c>
      <c r="F258" s="17" t="b">
        <f t="shared" si="1291"/>
        <v>0</v>
      </c>
      <c r="G258" s="17" t="b">
        <f t="shared" si="1291"/>
        <v>0</v>
      </c>
      <c r="H258" s="17" t="b">
        <f t="shared" si="1291"/>
        <v>1</v>
      </c>
      <c r="I258" s="17" t="b">
        <f t="shared" si="1291"/>
        <v>0</v>
      </c>
      <c r="J258" s="17" t="b">
        <f t="shared" si="1291"/>
        <v>0</v>
      </c>
      <c r="K258" s="17" t="b">
        <f t="shared" si="1291"/>
        <v>0</v>
      </c>
      <c r="L258" s="18" t="b">
        <v>1</v>
      </c>
      <c r="M258" s="18" t="b">
        <v>1</v>
      </c>
      <c r="N258" s="18" t="b">
        <v>1</v>
      </c>
      <c r="O258" s="18" t="b">
        <v>0</v>
      </c>
      <c r="P258" s="16" t="str">
        <f t="shared" si="7"/>
        <v>Sint-Pietersabdij Gent</v>
      </c>
      <c r="Q258" s="19">
        <v>0.0</v>
      </c>
      <c r="R258" s="18" t="b">
        <v>0</v>
      </c>
      <c r="S258" s="18" t="b">
        <v>1</v>
      </c>
      <c r="T258" s="27">
        <v>13.0</v>
      </c>
      <c r="U258" s="21">
        <f t="shared" si="8"/>
        <v>1</v>
      </c>
      <c r="V258" s="21">
        <f t="shared" ref="V258:AB258" si="1292">if(OR(AW258 = $AO$4, AW258 = $AQ$4), 1, 0)</f>
        <v>1</v>
      </c>
      <c r="W258" s="21">
        <f t="shared" si="1292"/>
        <v>0</v>
      </c>
      <c r="X258" s="21">
        <f t="shared" si="1292"/>
        <v>0</v>
      </c>
      <c r="Y258" s="21">
        <f t="shared" si="1292"/>
        <v>0</v>
      </c>
      <c r="Z258" s="21">
        <f t="shared" si="1292"/>
        <v>0</v>
      </c>
      <c r="AA258" s="21">
        <f t="shared" si="1292"/>
        <v>0</v>
      </c>
      <c r="AB258" s="21">
        <f t="shared" si="1292"/>
        <v>0</v>
      </c>
      <c r="AC258" s="21">
        <f t="shared" si="10"/>
        <v>1</v>
      </c>
      <c r="AD258" s="21">
        <f t="shared" si="11"/>
        <v>1</v>
      </c>
      <c r="AE258" s="21">
        <f t="shared" ref="AE258:AH258" si="1293">if(OR(BD258 = $AO$6, BD258 = $AS$6, BD258 = $AT$6, BD258 = $AU$6), 1, 0)</f>
        <v>1</v>
      </c>
      <c r="AF258" s="21">
        <f t="shared" si="1293"/>
        <v>1</v>
      </c>
      <c r="AG258" s="21">
        <f t="shared" si="1293"/>
        <v>1</v>
      </c>
      <c r="AH258" s="21">
        <f t="shared" si="1293"/>
        <v>0</v>
      </c>
      <c r="AI258" s="21">
        <f t="shared" si="13"/>
        <v>3</v>
      </c>
      <c r="AJ258" s="21">
        <f t="shared" si="14"/>
        <v>6</v>
      </c>
      <c r="AK258" s="59">
        <f t="shared" si="15"/>
        <v>3.75</v>
      </c>
      <c r="AL258" s="60" t="str">
        <f t="shared" si="16"/>
        <v>good</v>
      </c>
      <c r="AW258" s="22" t="str">
        <f t="shared" ref="AW258:BC258" si="1294">IF(IFERROR(SEARCH(E$1, $D258),0) &gt;= 1, E$1,0)</f>
        <v>Geschiedenis en archeologie</v>
      </c>
      <c r="AX258" s="22">
        <f t="shared" si="1294"/>
        <v>0</v>
      </c>
      <c r="AY258" s="22">
        <f t="shared" si="1294"/>
        <v>0</v>
      </c>
      <c r="AZ258" s="22" t="str">
        <f t="shared" si="1294"/>
        <v>Literatuur</v>
      </c>
      <c r="BA258" s="22">
        <f t="shared" si="1294"/>
        <v>0</v>
      </c>
      <c r="BB258" s="22">
        <f t="shared" si="1294"/>
        <v>0</v>
      </c>
      <c r="BC258" s="22">
        <f t="shared" si="1294"/>
        <v>0</v>
      </c>
      <c r="BD258" s="22" t="str">
        <f t="shared" ref="BD258:BG258" si="1295">IF(L258 = true, BD$1, 0)</f>
        <v>Shop</v>
      </c>
      <c r="BE258" s="22" t="str">
        <f t="shared" si="1295"/>
        <v>Café</v>
      </c>
      <c r="BF258" s="22" t="str">
        <f t="shared" si="1295"/>
        <v>Parking</v>
      </c>
      <c r="BG258" s="22">
        <f t="shared" si="1295"/>
        <v>0</v>
      </c>
      <c r="BH258" s="22" t="str">
        <f>IFERROR(__xludf.DUMMYFUNCTION("""COMPUTED_VALUE"""),"Uilenspiegelmuseum")</f>
        <v>Uilenspiegelmuseum</v>
      </c>
      <c r="BI258" s="24">
        <f>IFERROR(__xludf.DUMMYFUNCTION("""COMPUTED_VALUE"""),6.0)</f>
        <v>6</v>
      </c>
      <c r="BJ258" s="22" t="b">
        <f>IFERROR(__xludf.DUMMYFUNCTION("""COMPUTED_VALUE"""),FALSE)</f>
        <v>0</v>
      </c>
      <c r="BK258" s="22" t="b">
        <f>IFERROR(__xludf.DUMMYFUNCTION("""COMPUTED_VALUE"""),FALSE)</f>
        <v>0</v>
      </c>
      <c r="BL258" s="22"/>
      <c r="BM258" s="22">
        <f>IFERROR(__xludf.DUMMYFUNCTION("""COMPUTED_VALUE"""),0.0)</f>
        <v>0</v>
      </c>
      <c r="BN258" s="22">
        <f>IFERROR(__xludf.DUMMYFUNCTION("""COMPUTED_VALUE"""),0.0)</f>
        <v>0</v>
      </c>
      <c r="BO258" s="22">
        <f>IFERROR(__xludf.DUMMYFUNCTION("""COMPUTED_VALUE"""),0.0)</f>
        <v>0</v>
      </c>
      <c r="BP258" s="22">
        <f>IFERROR(__xludf.DUMMYFUNCTION("""COMPUTED_VALUE"""),0.0)</f>
        <v>0</v>
      </c>
      <c r="BQ258" s="22">
        <f>IFERROR(__xludf.DUMMYFUNCTION("""COMPUTED_VALUE"""),0.0)</f>
        <v>0</v>
      </c>
      <c r="BR258" s="22">
        <f>IFERROR(__xludf.DUMMYFUNCTION("""COMPUTED_VALUE"""),0.0)</f>
        <v>0</v>
      </c>
      <c r="BS258" s="22">
        <f>IFERROR(__xludf.DUMMYFUNCTION("""COMPUTED_VALUE"""),0.0)</f>
        <v>0</v>
      </c>
      <c r="BT258" s="22">
        <f>IFERROR(__xludf.DUMMYFUNCTION("""COMPUTED_VALUE"""),0.0)</f>
        <v>0</v>
      </c>
      <c r="BU258" s="22">
        <f>IFERROR(__xludf.DUMMYFUNCTION("""COMPUTED_VALUE"""),0.0)</f>
        <v>0</v>
      </c>
      <c r="BV258" s="22">
        <f>IFERROR(__xludf.DUMMYFUNCTION("""COMPUTED_VALUE"""),1.0)</f>
        <v>1</v>
      </c>
      <c r="BW258" s="22">
        <f>IFERROR(__xludf.DUMMYFUNCTION("""COMPUTED_VALUE"""),0.0)</f>
        <v>0</v>
      </c>
      <c r="BX258" s="22">
        <f>IFERROR(__xludf.DUMMYFUNCTION("""COMPUTED_VALUE"""),0.0)</f>
        <v>0</v>
      </c>
      <c r="BY258" s="22">
        <f>IFERROR(__xludf.DUMMYFUNCTION("""COMPUTED_VALUE"""),0.0)</f>
        <v>0</v>
      </c>
      <c r="BZ258" s="22">
        <f>IFERROR(__xludf.DUMMYFUNCTION("""COMPUTED_VALUE"""),0.0)</f>
        <v>0</v>
      </c>
      <c r="CA258" s="22">
        <f>IFERROR(__xludf.DUMMYFUNCTION("""COMPUTED_VALUE"""),0.0)</f>
        <v>0</v>
      </c>
      <c r="CB258" s="22">
        <f>IFERROR(__xludf.DUMMYFUNCTION("""COMPUTED_VALUE"""),1.0)</f>
        <v>1</v>
      </c>
      <c r="CC258" s="61">
        <f>IFERROR(__xludf.DUMMYFUNCTION("""COMPUTED_VALUE"""),0.625)</f>
        <v>0.625</v>
      </c>
      <c r="CD258" s="62" t="str">
        <f>IFERROR(__xludf.DUMMYFUNCTION("""COMPUTED_VALUE"""),"no match")</f>
        <v>no match</v>
      </c>
      <c r="CE258" s="22" t="s">
        <v>139</v>
      </c>
      <c r="CF258" s="24">
        <v>6.0</v>
      </c>
      <c r="CG258" s="22" t="b">
        <v>0</v>
      </c>
      <c r="CH258" s="22" t="b">
        <v>0</v>
      </c>
      <c r="CI258" s="22"/>
      <c r="CJ258" s="22">
        <v>0.0</v>
      </c>
      <c r="CK258" s="22">
        <v>0.0</v>
      </c>
      <c r="CL258" s="22">
        <v>0.0</v>
      </c>
      <c r="CM258" s="22">
        <v>0.0</v>
      </c>
      <c r="CN258" s="22">
        <v>0.0</v>
      </c>
      <c r="CO258" s="22">
        <v>0.0</v>
      </c>
      <c r="CP258" s="22">
        <v>0.0</v>
      </c>
      <c r="CQ258" s="22">
        <v>0.0</v>
      </c>
      <c r="CR258" s="22">
        <v>0.0</v>
      </c>
      <c r="CS258" s="22">
        <v>1.0</v>
      </c>
      <c r="CT258" s="22">
        <v>0.0</v>
      </c>
      <c r="CU258" s="22">
        <v>0.0</v>
      </c>
      <c r="CV258" s="22">
        <v>0.0</v>
      </c>
      <c r="CW258" s="22">
        <v>0.0</v>
      </c>
      <c r="CX258" s="22">
        <v>0.0</v>
      </c>
      <c r="CY258" s="22">
        <v>1.0</v>
      </c>
      <c r="CZ258" s="61">
        <v>0.625</v>
      </c>
      <c r="DA258" s="62" t="s">
        <v>569</v>
      </c>
    </row>
    <row r="259">
      <c r="A259" s="16" t="s">
        <v>539</v>
      </c>
      <c r="B259" s="16"/>
      <c r="C259" s="17" t="s">
        <v>55</v>
      </c>
      <c r="D259" s="16" t="s">
        <v>9</v>
      </c>
      <c r="E259" s="17" t="b">
        <f t="shared" ref="E259:K259" si="1296">If(IFERROR(SEARCH(E$1, $D259),0) &gt;= 1, true,false)</f>
        <v>0</v>
      </c>
      <c r="F259" s="17" t="b">
        <f t="shared" si="1296"/>
        <v>0</v>
      </c>
      <c r="G259" s="17" t="b">
        <f t="shared" si="1296"/>
        <v>0</v>
      </c>
      <c r="H259" s="17" t="b">
        <f t="shared" si="1296"/>
        <v>0</v>
      </c>
      <c r="I259" s="17" t="b">
        <f t="shared" si="1296"/>
        <v>0</v>
      </c>
      <c r="J259" s="17" t="b">
        <f t="shared" si="1296"/>
        <v>1</v>
      </c>
      <c r="K259" s="17" t="b">
        <f t="shared" si="1296"/>
        <v>0</v>
      </c>
      <c r="L259" s="18" t="b">
        <v>1</v>
      </c>
      <c r="M259" s="18" t="b">
        <v>1</v>
      </c>
      <c r="N259" s="18" t="b">
        <v>1</v>
      </c>
      <c r="O259" s="18" t="b">
        <v>1</v>
      </c>
      <c r="P259" s="16" t="str">
        <f t="shared" si="7"/>
        <v>S.M.A.K.</v>
      </c>
      <c r="Q259" s="19">
        <v>15.0</v>
      </c>
      <c r="R259" s="18" t="b">
        <v>0</v>
      </c>
      <c r="S259" s="18" t="b">
        <v>1</v>
      </c>
      <c r="T259" s="31">
        <v>18.0</v>
      </c>
      <c r="U259" s="21">
        <f t="shared" si="8"/>
        <v>1</v>
      </c>
      <c r="V259" s="21">
        <f t="shared" ref="V259:AB259" si="1297">if(OR(AW259 = $AO$4, AW259 = $AQ$4), 1, 0)</f>
        <v>0</v>
      </c>
      <c r="W259" s="21">
        <f t="shared" si="1297"/>
        <v>0</v>
      </c>
      <c r="X259" s="21">
        <f t="shared" si="1297"/>
        <v>0</v>
      </c>
      <c r="Y259" s="21">
        <f t="shared" si="1297"/>
        <v>0</v>
      </c>
      <c r="Z259" s="21">
        <f t="shared" si="1297"/>
        <v>0</v>
      </c>
      <c r="AA259" s="21">
        <f t="shared" si="1297"/>
        <v>1</v>
      </c>
      <c r="AB259" s="21">
        <f t="shared" si="1297"/>
        <v>0</v>
      </c>
      <c r="AC259" s="21">
        <f t="shared" si="10"/>
        <v>1</v>
      </c>
      <c r="AD259" s="21">
        <f t="shared" si="11"/>
        <v>0</v>
      </c>
      <c r="AE259" s="21">
        <f t="shared" ref="AE259:AH259" si="1298">if(OR(BD259 = $AO$6, BD259 = $AS$6, BD259 = $AT$6, BD259 = $AU$6), 1, 0)</f>
        <v>1</v>
      </c>
      <c r="AF259" s="21">
        <f t="shared" si="1298"/>
        <v>1</v>
      </c>
      <c r="AG259" s="21">
        <f t="shared" si="1298"/>
        <v>1</v>
      </c>
      <c r="AH259" s="21">
        <f t="shared" si="1298"/>
        <v>1</v>
      </c>
      <c r="AI259" s="21">
        <f t="shared" si="13"/>
        <v>4</v>
      </c>
      <c r="AJ259" s="21">
        <f t="shared" si="14"/>
        <v>6</v>
      </c>
      <c r="AK259" s="59">
        <f t="shared" si="15"/>
        <v>3.75</v>
      </c>
      <c r="AL259" s="60" t="str">
        <f t="shared" si="16"/>
        <v>good</v>
      </c>
      <c r="AW259" s="22">
        <f t="shared" ref="AW259:BC259" si="1299">IF(IFERROR(SEARCH(E$1, $D259),0) &gt;= 1, E$1,0)</f>
        <v>0</v>
      </c>
      <c r="AX259" s="22">
        <f t="shared" si="1299"/>
        <v>0</v>
      </c>
      <c r="AY259" s="22">
        <f t="shared" si="1299"/>
        <v>0</v>
      </c>
      <c r="AZ259" s="22">
        <f t="shared" si="1299"/>
        <v>0</v>
      </c>
      <c r="BA259" s="22">
        <f t="shared" si="1299"/>
        <v>0</v>
      </c>
      <c r="BB259" s="22" t="str">
        <f t="shared" si="1299"/>
        <v>Beeldende kunst</v>
      </c>
      <c r="BC259" s="22">
        <f t="shared" si="1299"/>
        <v>0</v>
      </c>
      <c r="BD259" s="22" t="str">
        <f t="shared" ref="BD259:BG259" si="1300">IF(L259 = true, BD$1, 0)</f>
        <v>Shop</v>
      </c>
      <c r="BE259" s="22" t="str">
        <f t="shared" si="1300"/>
        <v>Café</v>
      </c>
      <c r="BF259" s="22" t="str">
        <f t="shared" si="1300"/>
        <v>Parking</v>
      </c>
      <c r="BG259" s="22" t="str">
        <f t="shared" si="1300"/>
        <v>Restaurant</v>
      </c>
      <c r="BH259" s="22" t="str">
        <f>IFERROR(__xludf.DUMMYFUNCTION("""COMPUTED_VALUE"""),"Universiteitsbibliotheek KU Leuven")</f>
        <v>Universiteitsbibliotheek KU Leuven</v>
      </c>
      <c r="BI259" s="24">
        <f>IFERROR(__xludf.DUMMYFUNCTION("""COMPUTED_VALUE"""),0.0)</f>
        <v>0</v>
      </c>
      <c r="BJ259" s="22" t="b">
        <f>IFERROR(__xludf.DUMMYFUNCTION("""COMPUTED_VALUE"""),FALSE)</f>
        <v>0</v>
      </c>
      <c r="BK259" s="22" t="b">
        <f>IFERROR(__xludf.DUMMYFUNCTION("""COMPUTED_VALUE"""),FALSE)</f>
        <v>0</v>
      </c>
      <c r="BL259" s="22"/>
      <c r="BM259" s="22">
        <f>IFERROR(__xludf.DUMMYFUNCTION("""COMPUTED_VALUE"""),0.0)</f>
        <v>0</v>
      </c>
      <c r="BN259" s="22">
        <f>IFERROR(__xludf.DUMMYFUNCTION("""COMPUTED_VALUE"""),0.0)</f>
        <v>0</v>
      </c>
      <c r="BO259" s="22">
        <f>IFERROR(__xludf.DUMMYFUNCTION("""COMPUTED_VALUE"""),0.0)</f>
        <v>0</v>
      </c>
      <c r="BP259" s="22">
        <f>IFERROR(__xludf.DUMMYFUNCTION("""COMPUTED_VALUE"""),0.0)</f>
        <v>0</v>
      </c>
      <c r="BQ259" s="22">
        <f>IFERROR(__xludf.DUMMYFUNCTION("""COMPUTED_VALUE"""),0.0)</f>
        <v>0</v>
      </c>
      <c r="BR259" s="22">
        <f>IFERROR(__xludf.DUMMYFUNCTION("""COMPUTED_VALUE"""),0.0)</f>
        <v>0</v>
      </c>
      <c r="BS259" s="22">
        <f>IFERROR(__xludf.DUMMYFUNCTION("""COMPUTED_VALUE"""),0.0)</f>
        <v>0</v>
      </c>
      <c r="BT259" s="22">
        <f>IFERROR(__xludf.DUMMYFUNCTION("""COMPUTED_VALUE"""),0.0)</f>
        <v>0</v>
      </c>
      <c r="BU259" s="22">
        <f>IFERROR(__xludf.DUMMYFUNCTION("""COMPUTED_VALUE"""),0.0)</f>
        <v>0</v>
      </c>
      <c r="BV259" s="22">
        <f>IFERROR(__xludf.DUMMYFUNCTION("""COMPUTED_VALUE"""),1.0)</f>
        <v>1</v>
      </c>
      <c r="BW259" s="22">
        <f>IFERROR(__xludf.DUMMYFUNCTION("""COMPUTED_VALUE"""),0.0)</f>
        <v>0</v>
      </c>
      <c r="BX259" s="22">
        <f>IFERROR(__xludf.DUMMYFUNCTION("""COMPUTED_VALUE"""),0.0)</f>
        <v>0</v>
      </c>
      <c r="BY259" s="22">
        <f>IFERROR(__xludf.DUMMYFUNCTION("""COMPUTED_VALUE"""),0.0)</f>
        <v>0</v>
      </c>
      <c r="BZ259" s="22">
        <f>IFERROR(__xludf.DUMMYFUNCTION("""COMPUTED_VALUE"""),0.0)</f>
        <v>0</v>
      </c>
      <c r="CA259" s="22">
        <f>IFERROR(__xludf.DUMMYFUNCTION("""COMPUTED_VALUE"""),0.0)</f>
        <v>0</v>
      </c>
      <c r="CB259" s="22">
        <f>IFERROR(__xludf.DUMMYFUNCTION("""COMPUTED_VALUE"""),1.0)</f>
        <v>1</v>
      </c>
      <c r="CC259" s="61">
        <f>IFERROR(__xludf.DUMMYFUNCTION("""COMPUTED_VALUE"""),0.625)</f>
        <v>0.625</v>
      </c>
      <c r="CD259" s="62" t="str">
        <f>IFERROR(__xludf.DUMMYFUNCTION("""COMPUTED_VALUE"""),"no match")</f>
        <v>no match</v>
      </c>
      <c r="CE259" s="22" t="s">
        <v>251</v>
      </c>
      <c r="CF259" s="24">
        <v>0.0</v>
      </c>
      <c r="CG259" s="22" t="b">
        <v>0</v>
      </c>
      <c r="CH259" s="22" t="b">
        <v>0</v>
      </c>
      <c r="CI259" s="22"/>
      <c r="CJ259" s="22">
        <v>0.0</v>
      </c>
      <c r="CK259" s="22">
        <v>0.0</v>
      </c>
      <c r="CL259" s="22">
        <v>0.0</v>
      </c>
      <c r="CM259" s="22">
        <v>0.0</v>
      </c>
      <c r="CN259" s="22">
        <v>0.0</v>
      </c>
      <c r="CO259" s="22">
        <v>0.0</v>
      </c>
      <c r="CP259" s="22">
        <v>0.0</v>
      </c>
      <c r="CQ259" s="22">
        <v>0.0</v>
      </c>
      <c r="CR259" s="22">
        <v>0.0</v>
      </c>
      <c r="CS259" s="22">
        <v>1.0</v>
      </c>
      <c r="CT259" s="22">
        <v>0.0</v>
      </c>
      <c r="CU259" s="22">
        <v>0.0</v>
      </c>
      <c r="CV259" s="22">
        <v>0.0</v>
      </c>
      <c r="CW259" s="22">
        <v>0.0</v>
      </c>
      <c r="CX259" s="22">
        <v>0.0</v>
      </c>
      <c r="CY259" s="22">
        <v>1.0</v>
      </c>
      <c r="CZ259" s="61">
        <v>0.625</v>
      </c>
      <c r="DA259" s="62" t="s">
        <v>569</v>
      </c>
    </row>
    <row r="260">
      <c r="A260" s="16" t="s">
        <v>540</v>
      </c>
      <c r="B260" s="16" t="s">
        <v>541</v>
      </c>
      <c r="C260" s="17" t="s">
        <v>55</v>
      </c>
      <c r="D260" s="16" t="s">
        <v>4</v>
      </c>
      <c r="E260" s="17" t="b">
        <f t="shared" ref="E260:K260" si="1301">If(IFERROR(SEARCH(E$1, $D260),0) &gt;= 1, true,false)</f>
        <v>1</v>
      </c>
      <c r="F260" s="17" t="b">
        <f t="shared" si="1301"/>
        <v>0</v>
      </c>
      <c r="G260" s="17" t="b">
        <f t="shared" si="1301"/>
        <v>0</v>
      </c>
      <c r="H260" s="17" t="b">
        <f t="shared" si="1301"/>
        <v>0</v>
      </c>
      <c r="I260" s="17" t="b">
        <f t="shared" si="1301"/>
        <v>0</v>
      </c>
      <c r="J260" s="17" t="b">
        <f t="shared" si="1301"/>
        <v>0</v>
      </c>
      <c r="K260" s="17" t="b">
        <f t="shared" si="1301"/>
        <v>0</v>
      </c>
      <c r="L260" s="18" t="b">
        <v>1</v>
      </c>
      <c r="M260" s="18" t="b">
        <v>1</v>
      </c>
      <c r="N260" s="18" t="b">
        <v>0</v>
      </c>
      <c r="O260" s="18" t="b">
        <v>1</v>
      </c>
      <c r="P260" s="16" t="str">
        <f t="shared" si="7"/>
        <v>STAM | Stadsmuseum Gent</v>
      </c>
      <c r="Q260" s="19">
        <v>11.0</v>
      </c>
      <c r="R260" s="18" t="b">
        <v>0</v>
      </c>
      <c r="S260" s="18" t="b">
        <v>1</v>
      </c>
      <c r="T260" s="27">
        <v>11.0</v>
      </c>
      <c r="U260" s="21">
        <f t="shared" si="8"/>
        <v>1</v>
      </c>
      <c r="V260" s="21">
        <f t="shared" ref="V260:AB260" si="1302">if(OR(AW260 = $AO$4, AW260 = $AQ$4), 1, 0)</f>
        <v>1</v>
      </c>
      <c r="W260" s="21">
        <f t="shared" si="1302"/>
        <v>0</v>
      </c>
      <c r="X260" s="21">
        <f t="shared" si="1302"/>
        <v>0</v>
      </c>
      <c r="Y260" s="21">
        <f t="shared" si="1302"/>
        <v>0</v>
      </c>
      <c r="Z260" s="21">
        <f t="shared" si="1302"/>
        <v>0</v>
      </c>
      <c r="AA260" s="21">
        <f t="shared" si="1302"/>
        <v>0</v>
      </c>
      <c r="AB260" s="21">
        <f t="shared" si="1302"/>
        <v>0</v>
      </c>
      <c r="AC260" s="21">
        <f t="shared" si="10"/>
        <v>1</v>
      </c>
      <c r="AD260" s="21">
        <f t="shared" si="11"/>
        <v>0</v>
      </c>
      <c r="AE260" s="21">
        <f t="shared" ref="AE260:AH260" si="1303">if(OR(BD260 = $AO$6, BD260 = $AS$6, BD260 = $AT$6, BD260 = $AU$6), 1, 0)</f>
        <v>1</v>
      </c>
      <c r="AF260" s="21">
        <f t="shared" si="1303"/>
        <v>1</v>
      </c>
      <c r="AG260" s="21">
        <f t="shared" si="1303"/>
        <v>0</v>
      </c>
      <c r="AH260" s="21">
        <f t="shared" si="1303"/>
        <v>1</v>
      </c>
      <c r="AI260" s="21">
        <f t="shared" si="13"/>
        <v>3</v>
      </c>
      <c r="AJ260" s="21">
        <f t="shared" si="14"/>
        <v>5</v>
      </c>
      <c r="AK260" s="59">
        <f t="shared" si="15"/>
        <v>3.125</v>
      </c>
      <c r="AL260" s="60" t="str">
        <f t="shared" si="16"/>
        <v>good</v>
      </c>
      <c r="AW260" s="22" t="str">
        <f t="shared" ref="AW260:BC260" si="1304">IF(IFERROR(SEARCH(E$1, $D260),0) &gt;= 1, E$1,0)</f>
        <v>Geschiedenis en archeologie</v>
      </c>
      <c r="AX260" s="22">
        <f t="shared" si="1304"/>
        <v>0</v>
      </c>
      <c r="AY260" s="22">
        <f t="shared" si="1304"/>
        <v>0</v>
      </c>
      <c r="AZ260" s="22">
        <f t="shared" si="1304"/>
        <v>0</v>
      </c>
      <c r="BA260" s="22">
        <f t="shared" si="1304"/>
        <v>0</v>
      </c>
      <c r="BB260" s="22">
        <f t="shared" si="1304"/>
        <v>0</v>
      </c>
      <c r="BC260" s="22">
        <f t="shared" si="1304"/>
        <v>0</v>
      </c>
      <c r="BD260" s="22" t="str">
        <f t="shared" ref="BD260:BG260" si="1305">IF(L260 = true, BD$1, 0)</f>
        <v>Shop</v>
      </c>
      <c r="BE260" s="22" t="str">
        <f t="shared" si="1305"/>
        <v>Café</v>
      </c>
      <c r="BF260" s="22">
        <f t="shared" si="1305"/>
        <v>0</v>
      </c>
      <c r="BG260" s="22" t="str">
        <f t="shared" si="1305"/>
        <v>Restaurant</v>
      </c>
      <c r="BH260" s="22" t="str">
        <f>IFERROR(__xludf.DUMMYFUNCTION("""COMPUTED_VALUE"""),"Apotheekmuseum")</f>
        <v>Apotheekmuseum</v>
      </c>
      <c r="BI260" s="24">
        <f>IFERROR(__xludf.DUMMYFUNCTION("""COMPUTED_VALUE"""),6.0)</f>
        <v>6</v>
      </c>
      <c r="BJ260" s="22" t="b">
        <f>IFERROR(__xludf.DUMMYFUNCTION("""COMPUTED_VALUE"""),FALSE)</f>
        <v>0</v>
      </c>
      <c r="BK260" s="22" t="b">
        <f>IFERROR(__xludf.DUMMYFUNCTION("""COMPUTED_VALUE"""),FALSE)</f>
        <v>0</v>
      </c>
      <c r="BL260" s="22"/>
      <c r="BM260" s="22">
        <f>IFERROR(__xludf.DUMMYFUNCTION("""COMPUTED_VALUE"""),0.0)</f>
        <v>0</v>
      </c>
      <c r="BN260" s="22">
        <f>IFERROR(__xludf.DUMMYFUNCTION("""COMPUTED_VALUE"""),0.0)</f>
        <v>0</v>
      </c>
      <c r="BO260" s="22">
        <f>IFERROR(__xludf.DUMMYFUNCTION("""COMPUTED_VALUE"""),0.0)</f>
        <v>0</v>
      </c>
      <c r="BP260" s="22">
        <f>IFERROR(__xludf.DUMMYFUNCTION("""COMPUTED_VALUE"""),0.0)</f>
        <v>0</v>
      </c>
      <c r="BQ260" s="22">
        <f>IFERROR(__xludf.DUMMYFUNCTION("""COMPUTED_VALUE"""),0.0)</f>
        <v>0</v>
      </c>
      <c r="BR260" s="22">
        <f>IFERROR(__xludf.DUMMYFUNCTION("""COMPUTED_VALUE"""),0.0)</f>
        <v>0</v>
      </c>
      <c r="BS260" s="22">
        <f>IFERROR(__xludf.DUMMYFUNCTION("""COMPUTED_VALUE"""),0.0)</f>
        <v>0</v>
      </c>
      <c r="BT260" s="22">
        <f>IFERROR(__xludf.DUMMYFUNCTION("""COMPUTED_VALUE"""),0.0)</f>
        <v>0</v>
      </c>
      <c r="BU260" s="22">
        <f>IFERROR(__xludf.DUMMYFUNCTION("""COMPUTED_VALUE"""),0.0)</f>
        <v>0</v>
      </c>
      <c r="BV260" s="22">
        <f>IFERROR(__xludf.DUMMYFUNCTION("""COMPUTED_VALUE"""),1.0)</f>
        <v>1</v>
      </c>
      <c r="BW260" s="22">
        <f>IFERROR(__xludf.DUMMYFUNCTION("""COMPUTED_VALUE"""),0.0)</f>
        <v>0</v>
      </c>
      <c r="BX260" s="22">
        <f>IFERROR(__xludf.DUMMYFUNCTION("""COMPUTED_VALUE"""),0.0)</f>
        <v>0</v>
      </c>
      <c r="BY260" s="22">
        <f>IFERROR(__xludf.DUMMYFUNCTION("""COMPUTED_VALUE"""),0.0)</f>
        <v>0</v>
      </c>
      <c r="BZ260" s="22">
        <f>IFERROR(__xludf.DUMMYFUNCTION("""COMPUTED_VALUE"""),0.0)</f>
        <v>0</v>
      </c>
      <c r="CA260" s="22">
        <f>IFERROR(__xludf.DUMMYFUNCTION("""COMPUTED_VALUE"""),0.0)</f>
        <v>0</v>
      </c>
      <c r="CB260" s="22">
        <f>IFERROR(__xludf.DUMMYFUNCTION("""COMPUTED_VALUE"""),1.0)</f>
        <v>1</v>
      </c>
      <c r="CC260" s="61">
        <f>IFERROR(__xludf.DUMMYFUNCTION("""COMPUTED_VALUE"""),0.625)</f>
        <v>0.625</v>
      </c>
      <c r="CD260" s="62" t="str">
        <f>IFERROR(__xludf.DUMMYFUNCTION("""COMPUTED_VALUE"""),"no match")</f>
        <v>no match</v>
      </c>
      <c r="CE260" s="22" t="s">
        <v>254</v>
      </c>
      <c r="CF260" s="24">
        <v>6.0</v>
      </c>
      <c r="CG260" s="22" t="b">
        <v>0</v>
      </c>
      <c r="CH260" s="22" t="b">
        <v>0</v>
      </c>
      <c r="CI260" s="22"/>
      <c r="CJ260" s="22">
        <v>0.0</v>
      </c>
      <c r="CK260" s="22">
        <v>0.0</v>
      </c>
      <c r="CL260" s="22">
        <v>0.0</v>
      </c>
      <c r="CM260" s="22">
        <v>0.0</v>
      </c>
      <c r="CN260" s="22">
        <v>0.0</v>
      </c>
      <c r="CO260" s="22">
        <v>0.0</v>
      </c>
      <c r="CP260" s="22">
        <v>0.0</v>
      </c>
      <c r="CQ260" s="22">
        <v>0.0</v>
      </c>
      <c r="CR260" s="22">
        <v>0.0</v>
      </c>
      <c r="CS260" s="22">
        <v>1.0</v>
      </c>
      <c r="CT260" s="22">
        <v>0.0</v>
      </c>
      <c r="CU260" s="22">
        <v>0.0</v>
      </c>
      <c r="CV260" s="22">
        <v>0.0</v>
      </c>
      <c r="CW260" s="22">
        <v>0.0</v>
      </c>
      <c r="CX260" s="22">
        <v>0.0</v>
      </c>
      <c r="CY260" s="22">
        <v>1.0</v>
      </c>
      <c r="CZ260" s="61">
        <v>0.625</v>
      </c>
      <c r="DA260" s="62" t="s">
        <v>569</v>
      </c>
    </row>
    <row r="261">
      <c r="A261" s="16" t="s">
        <v>542</v>
      </c>
      <c r="B261" s="16" t="s">
        <v>543</v>
      </c>
      <c r="C261" s="17" t="s">
        <v>55</v>
      </c>
      <c r="D261" s="16" t="s">
        <v>95</v>
      </c>
      <c r="E261" s="17" t="b">
        <f t="shared" ref="E261:K261" si="1306">If(IFERROR(SEARCH(E$1, $D261),0) &gt;= 1, true,false)</f>
        <v>1</v>
      </c>
      <c r="F261" s="17" t="b">
        <f t="shared" si="1306"/>
        <v>0</v>
      </c>
      <c r="G261" s="17" t="b">
        <f t="shared" si="1306"/>
        <v>0</v>
      </c>
      <c r="H261" s="17" t="b">
        <f t="shared" si="1306"/>
        <v>0</v>
      </c>
      <c r="I261" s="17" t="b">
        <f t="shared" si="1306"/>
        <v>0</v>
      </c>
      <c r="J261" s="17" t="b">
        <f t="shared" si="1306"/>
        <v>1</v>
      </c>
      <c r="K261" s="17" t="b">
        <f t="shared" si="1306"/>
        <v>0</v>
      </c>
      <c r="L261" s="18" t="b">
        <v>0</v>
      </c>
      <c r="M261" s="18" t="b">
        <v>0</v>
      </c>
      <c r="N261" s="18" t="b">
        <v>0</v>
      </c>
      <c r="O261" s="18" t="b">
        <v>0</v>
      </c>
      <c r="P261" s="16" t="str">
        <f t="shared" si="7"/>
        <v>‘t Gasthuys | Stedelijk Museum Aalst</v>
      </c>
      <c r="Q261" s="19">
        <v>0.0</v>
      </c>
      <c r="R261" s="18" t="b">
        <v>0</v>
      </c>
      <c r="S261" s="18" t="b">
        <v>0</v>
      </c>
      <c r="T261" s="33"/>
      <c r="U261" s="21">
        <f t="shared" si="8"/>
        <v>1</v>
      </c>
      <c r="V261" s="21">
        <f t="shared" ref="V261:AB261" si="1307">if(OR(AW261 = $AO$4, AW261 = $AQ$4), 1, 0)</f>
        <v>1</v>
      </c>
      <c r="W261" s="21">
        <f t="shared" si="1307"/>
        <v>0</v>
      </c>
      <c r="X261" s="21">
        <f t="shared" si="1307"/>
        <v>0</v>
      </c>
      <c r="Y261" s="21">
        <f t="shared" si="1307"/>
        <v>0</v>
      </c>
      <c r="Z261" s="21">
        <f t="shared" si="1307"/>
        <v>0</v>
      </c>
      <c r="AA261" s="21">
        <f t="shared" si="1307"/>
        <v>1</v>
      </c>
      <c r="AB261" s="21">
        <f t="shared" si="1307"/>
        <v>0</v>
      </c>
      <c r="AC261" s="21">
        <f t="shared" si="10"/>
        <v>2</v>
      </c>
      <c r="AD261" s="21">
        <f t="shared" si="11"/>
        <v>1</v>
      </c>
      <c r="AE261" s="21">
        <f t="shared" ref="AE261:AH261" si="1308">if(OR(BD261 = $AO$6, BD261 = $AS$6, BD261 = $AT$6, BD261 = $AU$6), 1, 0)</f>
        <v>0</v>
      </c>
      <c r="AF261" s="21">
        <f t="shared" si="1308"/>
        <v>0</v>
      </c>
      <c r="AG261" s="21">
        <f t="shared" si="1308"/>
        <v>0</v>
      </c>
      <c r="AH261" s="21">
        <f t="shared" si="1308"/>
        <v>0</v>
      </c>
      <c r="AI261" s="21">
        <f t="shared" si="13"/>
        <v>0</v>
      </c>
      <c r="AJ261" s="21">
        <f t="shared" si="14"/>
        <v>4</v>
      </c>
      <c r="AK261" s="59">
        <f t="shared" si="15"/>
        <v>2.5</v>
      </c>
      <c r="AL261" s="60" t="str">
        <f t="shared" si="16"/>
        <v>subpar</v>
      </c>
      <c r="AW261" s="22" t="str">
        <f t="shared" ref="AW261:BC261" si="1309">IF(IFERROR(SEARCH(E$1, $D261),0) &gt;= 1, E$1,0)</f>
        <v>Geschiedenis en archeologie</v>
      </c>
      <c r="AX261" s="22">
        <f t="shared" si="1309"/>
        <v>0</v>
      </c>
      <c r="AY261" s="22">
        <f t="shared" si="1309"/>
        <v>0</v>
      </c>
      <c r="AZ261" s="22">
        <f t="shared" si="1309"/>
        <v>0</v>
      </c>
      <c r="BA261" s="22">
        <f t="shared" si="1309"/>
        <v>0</v>
      </c>
      <c r="BB261" s="22" t="str">
        <f t="shared" si="1309"/>
        <v>Beeldende kunst</v>
      </c>
      <c r="BC261" s="22">
        <f t="shared" si="1309"/>
        <v>0</v>
      </c>
      <c r="BD261" s="22">
        <f t="shared" ref="BD261:BG261" si="1310">IF(L261 = true, BD$1, 0)</f>
        <v>0</v>
      </c>
      <c r="BE261" s="22">
        <f t="shared" si="1310"/>
        <v>0</v>
      </c>
      <c r="BF261" s="22">
        <f t="shared" si="1310"/>
        <v>0</v>
      </c>
      <c r="BG261" s="22">
        <f t="shared" si="1310"/>
        <v>0</v>
      </c>
      <c r="BH261" s="22" t="str">
        <f>IFERROR(__xludf.DUMMYFUNCTION("""COMPUTED_VALUE"""),"Hortamuseum")</f>
        <v>Hortamuseum</v>
      </c>
      <c r="BI261" s="24">
        <f>IFERROR(__xludf.DUMMYFUNCTION("""COMPUTED_VALUE"""),14.0)</f>
        <v>14</v>
      </c>
      <c r="BJ261" s="22" t="b">
        <f>IFERROR(__xludf.DUMMYFUNCTION("""COMPUTED_VALUE"""),FALSE)</f>
        <v>0</v>
      </c>
      <c r="BK261" s="22" t="b">
        <f>IFERROR(__xludf.DUMMYFUNCTION("""COMPUTED_VALUE"""),FALSE)</f>
        <v>0</v>
      </c>
      <c r="BL261" s="22"/>
      <c r="BM261" s="22">
        <f>IFERROR(__xludf.DUMMYFUNCTION("""COMPUTED_VALUE"""),0.0)</f>
        <v>0</v>
      </c>
      <c r="BN261" s="22">
        <f>IFERROR(__xludf.DUMMYFUNCTION("""COMPUTED_VALUE"""),0.0)</f>
        <v>0</v>
      </c>
      <c r="BO261" s="22">
        <f>IFERROR(__xludf.DUMMYFUNCTION("""COMPUTED_VALUE"""),0.0)</f>
        <v>0</v>
      </c>
      <c r="BP261" s="22">
        <f>IFERROR(__xludf.DUMMYFUNCTION("""COMPUTED_VALUE"""),0.0)</f>
        <v>0</v>
      </c>
      <c r="BQ261" s="22">
        <f>IFERROR(__xludf.DUMMYFUNCTION("""COMPUTED_VALUE"""),0.0)</f>
        <v>0</v>
      </c>
      <c r="BR261" s="22">
        <f>IFERROR(__xludf.DUMMYFUNCTION("""COMPUTED_VALUE"""),0.0)</f>
        <v>0</v>
      </c>
      <c r="BS261" s="22">
        <f>IFERROR(__xludf.DUMMYFUNCTION("""COMPUTED_VALUE"""),0.0)</f>
        <v>0</v>
      </c>
      <c r="BT261" s="22">
        <f>IFERROR(__xludf.DUMMYFUNCTION("""COMPUTED_VALUE"""),0.0)</f>
        <v>0</v>
      </c>
      <c r="BU261" s="22">
        <f>IFERROR(__xludf.DUMMYFUNCTION("""COMPUTED_VALUE"""),0.0)</f>
        <v>0</v>
      </c>
      <c r="BV261" s="22">
        <f>IFERROR(__xludf.DUMMYFUNCTION("""COMPUTED_VALUE"""),0.0)</f>
        <v>0</v>
      </c>
      <c r="BW261" s="22">
        <f>IFERROR(__xludf.DUMMYFUNCTION("""COMPUTED_VALUE"""),1.0)</f>
        <v>1</v>
      </c>
      <c r="BX261" s="22">
        <f>IFERROR(__xludf.DUMMYFUNCTION("""COMPUTED_VALUE"""),0.0)</f>
        <v>0</v>
      </c>
      <c r="BY261" s="22">
        <f>IFERROR(__xludf.DUMMYFUNCTION("""COMPUTED_VALUE"""),0.0)</f>
        <v>0</v>
      </c>
      <c r="BZ261" s="22">
        <f>IFERROR(__xludf.DUMMYFUNCTION("""COMPUTED_VALUE"""),0.0)</f>
        <v>0</v>
      </c>
      <c r="CA261" s="22">
        <f>IFERROR(__xludf.DUMMYFUNCTION("""COMPUTED_VALUE"""),1.0)</f>
        <v>1</v>
      </c>
      <c r="CB261" s="22">
        <f>IFERROR(__xludf.DUMMYFUNCTION("""COMPUTED_VALUE"""),1.0)</f>
        <v>1</v>
      </c>
      <c r="CC261" s="61">
        <f>IFERROR(__xludf.DUMMYFUNCTION("""COMPUTED_VALUE"""),0.625)</f>
        <v>0.625</v>
      </c>
      <c r="CD261" s="62" t="str">
        <f>IFERROR(__xludf.DUMMYFUNCTION("""COMPUTED_VALUE"""),"no match")</f>
        <v>no match</v>
      </c>
      <c r="CE261" s="22" t="s">
        <v>479</v>
      </c>
      <c r="CF261" s="24">
        <v>14.0</v>
      </c>
      <c r="CG261" s="22" t="b">
        <v>0</v>
      </c>
      <c r="CH261" s="22" t="b">
        <v>0</v>
      </c>
      <c r="CI261" s="22"/>
      <c r="CJ261" s="22">
        <v>0.0</v>
      </c>
      <c r="CK261" s="22">
        <v>0.0</v>
      </c>
      <c r="CL261" s="22">
        <v>0.0</v>
      </c>
      <c r="CM261" s="22">
        <v>0.0</v>
      </c>
      <c r="CN261" s="22">
        <v>0.0</v>
      </c>
      <c r="CO261" s="22">
        <v>0.0</v>
      </c>
      <c r="CP261" s="22">
        <v>0.0</v>
      </c>
      <c r="CQ261" s="22">
        <v>0.0</v>
      </c>
      <c r="CR261" s="22">
        <v>0.0</v>
      </c>
      <c r="CS261" s="22">
        <v>0.0</v>
      </c>
      <c r="CT261" s="22">
        <v>1.0</v>
      </c>
      <c r="CU261" s="22">
        <v>0.0</v>
      </c>
      <c r="CV261" s="22">
        <v>0.0</v>
      </c>
      <c r="CW261" s="22">
        <v>0.0</v>
      </c>
      <c r="CX261" s="22">
        <v>1.0</v>
      </c>
      <c r="CY261" s="22">
        <v>1.0</v>
      </c>
      <c r="CZ261" s="61">
        <v>0.625</v>
      </c>
      <c r="DA261" s="62" t="s">
        <v>569</v>
      </c>
    </row>
    <row r="262">
      <c r="AK262" s="62"/>
      <c r="AL262" s="62"/>
      <c r="CE262" s="22"/>
      <c r="CF262" s="22"/>
      <c r="CG262" s="22"/>
      <c r="CH262" s="22"/>
      <c r="CI262" s="22"/>
      <c r="CJ262" s="22"/>
      <c r="CK262" s="22"/>
      <c r="CL262" s="22"/>
      <c r="CM262" s="22"/>
      <c r="CN262" s="22"/>
      <c r="CO262" s="22"/>
      <c r="CP262" s="22"/>
      <c r="CQ262" s="22"/>
      <c r="CR262" s="22"/>
      <c r="CS262" s="22"/>
      <c r="CT262" s="22"/>
      <c r="CU262" s="22"/>
      <c r="CV262" s="22"/>
      <c r="CW262" s="22"/>
      <c r="CX262" s="22"/>
      <c r="CY262" s="22"/>
      <c r="CZ262" s="22"/>
      <c r="DA262" s="22"/>
    </row>
    <row r="263">
      <c r="T263" s="20" t="s">
        <v>570</v>
      </c>
      <c r="AK263" s="62"/>
      <c r="AL263" s="62"/>
    </row>
    <row r="264">
      <c r="AI264" s="20" t="s">
        <v>571</v>
      </c>
      <c r="AJ264" s="22">
        <f>SUM(MAX(U2:U261),MAX(AC2:AC261), MAX(AD2:AD261), MAX(AI2:AI261))</f>
        <v>8</v>
      </c>
      <c r="AK264" s="62"/>
      <c r="AL264" s="62"/>
    </row>
    <row r="265">
      <c r="AK265" s="62"/>
      <c r="AL265" s="62"/>
    </row>
    <row r="266">
      <c r="AK266" s="62"/>
      <c r="AL266" s="62"/>
    </row>
    <row r="267">
      <c r="AK267" s="62"/>
      <c r="AL267" s="62"/>
    </row>
    <row r="268">
      <c r="AK268" s="62"/>
      <c r="AL268" s="62"/>
    </row>
    <row r="269">
      <c r="AK269" s="62"/>
      <c r="AL269" s="62"/>
    </row>
    <row r="270">
      <c r="AK270" s="62"/>
      <c r="AL270" s="62"/>
    </row>
    <row r="271">
      <c r="AK271" s="62"/>
      <c r="AL271" s="62"/>
    </row>
    <row r="272">
      <c r="AK272" s="62"/>
      <c r="AL272" s="62"/>
    </row>
    <row r="273">
      <c r="AK273" s="62"/>
      <c r="AL273" s="62"/>
    </row>
    <row r="274">
      <c r="AK274" s="62"/>
      <c r="AL274" s="62"/>
    </row>
    <row r="275">
      <c r="AK275" s="62"/>
      <c r="AL275" s="62"/>
    </row>
    <row r="276">
      <c r="AK276" s="62"/>
      <c r="AL276" s="62"/>
    </row>
    <row r="277">
      <c r="AK277" s="62"/>
      <c r="AL277" s="62"/>
    </row>
    <row r="278">
      <c r="AK278" s="62"/>
      <c r="AL278" s="62"/>
    </row>
    <row r="279">
      <c r="AK279" s="62"/>
      <c r="AL279" s="62"/>
    </row>
    <row r="280">
      <c r="AK280" s="62"/>
      <c r="AL280" s="62"/>
    </row>
    <row r="281">
      <c r="AK281" s="62"/>
      <c r="AL281" s="62"/>
    </row>
    <row r="282">
      <c r="AK282" s="62"/>
      <c r="AL282" s="62"/>
    </row>
    <row r="283">
      <c r="AK283" s="62"/>
      <c r="AL283" s="62"/>
    </row>
    <row r="284">
      <c r="AK284" s="62"/>
      <c r="AL284" s="62"/>
    </row>
    <row r="285">
      <c r="AK285" s="62"/>
      <c r="AL285" s="62"/>
    </row>
    <row r="286">
      <c r="AK286" s="62"/>
      <c r="AL286" s="62"/>
    </row>
    <row r="287">
      <c r="AK287" s="62"/>
      <c r="AL287" s="62"/>
    </row>
    <row r="288">
      <c r="AK288" s="62"/>
      <c r="AL288" s="62"/>
    </row>
    <row r="289">
      <c r="AK289" s="62"/>
      <c r="AL289" s="62"/>
    </row>
    <row r="290">
      <c r="AK290" s="62"/>
      <c r="AL290" s="62"/>
    </row>
    <row r="291">
      <c r="AK291" s="62"/>
      <c r="AL291" s="62"/>
    </row>
    <row r="292">
      <c r="AK292" s="62"/>
      <c r="AL292" s="62"/>
    </row>
    <row r="293">
      <c r="AK293" s="62"/>
      <c r="AL293" s="62"/>
    </row>
    <row r="294">
      <c r="AK294" s="62"/>
      <c r="AL294" s="62"/>
    </row>
    <row r="295">
      <c r="AK295" s="62"/>
      <c r="AL295" s="62"/>
    </row>
    <row r="296">
      <c r="AK296" s="62"/>
      <c r="AL296" s="62"/>
    </row>
    <row r="297">
      <c r="AK297" s="62"/>
      <c r="AL297" s="62"/>
    </row>
    <row r="298">
      <c r="AK298" s="62"/>
      <c r="AL298" s="62"/>
    </row>
    <row r="299">
      <c r="AK299" s="62"/>
      <c r="AL299" s="62"/>
    </row>
    <row r="300">
      <c r="AK300" s="62"/>
      <c r="AL300" s="62"/>
    </row>
    <row r="301">
      <c r="AK301" s="62"/>
      <c r="AL301" s="62"/>
    </row>
    <row r="302">
      <c r="AK302" s="62"/>
      <c r="AL302" s="62"/>
    </row>
    <row r="303">
      <c r="AK303" s="62"/>
      <c r="AL303" s="62"/>
    </row>
    <row r="304">
      <c r="AK304" s="62"/>
      <c r="AL304" s="62"/>
    </row>
    <row r="305">
      <c r="AK305" s="62"/>
      <c r="AL305" s="62"/>
    </row>
    <row r="306">
      <c r="AK306" s="62"/>
      <c r="AL306" s="62"/>
    </row>
    <row r="307">
      <c r="AK307" s="62"/>
      <c r="AL307" s="62"/>
    </row>
    <row r="308">
      <c r="AK308" s="62"/>
      <c r="AL308" s="62"/>
    </row>
    <row r="309">
      <c r="AK309" s="62"/>
      <c r="AL309" s="62"/>
    </row>
    <row r="310">
      <c r="AK310" s="62"/>
      <c r="AL310" s="62"/>
    </row>
    <row r="311">
      <c r="AK311" s="62"/>
      <c r="AL311" s="62"/>
    </row>
    <row r="312">
      <c r="AK312" s="62"/>
      <c r="AL312" s="62"/>
    </row>
    <row r="313">
      <c r="AK313" s="62"/>
      <c r="AL313" s="62"/>
    </row>
    <row r="314">
      <c r="AK314" s="62"/>
      <c r="AL314" s="62"/>
    </row>
    <row r="315">
      <c r="AK315" s="62"/>
      <c r="AL315" s="62"/>
    </row>
    <row r="316">
      <c r="AK316" s="62"/>
      <c r="AL316" s="62"/>
    </row>
    <row r="317">
      <c r="AK317" s="62"/>
      <c r="AL317" s="62"/>
    </row>
    <row r="318">
      <c r="AK318" s="62"/>
      <c r="AL318" s="62"/>
    </row>
    <row r="319">
      <c r="AK319" s="62"/>
      <c r="AL319" s="62"/>
    </row>
    <row r="320">
      <c r="AK320" s="62"/>
      <c r="AL320" s="62"/>
    </row>
    <row r="321">
      <c r="AK321" s="62"/>
      <c r="AL321" s="62"/>
    </row>
    <row r="322">
      <c r="AK322" s="62"/>
      <c r="AL322" s="62"/>
    </row>
    <row r="323">
      <c r="AK323" s="62"/>
      <c r="AL323" s="62"/>
    </row>
    <row r="324">
      <c r="AK324" s="62"/>
      <c r="AL324" s="62"/>
    </row>
    <row r="325">
      <c r="AK325" s="62"/>
      <c r="AL325" s="62"/>
    </row>
    <row r="326">
      <c r="AK326" s="62"/>
      <c r="AL326" s="62"/>
    </row>
    <row r="327">
      <c r="AK327" s="62"/>
      <c r="AL327" s="62"/>
    </row>
    <row r="328">
      <c r="AK328" s="62"/>
      <c r="AL328" s="62"/>
    </row>
    <row r="329">
      <c r="AK329" s="62"/>
      <c r="AL329" s="62"/>
    </row>
    <row r="330">
      <c r="AK330" s="62"/>
      <c r="AL330" s="62"/>
    </row>
    <row r="331">
      <c r="AK331" s="62"/>
      <c r="AL331" s="62"/>
    </row>
    <row r="332">
      <c r="AK332" s="62"/>
      <c r="AL332" s="62"/>
    </row>
    <row r="333">
      <c r="AK333" s="62"/>
      <c r="AL333" s="62"/>
    </row>
    <row r="334">
      <c r="AK334" s="62"/>
      <c r="AL334" s="62"/>
    </row>
    <row r="335">
      <c r="AK335" s="62"/>
      <c r="AL335" s="62"/>
    </row>
    <row r="336">
      <c r="AK336" s="62"/>
      <c r="AL336" s="62"/>
    </row>
    <row r="337">
      <c r="AK337" s="62"/>
      <c r="AL337" s="62"/>
    </row>
    <row r="338">
      <c r="AK338" s="62"/>
      <c r="AL338" s="62"/>
    </row>
    <row r="339">
      <c r="AK339" s="62"/>
      <c r="AL339" s="62"/>
    </row>
    <row r="340">
      <c r="AK340" s="62"/>
      <c r="AL340" s="62"/>
    </row>
    <row r="341">
      <c r="AK341" s="62"/>
      <c r="AL341" s="62"/>
    </row>
    <row r="342">
      <c r="AK342" s="62"/>
      <c r="AL342" s="62"/>
    </row>
    <row r="343">
      <c r="AK343" s="62"/>
      <c r="AL343" s="62"/>
    </row>
    <row r="344">
      <c r="AK344" s="62"/>
      <c r="AL344" s="62"/>
    </row>
    <row r="345">
      <c r="AK345" s="62"/>
      <c r="AL345" s="62"/>
    </row>
    <row r="346">
      <c r="AK346" s="62"/>
      <c r="AL346" s="62"/>
    </row>
    <row r="347">
      <c r="AK347" s="62"/>
      <c r="AL347" s="62"/>
    </row>
    <row r="348">
      <c r="AK348" s="62"/>
      <c r="AL348" s="62"/>
    </row>
    <row r="349">
      <c r="AK349" s="62"/>
      <c r="AL349" s="62"/>
    </row>
    <row r="350">
      <c r="AK350" s="62"/>
      <c r="AL350" s="62"/>
    </row>
    <row r="351">
      <c r="AK351" s="62"/>
      <c r="AL351" s="62"/>
    </row>
    <row r="352">
      <c r="AK352" s="62"/>
      <c r="AL352" s="62"/>
    </row>
    <row r="353">
      <c r="AK353" s="62"/>
      <c r="AL353" s="62"/>
    </row>
    <row r="354">
      <c r="AK354" s="62"/>
      <c r="AL354" s="62"/>
    </row>
    <row r="355">
      <c r="AK355" s="62"/>
      <c r="AL355" s="62"/>
    </row>
    <row r="356">
      <c r="AK356" s="62"/>
      <c r="AL356" s="62"/>
    </row>
    <row r="357">
      <c r="AK357" s="62"/>
      <c r="AL357" s="62"/>
    </row>
    <row r="358">
      <c r="AK358" s="62"/>
      <c r="AL358" s="62"/>
    </row>
    <row r="359">
      <c r="AK359" s="62"/>
      <c r="AL359" s="62"/>
    </row>
    <row r="360">
      <c r="AK360" s="62"/>
      <c r="AL360" s="62"/>
    </row>
    <row r="361">
      <c r="AK361" s="62"/>
      <c r="AL361" s="62"/>
    </row>
    <row r="362">
      <c r="AK362" s="62"/>
      <c r="AL362" s="62"/>
    </row>
    <row r="363">
      <c r="AK363" s="62"/>
      <c r="AL363" s="62"/>
    </row>
    <row r="364">
      <c r="AK364" s="62"/>
      <c r="AL364" s="62"/>
    </row>
    <row r="365">
      <c r="AK365" s="62"/>
      <c r="AL365" s="62"/>
    </row>
    <row r="366">
      <c r="AK366" s="62"/>
      <c r="AL366" s="62"/>
    </row>
    <row r="367">
      <c r="AK367" s="62"/>
      <c r="AL367" s="62"/>
    </row>
    <row r="368">
      <c r="AK368" s="62"/>
      <c r="AL368" s="62"/>
    </row>
    <row r="369">
      <c r="AK369" s="62"/>
      <c r="AL369" s="62"/>
    </row>
    <row r="370">
      <c r="AK370" s="62"/>
      <c r="AL370" s="62"/>
    </row>
    <row r="371">
      <c r="AK371" s="62"/>
      <c r="AL371" s="62"/>
    </row>
    <row r="372">
      <c r="AK372" s="62"/>
      <c r="AL372" s="62"/>
    </row>
    <row r="373">
      <c r="AK373" s="62"/>
      <c r="AL373" s="62"/>
    </row>
    <row r="374">
      <c r="AK374" s="62"/>
      <c r="AL374" s="62"/>
    </row>
    <row r="375">
      <c r="AK375" s="62"/>
      <c r="AL375" s="62"/>
    </row>
    <row r="376">
      <c r="AK376" s="62"/>
      <c r="AL376" s="62"/>
    </row>
    <row r="377">
      <c r="AK377" s="62"/>
      <c r="AL377" s="62"/>
    </row>
    <row r="378">
      <c r="AK378" s="62"/>
      <c r="AL378" s="62"/>
    </row>
    <row r="379">
      <c r="AK379" s="62"/>
      <c r="AL379" s="62"/>
    </row>
    <row r="380">
      <c r="AK380" s="62"/>
      <c r="AL380" s="62"/>
    </row>
    <row r="381">
      <c r="AK381" s="62"/>
      <c r="AL381" s="62"/>
    </row>
    <row r="382">
      <c r="AK382" s="62"/>
      <c r="AL382" s="62"/>
    </row>
    <row r="383">
      <c r="AK383" s="62"/>
      <c r="AL383" s="62"/>
    </row>
    <row r="384">
      <c r="AK384" s="62"/>
      <c r="AL384" s="62"/>
    </row>
    <row r="385">
      <c r="AK385" s="62"/>
      <c r="AL385" s="62"/>
    </row>
    <row r="386">
      <c r="AK386" s="62"/>
      <c r="AL386" s="62"/>
    </row>
    <row r="387">
      <c r="AK387" s="62"/>
      <c r="AL387" s="62"/>
    </row>
    <row r="388">
      <c r="AK388" s="62"/>
      <c r="AL388" s="62"/>
    </row>
    <row r="389">
      <c r="AK389" s="62"/>
      <c r="AL389" s="62"/>
    </row>
    <row r="390">
      <c r="AK390" s="62"/>
      <c r="AL390" s="62"/>
    </row>
    <row r="391">
      <c r="AK391" s="62"/>
      <c r="AL391" s="62"/>
    </row>
    <row r="392">
      <c r="AK392" s="62"/>
      <c r="AL392" s="62"/>
    </row>
    <row r="393">
      <c r="AK393" s="62"/>
      <c r="AL393" s="62"/>
    </row>
    <row r="394">
      <c r="AK394" s="62"/>
      <c r="AL394" s="62"/>
    </row>
    <row r="395">
      <c r="AK395" s="62"/>
      <c r="AL395" s="62"/>
    </row>
    <row r="396">
      <c r="AK396" s="62"/>
      <c r="AL396" s="62"/>
    </row>
    <row r="397">
      <c r="AK397" s="62"/>
      <c r="AL397" s="62"/>
    </row>
    <row r="398">
      <c r="AK398" s="62"/>
      <c r="AL398" s="62"/>
    </row>
    <row r="399">
      <c r="AK399" s="62"/>
      <c r="AL399" s="62"/>
    </row>
    <row r="400">
      <c r="AK400" s="62"/>
      <c r="AL400" s="62"/>
    </row>
    <row r="401">
      <c r="AK401" s="62"/>
      <c r="AL401" s="62"/>
    </row>
    <row r="402">
      <c r="AK402" s="62"/>
      <c r="AL402" s="62"/>
    </row>
    <row r="403">
      <c r="AK403" s="62"/>
      <c r="AL403" s="62"/>
    </row>
    <row r="404">
      <c r="AK404" s="62"/>
      <c r="AL404" s="62"/>
    </row>
    <row r="405">
      <c r="AK405" s="62"/>
      <c r="AL405" s="62"/>
    </row>
    <row r="406">
      <c r="AK406" s="62"/>
      <c r="AL406" s="62"/>
    </row>
    <row r="407">
      <c r="AK407" s="62"/>
      <c r="AL407" s="62"/>
    </row>
    <row r="408">
      <c r="AK408" s="62"/>
      <c r="AL408" s="62"/>
    </row>
    <row r="409">
      <c r="AK409" s="62"/>
      <c r="AL409" s="62"/>
    </row>
    <row r="410">
      <c r="AK410" s="62"/>
      <c r="AL410" s="62"/>
    </row>
    <row r="411">
      <c r="AK411" s="62"/>
      <c r="AL411" s="62"/>
    </row>
    <row r="412">
      <c r="AK412" s="62"/>
      <c r="AL412" s="62"/>
    </row>
    <row r="413">
      <c r="AK413" s="62"/>
      <c r="AL413" s="62"/>
    </row>
    <row r="414">
      <c r="AK414" s="62"/>
      <c r="AL414" s="62"/>
    </row>
    <row r="415">
      <c r="AK415" s="62"/>
      <c r="AL415" s="62"/>
    </row>
    <row r="416">
      <c r="AK416" s="62"/>
      <c r="AL416" s="62"/>
    </row>
    <row r="417">
      <c r="AK417" s="62"/>
      <c r="AL417" s="62"/>
    </row>
    <row r="418">
      <c r="AK418" s="62"/>
      <c r="AL418" s="62"/>
    </row>
    <row r="419">
      <c r="AK419" s="62"/>
      <c r="AL419" s="62"/>
    </row>
    <row r="420">
      <c r="AK420" s="62"/>
      <c r="AL420" s="62"/>
    </row>
    <row r="421">
      <c r="AK421" s="62"/>
      <c r="AL421" s="62"/>
    </row>
    <row r="422">
      <c r="AK422" s="62"/>
      <c r="AL422" s="62"/>
    </row>
    <row r="423">
      <c r="AK423" s="62"/>
      <c r="AL423" s="62"/>
    </row>
    <row r="424">
      <c r="AK424" s="62"/>
      <c r="AL424" s="62"/>
    </row>
    <row r="425">
      <c r="AK425" s="62"/>
      <c r="AL425" s="62"/>
    </row>
    <row r="426">
      <c r="AK426" s="62"/>
      <c r="AL426" s="62"/>
    </row>
    <row r="427">
      <c r="AK427" s="62"/>
      <c r="AL427" s="62"/>
    </row>
    <row r="428">
      <c r="AK428" s="62"/>
      <c r="AL428" s="62"/>
    </row>
    <row r="429">
      <c r="AK429" s="62"/>
      <c r="AL429" s="62"/>
    </row>
    <row r="430">
      <c r="AK430" s="62"/>
      <c r="AL430" s="62"/>
    </row>
    <row r="431">
      <c r="AK431" s="62"/>
      <c r="AL431" s="62"/>
    </row>
    <row r="432">
      <c r="AK432" s="62"/>
      <c r="AL432" s="62"/>
    </row>
    <row r="433">
      <c r="AK433" s="62"/>
      <c r="AL433" s="62"/>
    </row>
    <row r="434">
      <c r="AK434" s="62"/>
      <c r="AL434" s="62"/>
    </row>
    <row r="435">
      <c r="AK435" s="62"/>
      <c r="AL435" s="62"/>
    </row>
    <row r="436">
      <c r="AK436" s="62"/>
      <c r="AL436" s="62"/>
    </row>
    <row r="437">
      <c r="AK437" s="62"/>
      <c r="AL437" s="62"/>
    </row>
    <row r="438">
      <c r="AK438" s="62"/>
      <c r="AL438" s="62"/>
    </row>
    <row r="439">
      <c r="AK439" s="62"/>
      <c r="AL439" s="62"/>
    </row>
    <row r="440">
      <c r="AK440" s="62"/>
      <c r="AL440" s="62"/>
    </row>
    <row r="441">
      <c r="AK441" s="62"/>
      <c r="AL441" s="62"/>
    </row>
    <row r="442">
      <c r="AK442" s="62"/>
      <c r="AL442" s="62"/>
    </row>
    <row r="443">
      <c r="AK443" s="62"/>
      <c r="AL443" s="62"/>
    </row>
    <row r="444">
      <c r="AK444" s="62"/>
      <c r="AL444" s="62"/>
    </row>
    <row r="445">
      <c r="AK445" s="62"/>
      <c r="AL445" s="62"/>
    </row>
    <row r="446">
      <c r="AK446" s="62"/>
      <c r="AL446" s="62"/>
    </row>
    <row r="447">
      <c r="AK447" s="62"/>
      <c r="AL447" s="62"/>
    </row>
    <row r="448">
      <c r="AK448" s="62"/>
      <c r="AL448" s="62"/>
    </row>
    <row r="449">
      <c r="AK449" s="62"/>
      <c r="AL449" s="62"/>
    </row>
    <row r="450">
      <c r="AK450" s="62"/>
      <c r="AL450" s="62"/>
    </row>
    <row r="451">
      <c r="AK451" s="62"/>
      <c r="AL451" s="62"/>
    </row>
    <row r="452">
      <c r="AK452" s="62"/>
      <c r="AL452" s="62"/>
    </row>
    <row r="453">
      <c r="AK453" s="62"/>
      <c r="AL453" s="62"/>
    </row>
    <row r="454">
      <c r="AK454" s="62"/>
      <c r="AL454" s="62"/>
    </row>
    <row r="455">
      <c r="AK455" s="62"/>
      <c r="AL455" s="62"/>
    </row>
    <row r="456">
      <c r="AK456" s="62"/>
      <c r="AL456" s="62"/>
    </row>
    <row r="457">
      <c r="AK457" s="62"/>
      <c r="AL457" s="62"/>
    </row>
    <row r="458">
      <c r="AK458" s="62"/>
      <c r="AL458" s="62"/>
    </row>
    <row r="459">
      <c r="AK459" s="62"/>
      <c r="AL459" s="62"/>
    </row>
    <row r="460">
      <c r="AK460" s="62"/>
      <c r="AL460" s="62"/>
    </row>
    <row r="461">
      <c r="AK461" s="62"/>
      <c r="AL461" s="62"/>
    </row>
    <row r="462">
      <c r="AK462" s="62"/>
      <c r="AL462" s="62"/>
    </row>
    <row r="463">
      <c r="AK463" s="62"/>
      <c r="AL463" s="62"/>
    </row>
    <row r="464">
      <c r="AK464" s="62"/>
      <c r="AL464" s="62"/>
    </row>
    <row r="465">
      <c r="AK465" s="62"/>
      <c r="AL465" s="62"/>
    </row>
    <row r="466">
      <c r="AK466" s="62"/>
      <c r="AL466" s="62"/>
    </row>
    <row r="467">
      <c r="AK467" s="62"/>
      <c r="AL467" s="62"/>
    </row>
    <row r="468">
      <c r="AK468" s="62"/>
      <c r="AL468" s="62"/>
    </row>
    <row r="469">
      <c r="AK469" s="62"/>
      <c r="AL469" s="62"/>
    </row>
    <row r="470">
      <c r="AK470" s="62"/>
      <c r="AL470" s="62"/>
    </row>
    <row r="471">
      <c r="AK471" s="62"/>
      <c r="AL471" s="62"/>
    </row>
    <row r="472">
      <c r="AK472" s="62"/>
      <c r="AL472" s="62"/>
    </row>
    <row r="473">
      <c r="AK473" s="62"/>
      <c r="AL473" s="62"/>
    </row>
    <row r="474">
      <c r="AK474" s="62"/>
      <c r="AL474" s="62"/>
    </row>
    <row r="475">
      <c r="AK475" s="62"/>
      <c r="AL475" s="62"/>
    </row>
    <row r="476">
      <c r="AK476" s="62"/>
      <c r="AL476" s="62"/>
    </row>
    <row r="477">
      <c r="AK477" s="62"/>
      <c r="AL477" s="62"/>
    </row>
    <row r="478">
      <c r="AK478" s="62"/>
      <c r="AL478" s="62"/>
    </row>
    <row r="479">
      <c r="AK479" s="62"/>
      <c r="AL479" s="62"/>
    </row>
    <row r="480">
      <c r="AK480" s="62"/>
      <c r="AL480" s="62"/>
    </row>
    <row r="481">
      <c r="AK481" s="62"/>
      <c r="AL481" s="62"/>
    </row>
    <row r="482">
      <c r="AK482" s="62"/>
      <c r="AL482" s="62"/>
    </row>
    <row r="483">
      <c r="AK483" s="62"/>
      <c r="AL483" s="62"/>
    </row>
    <row r="484">
      <c r="AK484" s="62"/>
      <c r="AL484" s="62"/>
    </row>
    <row r="485">
      <c r="AK485" s="62"/>
      <c r="AL485" s="62"/>
    </row>
    <row r="486">
      <c r="AK486" s="62"/>
      <c r="AL486" s="62"/>
    </row>
    <row r="487">
      <c r="AK487" s="62"/>
      <c r="AL487" s="62"/>
    </row>
    <row r="488">
      <c r="AK488" s="62"/>
      <c r="AL488" s="62"/>
    </row>
    <row r="489">
      <c r="AK489" s="62"/>
      <c r="AL489" s="62"/>
    </row>
    <row r="490">
      <c r="AK490" s="62"/>
      <c r="AL490" s="62"/>
    </row>
    <row r="491">
      <c r="AK491" s="62"/>
      <c r="AL491" s="62"/>
    </row>
    <row r="492">
      <c r="AK492" s="62"/>
      <c r="AL492" s="62"/>
    </row>
    <row r="493">
      <c r="AK493" s="62"/>
      <c r="AL493" s="62"/>
    </row>
    <row r="494">
      <c r="AK494" s="62"/>
      <c r="AL494" s="62"/>
    </row>
    <row r="495">
      <c r="AK495" s="62"/>
      <c r="AL495" s="62"/>
    </row>
    <row r="496">
      <c r="AK496" s="62"/>
      <c r="AL496" s="62"/>
    </row>
    <row r="497">
      <c r="AK497" s="62"/>
      <c r="AL497" s="62"/>
    </row>
    <row r="498">
      <c r="AK498" s="62"/>
      <c r="AL498" s="62"/>
    </row>
    <row r="499">
      <c r="AK499" s="62"/>
      <c r="AL499" s="62"/>
    </row>
    <row r="500">
      <c r="AK500" s="62"/>
      <c r="AL500" s="62"/>
    </row>
    <row r="501">
      <c r="AK501" s="62"/>
      <c r="AL501" s="62"/>
    </row>
    <row r="502">
      <c r="AK502" s="62"/>
      <c r="AL502" s="62"/>
    </row>
    <row r="503">
      <c r="AK503" s="62"/>
      <c r="AL503" s="62"/>
    </row>
    <row r="504">
      <c r="AK504" s="62"/>
      <c r="AL504" s="62"/>
    </row>
    <row r="505">
      <c r="AK505" s="62"/>
      <c r="AL505" s="62"/>
    </row>
    <row r="506">
      <c r="AK506" s="62"/>
      <c r="AL506" s="62"/>
    </row>
    <row r="507">
      <c r="AK507" s="62"/>
      <c r="AL507" s="62"/>
    </row>
    <row r="508">
      <c r="AK508" s="62"/>
      <c r="AL508" s="62"/>
    </row>
    <row r="509">
      <c r="AK509" s="62"/>
      <c r="AL509" s="62"/>
    </row>
    <row r="510">
      <c r="AK510" s="62"/>
      <c r="AL510" s="62"/>
    </row>
    <row r="511">
      <c r="AK511" s="62"/>
      <c r="AL511" s="62"/>
    </row>
    <row r="512">
      <c r="AK512" s="62"/>
      <c r="AL512" s="62"/>
    </row>
    <row r="513">
      <c r="AK513" s="62"/>
      <c r="AL513" s="62"/>
    </row>
    <row r="514">
      <c r="AK514" s="62"/>
      <c r="AL514" s="62"/>
    </row>
    <row r="515">
      <c r="AK515" s="62"/>
      <c r="AL515" s="62"/>
    </row>
    <row r="516">
      <c r="AK516" s="62"/>
      <c r="AL516" s="62"/>
    </row>
    <row r="517">
      <c r="AK517" s="62"/>
      <c r="AL517" s="62"/>
    </row>
    <row r="518">
      <c r="AK518" s="62"/>
      <c r="AL518" s="62"/>
    </row>
    <row r="519">
      <c r="AK519" s="62"/>
      <c r="AL519" s="62"/>
    </row>
    <row r="520">
      <c r="AK520" s="62"/>
      <c r="AL520" s="62"/>
    </row>
    <row r="521">
      <c r="AK521" s="62"/>
      <c r="AL521" s="62"/>
    </row>
    <row r="522">
      <c r="AK522" s="62"/>
      <c r="AL522" s="62"/>
    </row>
    <row r="523">
      <c r="AK523" s="62"/>
      <c r="AL523" s="62"/>
    </row>
    <row r="524">
      <c r="AK524" s="62"/>
      <c r="AL524" s="62"/>
    </row>
    <row r="525">
      <c r="AK525" s="62"/>
      <c r="AL525" s="62"/>
    </row>
    <row r="526">
      <c r="AK526" s="62"/>
      <c r="AL526" s="62"/>
    </row>
    <row r="527">
      <c r="AK527" s="62"/>
      <c r="AL527" s="62"/>
    </row>
    <row r="528">
      <c r="AK528" s="62"/>
      <c r="AL528" s="62"/>
    </row>
    <row r="529">
      <c r="AK529" s="62"/>
      <c r="AL529" s="62"/>
    </row>
    <row r="530">
      <c r="AK530" s="62"/>
      <c r="AL530" s="62"/>
    </row>
    <row r="531">
      <c r="AK531" s="62"/>
      <c r="AL531" s="62"/>
    </row>
    <row r="532">
      <c r="AK532" s="62"/>
      <c r="AL532" s="62"/>
    </row>
    <row r="533">
      <c r="AK533" s="62"/>
      <c r="AL533" s="62"/>
    </row>
    <row r="534">
      <c r="AK534" s="62"/>
      <c r="AL534" s="62"/>
    </row>
    <row r="535">
      <c r="AK535" s="62"/>
      <c r="AL535" s="62"/>
    </row>
    <row r="536">
      <c r="AK536" s="62"/>
      <c r="AL536" s="62"/>
    </row>
    <row r="537">
      <c r="AK537" s="62"/>
      <c r="AL537" s="62"/>
    </row>
    <row r="538">
      <c r="AK538" s="62"/>
      <c r="AL538" s="62"/>
    </row>
    <row r="539">
      <c r="AK539" s="62"/>
      <c r="AL539" s="62"/>
    </row>
    <row r="540">
      <c r="AK540" s="62"/>
      <c r="AL540" s="62"/>
    </row>
    <row r="541">
      <c r="AK541" s="62"/>
      <c r="AL541" s="62"/>
    </row>
    <row r="542">
      <c r="AK542" s="62"/>
      <c r="AL542" s="62"/>
    </row>
    <row r="543">
      <c r="AK543" s="62"/>
      <c r="AL543" s="62"/>
    </row>
    <row r="544">
      <c r="AK544" s="62"/>
      <c r="AL544" s="62"/>
    </row>
    <row r="545">
      <c r="AK545" s="62"/>
      <c r="AL545" s="62"/>
    </row>
    <row r="546">
      <c r="AK546" s="62"/>
      <c r="AL546" s="62"/>
    </row>
    <row r="547">
      <c r="AK547" s="62"/>
      <c r="AL547" s="62"/>
    </row>
    <row r="548">
      <c r="AK548" s="62"/>
      <c r="AL548" s="62"/>
    </row>
    <row r="549">
      <c r="AK549" s="62"/>
      <c r="AL549" s="62"/>
    </row>
    <row r="550">
      <c r="AK550" s="62"/>
      <c r="AL550" s="62"/>
    </row>
    <row r="551">
      <c r="AK551" s="62"/>
      <c r="AL551" s="62"/>
    </row>
    <row r="552">
      <c r="AK552" s="62"/>
      <c r="AL552" s="62"/>
    </row>
    <row r="553">
      <c r="AK553" s="62"/>
      <c r="AL553" s="62"/>
    </row>
    <row r="554">
      <c r="AK554" s="62"/>
      <c r="AL554" s="62"/>
    </row>
    <row r="555">
      <c r="AK555" s="62"/>
      <c r="AL555" s="62"/>
    </row>
    <row r="556">
      <c r="AK556" s="62"/>
      <c r="AL556" s="62"/>
    </row>
    <row r="557">
      <c r="AK557" s="62"/>
      <c r="AL557" s="62"/>
    </row>
    <row r="558">
      <c r="AK558" s="62"/>
      <c r="AL558" s="62"/>
    </row>
    <row r="559">
      <c r="AK559" s="62"/>
      <c r="AL559" s="62"/>
    </row>
    <row r="560">
      <c r="AK560" s="62"/>
      <c r="AL560" s="62"/>
    </row>
    <row r="561">
      <c r="AK561" s="62"/>
      <c r="AL561" s="62"/>
    </row>
    <row r="562">
      <c r="AK562" s="62"/>
      <c r="AL562" s="62"/>
    </row>
    <row r="563">
      <c r="AK563" s="62"/>
      <c r="AL563" s="62"/>
    </row>
    <row r="564">
      <c r="AK564" s="62"/>
      <c r="AL564" s="62"/>
    </row>
    <row r="565">
      <c r="AK565" s="62"/>
      <c r="AL565" s="62"/>
    </row>
    <row r="566">
      <c r="AK566" s="62"/>
      <c r="AL566" s="62"/>
    </row>
    <row r="567">
      <c r="AK567" s="62"/>
      <c r="AL567" s="62"/>
    </row>
    <row r="568">
      <c r="AK568" s="62"/>
      <c r="AL568" s="62"/>
    </row>
    <row r="569">
      <c r="AK569" s="62"/>
      <c r="AL569" s="62"/>
    </row>
    <row r="570">
      <c r="AK570" s="62"/>
      <c r="AL570" s="62"/>
    </row>
    <row r="571">
      <c r="AK571" s="62"/>
      <c r="AL571" s="62"/>
    </row>
    <row r="572">
      <c r="AK572" s="62"/>
      <c r="AL572" s="62"/>
    </row>
    <row r="573">
      <c r="AK573" s="62"/>
      <c r="AL573" s="62"/>
    </row>
    <row r="574">
      <c r="AK574" s="62"/>
      <c r="AL574" s="62"/>
    </row>
    <row r="575">
      <c r="AK575" s="62"/>
      <c r="AL575" s="62"/>
    </row>
    <row r="576">
      <c r="AK576" s="62"/>
      <c r="AL576" s="62"/>
    </row>
    <row r="577">
      <c r="AK577" s="62"/>
      <c r="AL577" s="62"/>
    </row>
    <row r="578">
      <c r="AK578" s="62"/>
      <c r="AL578" s="62"/>
    </row>
    <row r="579">
      <c r="AK579" s="62"/>
      <c r="AL579" s="62"/>
    </row>
    <row r="580">
      <c r="AK580" s="62"/>
      <c r="AL580" s="62"/>
    </row>
    <row r="581">
      <c r="AK581" s="62"/>
      <c r="AL581" s="62"/>
    </row>
    <row r="582">
      <c r="AK582" s="62"/>
      <c r="AL582" s="62"/>
    </row>
    <row r="583">
      <c r="AK583" s="62"/>
      <c r="AL583" s="62"/>
    </row>
    <row r="584">
      <c r="AK584" s="62"/>
      <c r="AL584" s="62"/>
    </row>
    <row r="585">
      <c r="AK585" s="62"/>
      <c r="AL585" s="62"/>
    </row>
    <row r="586">
      <c r="AK586" s="62"/>
      <c r="AL586" s="62"/>
    </row>
    <row r="587">
      <c r="AK587" s="62"/>
      <c r="AL587" s="62"/>
    </row>
    <row r="588">
      <c r="AK588" s="62"/>
      <c r="AL588" s="62"/>
    </row>
    <row r="589">
      <c r="AK589" s="62"/>
      <c r="AL589" s="62"/>
    </row>
    <row r="590">
      <c r="AK590" s="62"/>
      <c r="AL590" s="62"/>
    </row>
    <row r="591">
      <c r="AK591" s="62"/>
      <c r="AL591" s="62"/>
    </row>
    <row r="592">
      <c r="AK592" s="62"/>
      <c r="AL592" s="62"/>
    </row>
    <row r="593">
      <c r="AK593" s="62"/>
      <c r="AL593" s="62"/>
    </row>
    <row r="594">
      <c r="AK594" s="62"/>
      <c r="AL594" s="62"/>
    </row>
    <row r="595">
      <c r="AK595" s="62"/>
      <c r="AL595" s="62"/>
    </row>
    <row r="596">
      <c r="AK596" s="62"/>
      <c r="AL596" s="62"/>
    </row>
    <row r="597">
      <c r="AK597" s="62"/>
      <c r="AL597" s="62"/>
    </row>
    <row r="598">
      <c r="AK598" s="62"/>
      <c r="AL598" s="62"/>
    </row>
    <row r="599">
      <c r="AK599" s="62"/>
      <c r="AL599" s="62"/>
    </row>
    <row r="600">
      <c r="AK600" s="62"/>
      <c r="AL600" s="62"/>
    </row>
    <row r="601">
      <c r="AK601" s="62"/>
      <c r="AL601" s="62"/>
    </row>
    <row r="602">
      <c r="AK602" s="62"/>
      <c r="AL602" s="62"/>
    </row>
    <row r="603">
      <c r="AK603" s="62"/>
      <c r="AL603" s="62"/>
    </row>
    <row r="604">
      <c r="AK604" s="62"/>
      <c r="AL604" s="62"/>
    </row>
    <row r="605">
      <c r="AK605" s="62"/>
      <c r="AL605" s="62"/>
    </row>
    <row r="606">
      <c r="AK606" s="62"/>
      <c r="AL606" s="62"/>
    </row>
    <row r="607">
      <c r="AK607" s="62"/>
      <c r="AL607" s="62"/>
    </row>
    <row r="608">
      <c r="AK608" s="62"/>
      <c r="AL608" s="62"/>
    </row>
    <row r="609">
      <c r="AK609" s="62"/>
      <c r="AL609" s="62"/>
    </row>
    <row r="610">
      <c r="AK610" s="62"/>
      <c r="AL610" s="62"/>
    </row>
    <row r="611">
      <c r="AK611" s="62"/>
      <c r="AL611" s="62"/>
    </row>
    <row r="612">
      <c r="AK612" s="62"/>
      <c r="AL612" s="62"/>
    </row>
    <row r="613">
      <c r="AK613" s="62"/>
      <c r="AL613" s="62"/>
    </row>
    <row r="614">
      <c r="AK614" s="62"/>
      <c r="AL614" s="62"/>
    </row>
    <row r="615">
      <c r="AK615" s="62"/>
      <c r="AL615" s="62"/>
    </row>
    <row r="616">
      <c r="AK616" s="62"/>
      <c r="AL616" s="62"/>
    </row>
    <row r="617">
      <c r="AK617" s="62"/>
      <c r="AL617" s="62"/>
    </row>
    <row r="618">
      <c r="AK618" s="62"/>
      <c r="AL618" s="62"/>
    </row>
    <row r="619">
      <c r="AK619" s="62"/>
      <c r="AL619" s="62"/>
    </row>
    <row r="620">
      <c r="AK620" s="62"/>
      <c r="AL620" s="62"/>
    </row>
    <row r="621">
      <c r="AK621" s="62"/>
      <c r="AL621" s="62"/>
    </row>
    <row r="622">
      <c r="AK622" s="62"/>
      <c r="AL622" s="62"/>
    </row>
    <row r="623">
      <c r="AK623" s="62"/>
      <c r="AL623" s="62"/>
    </row>
    <row r="624">
      <c r="AK624" s="62"/>
      <c r="AL624" s="62"/>
    </row>
    <row r="625">
      <c r="AK625" s="62"/>
      <c r="AL625" s="62"/>
    </row>
    <row r="626">
      <c r="AK626" s="62"/>
      <c r="AL626" s="62"/>
    </row>
    <row r="627">
      <c r="AK627" s="62"/>
      <c r="AL627" s="62"/>
    </row>
    <row r="628">
      <c r="AK628" s="62"/>
      <c r="AL628" s="62"/>
    </row>
    <row r="629">
      <c r="AK629" s="62"/>
      <c r="AL629" s="62"/>
    </row>
    <row r="630">
      <c r="AK630" s="62"/>
      <c r="AL630" s="62"/>
    </row>
    <row r="631">
      <c r="AK631" s="62"/>
      <c r="AL631" s="62"/>
    </row>
    <row r="632">
      <c r="AK632" s="62"/>
      <c r="AL632" s="62"/>
    </row>
    <row r="633">
      <c r="AK633" s="62"/>
      <c r="AL633" s="62"/>
    </row>
    <row r="634">
      <c r="AK634" s="62"/>
      <c r="AL634" s="62"/>
    </row>
    <row r="635">
      <c r="AK635" s="62"/>
      <c r="AL635" s="62"/>
    </row>
    <row r="636">
      <c r="AK636" s="62"/>
      <c r="AL636" s="62"/>
    </row>
    <row r="637">
      <c r="AK637" s="62"/>
      <c r="AL637" s="62"/>
    </row>
    <row r="638">
      <c r="AK638" s="62"/>
      <c r="AL638" s="62"/>
    </row>
    <row r="639">
      <c r="AK639" s="62"/>
      <c r="AL639" s="62"/>
    </row>
    <row r="640">
      <c r="AK640" s="62"/>
      <c r="AL640" s="62"/>
    </row>
    <row r="641">
      <c r="AK641" s="62"/>
      <c r="AL641" s="62"/>
    </row>
    <row r="642">
      <c r="AK642" s="62"/>
      <c r="AL642" s="62"/>
    </row>
    <row r="643">
      <c r="AK643" s="62"/>
      <c r="AL643" s="62"/>
    </row>
    <row r="644">
      <c r="AK644" s="62"/>
      <c r="AL644" s="62"/>
    </row>
    <row r="645">
      <c r="AK645" s="62"/>
      <c r="AL645" s="62"/>
    </row>
    <row r="646">
      <c r="AK646" s="62"/>
      <c r="AL646" s="62"/>
    </row>
    <row r="647">
      <c r="AK647" s="62"/>
      <c r="AL647" s="62"/>
    </row>
    <row r="648">
      <c r="AK648" s="62"/>
      <c r="AL648" s="62"/>
    </row>
    <row r="649">
      <c r="AK649" s="62"/>
      <c r="AL649" s="62"/>
    </row>
    <row r="650">
      <c r="AK650" s="62"/>
      <c r="AL650" s="62"/>
    </row>
    <row r="651">
      <c r="AK651" s="62"/>
      <c r="AL651" s="62"/>
    </row>
    <row r="652">
      <c r="AK652" s="62"/>
      <c r="AL652" s="62"/>
    </row>
    <row r="653">
      <c r="AK653" s="62"/>
      <c r="AL653" s="62"/>
    </row>
    <row r="654">
      <c r="AK654" s="62"/>
      <c r="AL654" s="62"/>
    </row>
    <row r="655">
      <c r="AK655" s="62"/>
      <c r="AL655" s="62"/>
    </row>
    <row r="656">
      <c r="AK656" s="62"/>
      <c r="AL656" s="62"/>
    </row>
    <row r="657">
      <c r="AK657" s="62"/>
      <c r="AL657" s="62"/>
    </row>
    <row r="658">
      <c r="AK658" s="62"/>
      <c r="AL658" s="62"/>
    </row>
    <row r="659">
      <c r="AK659" s="62"/>
      <c r="AL659" s="62"/>
    </row>
    <row r="660">
      <c r="AK660" s="62"/>
      <c r="AL660" s="62"/>
    </row>
    <row r="661">
      <c r="AK661" s="62"/>
      <c r="AL661" s="62"/>
    </row>
    <row r="662">
      <c r="AK662" s="62"/>
      <c r="AL662" s="62"/>
    </row>
    <row r="663">
      <c r="AK663" s="62"/>
      <c r="AL663" s="62"/>
    </row>
    <row r="664">
      <c r="AK664" s="62"/>
      <c r="AL664" s="62"/>
    </row>
    <row r="665">
      <c r="AK665" s="62"/>
      <c r="AL665" s="62"/>
    </row>
    <row r="666">
      <c r="AK666" s="62"/>
      <c r="AL666" s="62"/>
    </row>
    <row r="667">
      <c r="AK667" s="62"/>
      <c r="AL667" s="62"/>
    </row>
    <row r="668">
      <c r="AK668" s="62"/>
      <c r="AL668" s="62"/>
    </row>
    <row r="669">
      <c r="AK669" s="62"/>
      <c r="AL669" s="62"/>
    </row>
    <row r="670">
      <c r="AK670" s="62"/>
      <c r="AL670" s="62"/>
    </row>
    <row r="671">
      <c r="AK671" s="62"/>
      <c r="AL671" s="62"/>
    </row>
    <row r="672">
      <c r="AK672" s="62"/>
      <c r="AL672" s="62"/>
    </row>
    <row r="673">
      <c r="AK673" s="62"/>
      <c r="AL673" s="62"/>
    </row>
    <row r="674">
      <c r="AK674" s="62"/>
      <c r="AL674" s="62"/>
    </row>
    <row r="675">
      <c r="AK675" s="62"/>
      <c r="AL675" s="62"/>
    </row>
    <row r="676">
      <c r="AK676" s="62"/>
      <c r="AL676" s="62"/>
    </row>
    <row r="677">
      <c r="AK677" s="62"/>
      <c r="AL677" s="62"/>
    </row>
    <row r="678">
      <c r="AK678" s="62"/>
      <c r="AL678" s="62"/>
    </row>
    <row r="679">
      <c r="AK679" s="62"/>
      <c r="AL679" s="62"/>
    </row>
    <row r="680">
      <c r="AK680" s="62"/>
      <c r="AL680" s="62"/>
    </row>
    <row r="681">
      <c r="AK681" s="62"/>
      <c r="AL681" s="62"/>
    </row>
    <row r="682">
      <c r="AK682" s="62"/>
      <c r="AL682" s="62"/>
    </row>
    <row r="683">
      <c r="AK683" s="62"/>
      <c r="AL683" s="62"/>
    </row>
    <row r="684">
      <c r="AK684" s="62"/>
      <c r="AL684" s="62"/>
    </row>
    <row r="685">
      <c r="AK685" s="62"/>
      <c r="AL685" s="62"/>
    </row>
    <row r="686">
      <c r="AK686" s="62"/>
      <c r="AL686" s="62"/>
    </row>
    <row r="687">
      <c r="AK687" s="62"/>
      <c r="AL687" s="62"/>
    </row>
    <row r="688">
      <c r="AK688" s="62"/>
      <c r="AL688" s="62"/>
    </row>
    <row r="689">
      <c r="AK689" s="62"/>
      <c r="AL689" s="62"/>
    </row>
    <row r="690">
      <c r="AK690" s="62"/>
      <c r="AL690" s="62"/>
    </row>
    <row r="691">
      <c r="AK691" s="62"/>
      <c r="AL691" s="62"/>
    </row>
    <row r="692">
      <c r="AK692" s="62"/>
      <c r="AL692" s="62"/>
    </row>
    <row r="693">
      <c r="AK693" s="62"/>
      <c r="AL693" s="62"/>
    </row>
    <row r="694">
      <c r="AK694" s="62"/>
      <c r="AL694" s="62"/>
    </row>
    <row r="695">
      <c r="AK695" s="62"/>
      <c r="AL695" s="62"/>
    </row>
    <row r="696">
      <c r="AK696" s="62"/>
      <c r="AL696" s="62"/>
    </row>
    <row r="697">
      <c r="AK697" s="62"/>
      <c r="AL697" s="62"/>
    </row>
    <row r="698">
      <c r="AK698" s="62"/>
      <c r="AL698" s="62"/>
    </row>
    <row r="699">
      <c r="AK699" s="62"/>
      <c r="AL699" s="62"/>
    </row>
    <row r="700">
      <c r="AK700" s="62"/>
      <c r="AL700" s="62"/>
    </row>
    <row r="701">
      <c r="AK701" s="62"/>
      <c r="AL701" s="62"/>
    </row>
    <row r="702">
      <c r="AK702" s="62"/>
      <c r="AL702" s="62"/>
    </row>
    <row r="703">
      <c r="AK703" s="62"/>
      <c r="AL703" s="62"/>
    </row>
    <row r="704">
      <c r="AK704" s="62"/>
      <c r="AL704" s="62"/>
    </row>
    <row r="705">
      <c r="AK705" s="62"/>
      <c r="AL705" s="62"/>
    </row>
    <row r="706">
      <c r="AK706" s="62"/>
      <c r="AL706" s="62"/>
    </row>
    <row r="707">
      <c r="AK707" s="62"/>
      <c r="AL707" s="62"/>
    </row>
    <row r="708">
      <c r="AK708" s="62"/>
      <c r="AL708" s="62"/>
    </row>
    <row r="709">
      <c r="AK709" s="62"/>
      <c r="AL709" s="62"/>
    </row>
    <row r="710">
      <c r="AK710" s="62"/>
      <c r="AL710" s="62"/>
    </row>
    <row r="711">
      <c r="AK711" s="62"/>
      <c r="AL711" s="62"/>
    </row>
    <row r="712">
      <c r="AK712" s="62"/>
      <c r="AL712" s="62"/>
    </row>
    <row r="713">
      <c r="AK713" s="62"/>
      <c r="AL713" s="62"/>
    </row>
    <row r="714">
      <c r="AK714" s="62"/>
      <c r="AL714" s="62"/>
    </row>
    <row r="715">
      <c r="AK715" s="62"/>
      <c r="AL715" s="62"/>
    </row>
    <row r="716">
      <c r="AK716" s="62"/>
      <c r="AL716" s="62"/>
    </row>
    <row r="717">
      <c r="AK717" s="62"/>
      <c r="AL717" s="62"/>
    </row>
    <row r="718">
      <c r="AK718" s="62"/>
      <c r="AL718" s="62"/>
    </row>
    <row r="719">
      <c r="AK719" s="62"/>
      <c r="AL719" s="62"/>
    </row>
    <row r="720">
      <c r="AK720" s="62"/>
      <c r="AL720" s="62"/>
    </row>
    <row r="721">
      <c r="AK721" s="62"/>
      <c r="AL721" s="62"/>
    </row>
    <row r="722">
      <c r="AK722" s="62"/>
      <c r="AL722" s="62"/>
    </row>
    <row r="723">
      <c r="AK723" s="62"/>
      <c r="AL723" s="62"/>
    </row>
    <row r="724">
      <c r="AK724" s="62"/>
      <c r="AL724" s="62"/>
    </row>
    <row r="725">
      <c r="AK725" s="62"/>
      <c r="AL725" s="62"/>
    </row>
    <row r="726">
      <c r="AK726" s="62"/>
      <c r="AL726" s="62"/>
    </row>
    <row r="727">
      <c r="AK727" s="62"/>
      <c r="AL727" s="62"/>
    </row>
    <row r="728">
      <c r="AK728" s="62"/>
      <c r="AL728" s="62"/>
    </row>
    <row r="729">
      <c r="AK729" s="62"/>
      <c r="AL729" s="62"/>
    </row>
    <row r="730">
      <c r="AK730" s="62"/>
      <c r="AL730" s="62"/>
    </row>
    <row r="731">
      <c r="AK731" s="62"/>
      <c r="AL731" s="62"/>
    </row>
    <row r="732">
      <c r="AK732" s="62"/>
      <c r="AL732" s="62"/>
    </row>
    <row r="733">
      <c r="AK733" s="62"/>
      <c r="AL733" s="62"/>
    </row>
    <row r="734">
      <c r="AK734" s="62"/>
      <c r="AL734" s="62"/>
    </row>
    <row r="735">
      <c r="AK735" s="62"/>
      <c r="AL735" s="62"/>
    </row>
    <row r="736">
      <c r="AK736" s="62"/>
      <c r="AL736" s="62"/>
    </row>
    <row r="737">
      <c r="AK737" s="62"/>
      <c r="AL737" s="62"/>
    </row>
    <row r="738">
      <c r="AK738" s="62"/>
      <c r="AL738" s="62"/>
    </row>
    <row r="739">
      <c r="AK739" s="62"/>
      <c r="AL739" s="62"/>
    </row>
    <row r="740">
      <c r="AK740" s="62"/>
      <c r="AL740" s="62"/>
    </row>
    <row r="741">
      <c r="AK741" s="62"/>
      <c r="AL741" s="62"/>
    </row>
    <row r="742">
      <c r="AK742" s="62"/>
      <c r="AL742" s="62"/>
    </row>
    <row r="743">
      <c r="AK743" s="62"/>
      <c r="AL743" s="62"/>
    </row>
    <row r="744">
      <c r="AK744" s="62"/>
      <c r="AL744" s="62"/>
    </row>
    <row r="745">
      <c r="AK745" s="62"/>
      <c r="AL745" s="62"/>
    </row>
    <row r="746">
      <c r="AK746" s="62"/>
      <c r="AL746" s="62"/>
    </row>
    <row r="747">
      <c r="AK747" s="62"/>
      <c r="AL747" s="62"/>
    </row>
    <row r="748">
      <c r="AK748" s="62"/>
      <c r="AL748" s="62"/>
    </row>
    <row r="749">
      <c r="AK749" s="62"/>
      <c r="AL749" s="62"/>
    </row>
    <row r="750">
      <c r="AK750" s="62"/>
      <c r="AL750" s="62"/>
    </row>
    <row r="751">
      <c r="AK751" s="62"/>
      <c r="AL751" s="62"/>
    </row>
    <row r="752">
      <c r="AK752" s="62"/>
      <c r="AL752" s="62"/>
    </row>
    <row r="753">
      <c r="AK753" s="62"/>
      <c r="AL753" s="62"/>
    </row>
    <row r="754">
      <c r="AK754" s="62"/>
      <c r="AL754" s="62"/>
    </row>
    <row r="755">
      <c r="AK755" s="62"/>
      <c r="AL755" s="62"/>
    </row>
    <row r="756">
      <c r="AK756" s="62"/>
      <c r="AL756" s="62"/>
    </row>
    <row r="757">
      <c r="AK757" s="62"/>
      <c r="AL757" s="62"/>
    </row>
    <row r="758">
      <c r="AK758" s="62"/>
      <c r="AL758" s="62"/>
    </row>
    <row r="759">
      <c r="AK759" s="62"/>
      <c r="AL759" s="62"/>
    </row>
    <row r="760">
      <c r="AK760" s="62"/>
      <c r="AL760" s="62"/>
    </row>
    <row r="761">
      <c r="AK761" s="62"/>
      <c r="AL761" s="62"/>
    </row>
    <row r="762">
      <c r="AK762" s="62"/>
      <c r="AL762" s="62"/>
    </row>
    <row r="763">
      <c r="AK763" s="62"/>
      <c r="AL763" s="62"/>
    </row>
    <row r="764">
      <c r="AK764" s="62"/>
      <c r="AL764" s="62"/>
    </row>
    <row r="765">
      <c r="AK765" s="62"/>
      <c r="AL765" s="62"/>
    </row>
    <row r="766">
      <c r="AK766" s="62"/>
      <c r="AL766" s="62"/>
    </row>
    <row r="767">
      <c r="AK767" s="62"/>
      <c r="AL767" s="62"/>
    </row>
    <row r="768">
      <c r="AK768" s="62"/>
      <c r="AL768" s="62"/>
    </row>
    <row r="769">
      <c r="AK769" s="62"/>
      <c r="AL769" s="62"/>
    </row>
    <row r="770">
      <c r="AK770" s="62"/>
      <c r="AL770" s="62"/>
    </row>
    <row r="771">
      <c r="AK771" s="62"/>
      <c r="AL771" s="62"/>
    </row>
    <row r="772">
      <c r="AK772" s="62"/>
      <c r="AL772" s="62"/>
    </row>
    <row r="773">
      <c r="AK773" s="62"/>
      <c r="AL773" s="62"/>
    </row>
    <row r="774">
      <c r="AK774" s="62"/>
      <c r="AL774" s="62"/>
    </row>
    <row r="775">
      <c r="AK775" s="62"/>
      <c r="AL775" s="62"/>
    </row>
    <row r="776">
      <c r="AK776" s="62"/>
      <c r="AL776" s="62"/>
    </row>
    <row r="777">
      <c r="AK777" s="62"/>
      <c r="AL777" s="62"/>
    </row>
    <row r="778">
      <c r="AK778" s="62"/>
      <c r="AL778" s="62"/>
    </row>
    <row r="779">
      <c r="AK779" s="62"/>
      <c r="AL779" s="62"/>
    </row>
    <row r="780">
      <c r="AK780" s="62"/>
      <c r="AL780" s="62"/>
    </row>
    <row r="781">
      <c r="AK781" s="62"/>
      <c r="AL781" s="62"/>
    </row>
    <row r="782">
      <c r="AK782" s="62"/>
      <c r="AL782" s="62"/>
    </row>
    <row r="783">
      <c r="AK783" s="62"/>
      <c r="AL783" s="62"/>
    </row>
    <row r="784">
      <c r="AK784" s="62"/>
      <c r="AL784" s="62"/>
    </row>
    <row r="785">
      <c r="AK785" s="62"/>
      <c r="AL785" s="62"/>
    </row>
    <row r="786">
      <c r="AK786" s="62"/>
      <c r="AL786" s="62"/>
    </row>
    <row r="787">
      <c r="AK787" s="62"/>
      <c r="AL787" s="62"/>
    </row>
    <row r="788">
      <c r="AK788" s="62"/>
      <c r="AL788" s="62"/>
    </row>
    <row r="789">
      <c r="AK789" s="62"/>
      <c r="AL789" s="62"/>
    </row>
    <row r="790">
      <c r="AK790" s="62"/>
      <c r="AL790" s="62"/>
    </row>
    <row r="791">
      <c r="AK791" s="62"/>
      <c r="AL791" s="62"/>
    </row>
    <row r="792">
      <c r="AK792" s="62"/>
      <c r="AL792" s="62"/>
    </row>
    <row r="793">
      <c r="AK793" s="62"/>
      <c r="AL793" s="62"/>
    </row>
    <row r="794">
      <c r="AK794" s="62"/>
      <c r="AL794" s="62"/>
    </row>
    <row r="795">
      <c r="AK795" s="62"/>
      <c r="AL795" s="62"/>
    </row>
    <row r="796">
      <c r="AK796" s="62"/>
      <c r="AL796" s="62"/>
    </row>
    <row r="797">
      <c r="AK797" s="62"/>
      <c r="AL797" s="62"/>
    </row>
    <row r="798">
      <c r="AK798" s="62"/>
      <c r="AL798" s="62"/>
    </row>
    <row r="799">
      <c r="AK799" s="62"/>
      <c r="AL799" s="62"/>
    </row>
    <row r="800">
      <c r="AK800" s="62"/>
      <c r="AL800" s="62"/>
    </row>
    <row r="801">
      <c r="AK801" s="62"/>
      <c r="AL801" s="62"/>
    </row>
    <row r="802">
      <c r="AK802" s="62"/>
      <c r="AL802" s="62"/>
    </row>
    <row r="803">
      <c r="AK803" s="62"/>
      <c r="AL803" s="62"/>
    </row>
    <row r="804">
      <c r="AK804" s="62"/>
      <c r="AL804" s="62"/>
    </row>
    <row r="805">
      <c r="AK805" s="62"/>
      <c r="AL805" s="62"/>
    </row>
    <row r="806">
      <c r="AK806" s="62"/>
      <c r="AL806" s="62"/>
    </row>
    <row r="807">
      <c r="AK807" s="62"/>
      <c r="AL807" s="62"/>
    </row>
    <row r="808">
      <c r="AK808" s="62"/>
      <c r="AL808" s="62"/>
    </row>
    <row r="809">
      <c r="AK809" s="62"/>
      <c r="AL809" s="62"/>
    </row>
    <row r="810">
      <c r="AK810" s="62"/>
      <c r="AL810" s="62"/>
    </row>
    <row r="811">
      <c r="AK811" s="62"/>
      <c r="AL811" s="62"/>
    </row>
    <row r="812">
      <c r="AK812" s="62"/>
      <c r="AL812" s="62"/>
    </row>
    <row r="813">
      <c r="AK813" s="62"/>
      <c r="AL813" s="62"/>
    </row>
    <row r="814">
      <c r="AK814" s="62"/>
      <c r="AL814" s="62"/>
    </row>
    <row r="815">
      <c r="AK815" s="62"/>
      <c r="AL815" s="62"/>
    </row>
    <row r="816">
      <c r="AK816" s="62"/>
      <c r="AL816" s="62"/>
    </row>
    <row r="817">
      <c r="AK817" s="62"/>
      <c r="AL817" s="62"/>
    </row>
    <row r="818">
      <c r="AK818" s="62"/>
      <c r="AL818" s="62"/>
    </row>
    <row r="819">
      <c r="AK819" s="62"/>
      <c r="AL819" s="62"/>
    </row>
    <row r="820">
      <c r="AK820" s="62"/>
      <c r="AL820" s="62"/>
    </row>
    <row r="821">
      <c r="AK821" s="62"/>
      <c r="AL821" s="62"/>
    </row>
    <row r="822">
      <c r="AK822" s="62"/>
      <c r="AL822" s="62"/>
    </row>
    <row r="823">
      <c r="AK823" s="62"/>
      <c r="AL823" s="62"/>
    </row>
    <row r="824">
      <c r="AK824" s="62"/>
      <c r="AL824" s="62"/>
    </row>
    <row r="825">
      <c r="AK825" s="62"/>
      <c r="AL825" s="62"/>
    </row>
    <row r="826">
      <c r="AK826" s="62"/>
      <c r="AL826" s="62"/>
    </row>
    <row r="827">
      <c r="AK827" s="62"/>
      <c r="AL827" s="62"/>
    </row>
    <row r="828">
      <c r="AK828" s="62"/>
      <c r="AL828" s="62"/>
    </row>
    <row r="829">
      <c r="AK829" s="62"/>
      <c r="AL829" s="62"/>
    </row>
    <row r="830">
      <c r="AK830" s="62"/>
      <c r="AL830" s="62"/>
    </row>
    <row r="831">
      <c r="AK831" s="62"/>
      <c r="AL831" s="62"/>
    </row>
    <row r="832">
      <c r="AK832" s="62"/>
      <c r="AL832" s="62"/>
    </row>
    <row r="833">
      <c r="AK833" s="62"/>
      <c r="AL833" s="62"/>
    </row>
    <row r="834">
      <c r="AK834" s="62"/>
      <c r="AL834" s="62"/>
    </row>
    <row r="835">
      <c r="AK835" s="62"/>
      <c r="AL835" s="62"/>
    </row>
    <row r="836">
      <c r="AK836" s="62"/>
      <c r="AL836" s="62"/>
    </row>
    <row r="837">
      <c r="AK837" s="62"/>
      <c r="AL837" s="62"/>
    </row>
    <row r="838">
      <c r="AK838" s="62"/>
      <c r="AL838" s="62"/>
    </row>
    <row r="839">
      <c r="AK839" s="62"/>
      <c r="AL839" s="62"/>
    </row>
    <row r="840">
      <c r="AK840" s="62"/>
      <c r="AL840" s="62"/>
    </row>
    <row r="841">
      <c r="AK841" s="62"/>
      <c r="AL841" s="62"/>
    </row>
    <row r="842">
      <c r="AK842" s="62"/>
      <c r="AL842" s="62"/>
    </row>
    <row r="843">
      <c r="AK843" s="62"/>
      <c r="AL843" s="62"/>
    </row>
    <row r="844">
      <c r="AK844" s="62"/>
      <c r="AL844" s="62"/>
    </row>
    <row r="845">
      <c r="AK845" s="62"/>
      <c r="AL845" s="62"/>
    </row>
    <row r="846">
      <c r="AK846" s="62"/>
      <c r="AL846" s="62"/>
    </row>
    <row r="847">
      <c r="AK847" s="62"/>
      <c r="AL847" s="62"/>
    </row>
    <row r="848">
      <c r="AK848" s="62"/>
      <c r="AL848" s="62"/>
    </row>
    <row r="849">
      <c r="AK849" s="62"/>
      <c r="AL849" s="62"/>
    </row>
    <row r="850">
      <c r="AK850" s="62"/>
      <c r="AL850" s="62"/>
    </row>
    <row r="851">
      <c r="AK851" s="62"/>
      <c r="AL851" s="62"/>
    </row>
    <row r="852">
      <c r="AK852" s="62"/>
      <c r="AL852" s="62"/>
    </row>
    <row r="853">
      <c r="AK853" s="62"/>
      <c r="AL853" s="62"/>
    </row>
    <row r="854">
      <c r="AK854" s="62"/>
      <c r="AL854" s="62"/>
    </row>
    <row r="855">
      <c r="AK855" s="62"/>
      <c r="AL855" s="62"/>
    </row>
    <row r="856">
      <c r="AK856" s="62"/>
      <c r="AL856" s="62"/>
    </row>
    <row r="857">
      <c r="AK857" s="62"/>
      <c r="AL857" s="62"/>
    </row>
    <row r="858">
      <c r="AK858" s="62"/>
      <c r="AL858" s="62"/>
    </row>
    <row r="859">
      <c r="AK859" s="62"/>
      <c r="AL859" s="62"/>
    </row>
    <row r="860">
      <c r="AK860" s="62"/>
      <c r="AL860" s="62"/>
    </row>
    <row r="861">
      <c r="AK861" s="62"/>
      <c r="AL861" s="62"/>
    </row>
    <row r="862">
      <c r="AK862" s="62"/>
      <c r="AL862" s="62"/>
    </row>
    <row r="863">
      <c r="AK863" s="62"/>
      <c r="AL863" s="62"/>
    </row>
    <row r="864">
      <c r="AK864" s="62"/>
      <c r="AL864" s="62"/>
    </row>
    <row r="865">
      <c r="AK865" s="62"/>
      <c r="AL865" s="62"/>
    </row>
    <row r="866">
      <c r="AK866" s="62"/>
      <c r="AL866" s="62"/>
    </row>
    <row r="867">
      <c r="AK867" s="62"/>
      <c r="AL867" s="62"/>
    </row>
    <row r="868">
      <c r="AK868" s="62"/>
      <c r="AL868" s="62"/>
    </row>
    <row r="869">
      <c r="AK869" s="62"/>
      <c r="AL869" s="62"/>
    </row>
    <row r="870">
      <c r="AK870" s="62"/>
      <c r="AL870" s="62"/>
    </row>
    <row r="871">
      <c r="AK871" s="62"/>
      <c r="AL871" s="62"/>
    </row>
    <row r="872">
      <c r="AK872" s="62"/>
      <c r="AL872" s="62"/>
    </row>
    <row r="873">
      <c r="AK873" s="62"/>
      <c r="AL873" s="62"/>
    </row>
    <row r="874">
      <c r="AK874" s="62"/>
      <c r="AL874" s="62"/>
    </row>
    <row r="875">
      <c r="AK875" s="62"/>
      <c r="AL875" s="62"/>
    </row>
    <row r="876">
      <c r="AK876" s="62"/>
      <c r="AL876" s="62"/>
    </row>
    <row r="877">
      <c r="AK877" s="62"/>
      <c r="AL877" s="62"/>
    </row>
    <row r="878">
      <c r="AK878" s="62"/>
      <c r="AL878" s="62"/>
    </row>
    <row r="879">
      <c r="AK879" s="62"/>
      <c r="AL879" s="62"/>
    </row>
    <row r="880">
      <c r="AK880" s="62"/>
      <c r="AL880" s="62"/>
    </row>
    <row r="881">
      <c r="AK881" s="62"/>
      <c r="AL881" s="62"/>
    </row>
    <row r="882">
      <c r="AK882" s="62"/>
      <c r="AL882" s="62"/>
    </row>
    <row r="883">
      <c r="AK883" s="62"/>
      <c r="AL883" s="62"/>
    </row>
    <row r="884">
      <c r="AK884" s="62"/>
      <c r="AL884" s="62"/>
    </row>
    <row r="885">
      <c r="AK885" s="62"/>
      <c r="AL885" s="62"/>
    </row>
    <row r="886">
      <c r="AK886" s="62"/>
      <c r="AL886" s="62"/>
    </row>
    <row r="887">
      <c r="AK887" s="62"/>
      <c r="AL887" s="62"/>
    </row>
    <row r="888">
      <c r="AK888" s="62"/>
      <c r="AL888" s="62"/>
    </row>
    <row r="889">
      <c r="AK889" s="62"/>
      <c r="AL889" s="62"/>
    </row>
    <row r="890">
      <c r="AK890" s="62"/>
      <c r="AL890" s="62"/>
    </row>
    <row r="891">
      <c r="AK891" s="62"/>
      <c r="AL891" s="62"/>
    </row>
    <row r="892">
      <c r="AK892" s="62"/>
      <c r="AL892" s="62"/>
    </row>
    <row r="893">
      <c r="AK893" s="62"/>
      <c r="AL893" s="62"/>
    </row>
    <row r="894">
      <c r="AK894" s="62"/>
      <c r="AL894" s="62"/>
    </row>
    <row r="895">
      <c r="AK895" s="62"/>
      <c r="AL895" s="62"/>
    </row>
    <row r="896">
      <c r="AK896" s="62"/>
      <c r="AL896" s="62"/>
    </row>
    <row r="897">
      <c r="AK897" s="62"/>
      <c r="AL897" s="62"/>
    </row>
    <row r="898">
      <c r="AK898" s="62"/>
      <c r="AL898" s="62"/>
    </row>
    <row r="899">
      <c r="AK899" s="62"/>
      <c r="AL899" s="62"/>
    </row>
    <row r="900">
      <c r="AK900" s="62"/>
      <c r="AL900" s="62"/>
    </row>
    <row r="901">
      <c r="AK901" s="62"/>
      <c r="AL901" s="62"/>
    </row>
    <row r="902">
      <c r="AK902" s="62"/>
      <c r="AL902" s="62"/>
    </row>
    <row r="903">
      <c r="AK903" s="62"/>
      <c r="AL903" s="62"/>
    </row>
    <row r="904">
      <c r="AK904" s="62"/>
      <c r="AL904" s="62"/>
    </row>
    <row r="905">
      <c r="AK905" s="62"/>
      <c r="AL905" s="62"/>
    </row>
    <row r="906">
      <c r="AK906" s="62"/>
      <c r="AL906" s="62"/>
    </row>
    <row r="907">
      <c r="AK907" s="62"/>
      <c r="AL907" s="62"/>
    </row>
    <row r="908">
      <c r="AK908" s="62"/>
      <c r="AL908" s="62"/>
    </row>
    <row r="909">
      <c r="AK909" s="62"/>
      <c r="AL909" s="62"/>
    </row>
    <row r="910">
      <c r="AK910" s="62"/>
      <c r="AL910" s="62"/>
    </row>
    <row r="911">
      <c r="AK911" s="62"/>
      <c r="AL911" s="62"/>
    </row>
    <row r="912">
      <c r="AK912" s="62"/>
      <c r="AL912" s="62"/>
    </row>
    <row r="913">
      <c r="AK913" s="62"/>
      <c r="AL913" s="62"/>
    </row>
    <row r="914">
      <c r="AK914" s="62"/>
      <c r="AL914" s="62"/>
    </row>
    <row r="915">
      <c r="AK915" s="62"/>
      <c r="AL915" s="62"/>
    </row>
    <row r="916">
      <c r="AK916" s="62"/>
      <c r="AL916" s="62"/>
    </row>
    <row r="917">
      <c r="AK917" s="62"/>
      <c r="AL917" s="62"/>
    </row>
    <row r="918">
      <c r="AK918" s="62"/>
      <c r="AL918" s="62"/>
    </row>
    <row r="919">
      <c r="AK919" s="62"/>
      <c r="AL919" s="62"/>
    </row>
    <row r="920">
      <c r="AK920" s="62"/>
      <c r="AL920" s="62"/>
    </row>
    <row r="921">
      <c r="AK921" s="62"/>
      <c r="AL921" s="62"/>
    </row>
    <row r="922">
      <c r="AK922" s="62"/>
      <c r="AL922" s="62"/>
    </row>
    <row r="923">
      <c r="AK923" s="62"/>
      <c r="AL923" s="62"/>
    </row>
    <row r="924">
      <c r="AK924" s="62"/>
      <c r="AL924" s="62"/>
    </row>
    <row r="925">
      <c r="AK925" s="62"/>
      <c r="AL925" s="62"/>
    </row>
    <row r="926">
      <c r="AK926" s="62"/>
      <c r="AL926" s="62"/>
    </row>
    <row r="927">
      <c r="AK927" s="62"/>
      <c r="AL927" s="62"/>
    </row>
    <row r="928">
      <c r="AK928" s="62"/>
      <c r="AL928" s="62"/>
    </row>
    <row r="929">
      <c r="AK929" s="62"/>
      <c r="AL929" s="62"/>
    </row>
    <row r="930">
      <c r="AK930" s="62"/>
      <c r="AL930" s="62"/>
    </row>
    <row r="931">
      <c r="AK931" s="62"/>
      <c r="AL931" s="62"/>
    </row>
    <row r="932">
      <c r="AK932" s="62"/>
      <c r="AL932" s="62"/>
    </row>
    <row r="933">
      <c r="AK933" s="62"/>
      <c r="AL933" s="62"/>
    </row>
    <row r="934">
      <c r="AK934" s="62"/>
      <c r="AL934" s="62"/>
    </row>
    <row r="935">
      <c r="AK935" s="62"/>
      <c r="AL935" s="62"/>
    </row>
    <row r="936">
      <c r="AK936" s="62"/>
      <c r="AL936" s="62"/>
    </row>
    <row r="937">
      <c r="AK937" s="62"/>
      <c r="AL937" s="62"/>
    </row>
    <row r="938">
      <c r="AK938" s="62"/>
      <c r="AL938" s="62"/>
    </row>
    <row r="939">
      <c r="AK939" s="62"/>
      <c r="AL939" s="62"/>
    </row>
    <row r="940">
      <c r="AK940" s="62"/>
      <c r="AL940" s="62"/>
    </row>
    <row r="941">
      <c r="AK941" s="62"/>
      <c r="AL941" s="62"/>
    </row>
    <row r="942">
      <c r="AK942" s="62"/>
      <c r="AL942" s="62"/>
    </row>
    <row r="943">
      <c r="AK943" s="62"/>
      <c r="AL943" s="62"/>
    </row>
    <row r="944">
      <c r="AK944" s="62"/>
      <c r="AL944" s="62"/>
    </row>
    <row r="945">
      <c r="AK945" s="62"/>
      <c r="AL945" s="62"/>
    </row>
    <row r="946">
      <c r="AK946" s="62"/>
      <c r="AL946" s="62"/>
    </row>
    <row r="947">
      <c r="AK947" s="62"/>
      <c r="AL947" s="62"/>
    </row>
    <row r="948">
      <c r="AK948" s="62"/>
      <c r="AL948" s="62"/>
    </row>
    <row r="949">
      <c r="AK949" s="62"/>
      <c r="AL949" s="62"/>
    </row>
    <row r="950">
      <c r="AK950" s="62"/>
      <c r="AL950" s="62"/>
    </row>
    <row r="951">
      <c r="AK951" s="62"/>
      <c r="AL951" s="62"/>
    </row>
    <row r="952">
      <c r="AK952" s="62"/>
      <c r="AL952" s="62"/>
    </row>
    <row r="953">
      <c r="AK953" s="62"/>
      <c r="AL953" s="62"/>
    </row>
    <row r="954">
      <c r="AK954" s="62"/>
      <c r="AL954" s="62"/>
    </row>
    <row r="955">
      <c r="AK955" s="62"/>
      <c r="AL955" s="62"/>
    </row>
    <row r="956">
      <c r="AK956" s="62"/>
      <c r="AL956" s="62"/>
    </row>
    <row r="957">
      <c r="AK957" s="62"/>
      <c r="AL957" s="62"/>
    </row>
    <row r="958">
      <c r="AK958" s="62"/>
      <c r="AL958" s="62"/>
    </row>
    <row r="959">
      <c r="AK959" s="62"/>
      <c r="AL959" s="62"/>
    </row>
    <row r="960">
      <c r="AK960" s="62"/>
      <c r="AL960" s="62"/>
    </row>
    <row r="961">
      <c r="AK961" s="62"/>
      <c r="AL961" s="62"/>
    </row>
    <row r="962">
      <c r="AK962" s="62"/>
      <c r="AL962" s="62"/>
    </row>
    <row r="963">
      <c r="AK963" s="62"/>
      <c r="AL963" s="62"/>
    </row>
    <row r="964">
      <c r="AK964" s="62"/>
      <c r="AL964" s="62"/>
    </row>
    <row r="965">
      <c r="AK965" s="62"/>
      <c r="AL965" s="62"/>
    </row>
    <row r="966">
      <c r="AK966" s="62"/>
      <c r="AL966" s="62"/>
    </row>
    <row r="967">
      <c r="AK967" s="62"/>
      <c r="AL967" s="62"/>
    </row>
    <row r="968">
      <c r="AK968" s="62"/>
      <c r="AL968" s="62"/>
    </row>
    <row r="969">
      <c r="AK969" s="62"/>
      <c r="AL969" s="62"/>
    </row>
    <row r="970">
      <c r="AK970" s="62"/>
      <c r="AL970" s="62"/>
    </row>
    <row r="971">
      <c r="AK971" s="62"/>
      <c r="AL971" s="62"/>
    </row>
    <row r="972">
      <c r="AK972" s="62"/>
      <c r="AL972" s="62"/>
    </row>
    <row r="973">
      <c r="AK973" s="62"/>
      <c r="AL973" s="62"/>
    </row>
    <row r="974">
      <c r="AK974" s="62"/>
      <c r="AL974" s="62"/>
    </row>
    <row r="975">
      <c r="AK975" s="62"/>
      <c r="AL975" s="62"/>
    </row>
    <row r="976">
      <c r="AK976" s="62"/>
      <c r="AL976" s="62"/>
    </row>
    <row r="977">
      <c r="AK977" s="62"/>
      <c r="AL977" s="62"/>
    </row>
    <row r="978">
      <c r="AK978" s="62"/>
      <c r="AL978" s="62"/>
    </row>
    <row r="979">
      <c r="AK979" s="62"/>
      <c r="AL979" s="62"/>
    </row>
    <row r="980">
      <c r="AK980" s="62"/>
      <c r="AL980" s="62"/>
    </row>
    <row r="981">
      <c r="AK981" s="62"/>
      <c r="AL981" s="62"/>
    </row>
    <row r="982">
      <c r="AK982" s="62"/>
      <c r="AL982" s="62"/>
    </row>
    <row r="983">
      <c r="AK983" s="62"/>
      <c r="AL983" s="62"/>
    </row>
    <row r="984">
      <c r="AK984" s="62"/>
      <c r="AL984" s="62"/>
    </row>
    <row r="985">
      <c r="AK985" s="62"/>
      <c r="AL985" s="62"/>
    </row>
    <row r="986">
      <c r="AK986" s="62"/>
      <c r="AL986" s="62"/>
    </row>
    <row r="987">
      <c r="AK987" s="62"/>
      <c r="AL987" s="62"/>
    </row>
    <row r="988">
      <c r="AK988" s="62"/>
      <c r="AL988" s="62"/>
    </row>
    <row r="989">
      <c r="AK989" s="62"/>
      <c r="AL989" s="62"/>
    </row>
    <row r="990">
      <c r="AK990" s="62"/>
      <c r="AL990" s="62"/>
    </row>
    <row r="991">
      <c r="AK991" s="62"/>
      <c r="AL991" s="62"/>
    </row>
    <row r="992">
      <c r="AK992" s="62"/>
      <c r="AL992" s="62"/>
    </row>
    <row r="993">
      <c r="AK993" s="62"/>
      <c r="AL993" s="62"/>
    </row>
    <row r="994">
      <c r="AK994" s="62"/>
      <c r="AL994" s="62"/>
    </row>
    <row r="995">
      <c r="AK995" s="62"/>
      <c r="AL995" s="62"/>
    </row>
    <row r="996">
      <c r="AK996" s="62"/>
      <c r="AL996" s="62"/>
    </row>
    <row r="997">
      <c r="AK997" s="62"/>
      <c r="AL997" s="62"/>
    </row>
    <row r="998">
      <c r="AK998" s="62"/>
      <c r="AL998" s="62"/>
    </row>
    <row r="999">
      <c r="AK999" s="62"/>
      <c r="AL999" s="62"/>
    </row>
    <row r="1000">
      <c r="AK1000" s="62"/>
      <c r="AL1000" s="62"/>
    </row>
  </sheetData>
  <autoFilter ref="$CE$1:$DA$1000"/>
  <dataValidations>
    <dataValidation type="list" allowBlank="1" showErrorMessage="1" sqref="AN7">
      <formula1>"excellent,good,subpar,no match,no preference"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2.13"/>
    <col customWidth="1" min="2" max="2" width="14.5"/>
    <col customWidth="1" min="3" max="3" width="10.63"/>
    <col customWidth="1" min="4" max="4" width="15.63"/>
    <col customWidth="1" min="5" max="5" width="21.75"/>
    <col customWidth="1" min="9" max="9" width="18.38"/>
    <col customWidth="1" min="10" max="11" width="30.38"/>
    <col customWidth="1" min="15" max="15" width="15.7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7"/>
    <row r="18"/>
    <row r="19"/>
    <row r="20"/>
    <row r="21"/>
    <row r="22"/>
    <row r="23"/>
    <row r="24"/>
    <row r="25"/>
    <row r="26"/>
    <row r="27"/>
    <row r="28"/>
    <row r="29"/>
    <row r="30"/>
    <row r="32"/>
    <row r="33"/>
    <row r="34"/>
    <row r="35"/>
    <row r="36"/>
    <row r="37"/>
    <row r="38"/>
    <row r="39"/>
    <row r="40"/>
    <row r="41"/>
    <row r="42"/>
    <row r="43"/>
    <row r="44"/>
    <row r="45"/>
    <row r="47"/>
    <row r="48"/>
    <row r="49"/>
    <row r="50"/>
    <row r="51"/>
    <row r="52"/>
    <row r="53"/>
    <row r="54"/>
    <row r="55"/>
    <row r="56"/>
    <row r="57"/>
    <row r="58"/>
    <row r="59"/>
    <row r="60"/>
    <row r="64"/>
    <row r="65"/>
    <row r="66"/>
    <row r="67"/>
    <row r="68"/>
    <row r="69"/>
    <row r="70"/>
    <row r="71"/>
    <row r="72"/>
    <row r="73"/>
    <row r="74"/>
    <row r="75"/>
    <row r="76"/>
    <row r="77"/>
  </sheetData>
  <drawing r:id="rId10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7" t="s">
        <v>544</v>
      </c>
      <c r="B1" s="67" t="s">
        <v>582</v>
      </c>
      <c r="C1" s="67" t="s">
        <v>583</v>
      </c>
      <c r="D1" s="67" t="s">
        <v>584</v>
      </c>
      <c r="E1" s="67" t="s">
        <v>585</v>
      </c>
      <c r="F1" s="67" t="s">
        <v>586</v>
      </c>
      <c r="G1" s="67" t="s">
        <v>587</v>
      </c>
      <c r="H1" s="67" t="s">
        <v>588</v>
      </c>
      <c r="I1" s="67" t="s">
        <v>589</v>
      </c>
      <c r="J1" s="67" t="s">
        <v>590</v>
      </c>
      <c r="K1" s="67" t="s">
        <v>591</v>
      </c>
      <c r="L1" s="67" t="s">
        <v>592</v>
      </c>
      <c r="M1" s="67" t="s">
        <v>593</v>
      </c>
      <c r="N1" s="67" t="s">
        <v>594</v>
      </c>
      <c r="O1" s="67" t="s">
        <v>595</v>
      </c>
      <c r="P1" s="67" t="s">
        <v>596</v>
      </c>
      <c r="Q1" s="67" t="s">
        <v>597</v>
      </c>
    </row>
    <row r="2">
      <c r="A2" s="22" t="str">
        <f t="array" ref="A2:A13">UNIQUE(Blad1!C2:C1000)</f>
        <v>Namen</v>
      </c>
      <c r="B2" s="23">
        <f t="array" ref="B2:B13">UNIQUE(Blad1!Y2:Y1000)</f>
        <v>5.966666667</v>
      </c>
      <c r="C2" s="23">
        <f t="shared" ref="C2:C12" si="1">$B2*1-64.95</f>
        <v>-58.98333333</v>
      </c>
      <c r="D2" s="23">
        <f t="shared" ref="D2:D12" si="2">$B2*2-64.95</f>
        <v>-53.01666667</v>
      </c>
      <c r="E2" s="23">
        <f t="shared" ref="E2:E12" si="3">$B2*3-64.95</f>
        <v>-47.05</v>
      </c>
      <c r="F2" s="23">
        <f t="shared" ref="F2:F12" si="4">$B2*4-64.95</f>
        <v>-41.08333333</v>
      </c>
      <c r="G2" s="23">
        <f t="shared" ref="G2:G12" si="5">$B2*5-64.95</f>
        <v>-35.11666667</v>
      </c>
      <c r="H2" s="23">
        <f t="shared" ref="H2:H12" si="6">$B2*6-64.95</f>
        <v>-29.15</v>
      </c>
      <c r="I2" s="23">
        <f t="shared" ref="I2:I12" si="7">$B2*7-64.95</f>
        <v>-23.18333333</v>
      </c>
      <c r="J2" s="23">
        <f t="shared" ref="J2:J12" si="8">$B2*8-64.95</f>
        <v>-17.21666667</v>
      </c>
      <c r="K2" s="23">
        <f t="shared" ref="K2:K12" si="9">$B2*9-64.95</f>
        <v>-11.25</v>
      </c>
      <c r="L2" s="23">
        <f t="shared" ref="L2:L12" si="10">$B2*10-64.95</f>
        <v>-5.283333333</v>
      </c>
      <c r="M2" s="23">
        <f t="shared" ref="M2:M12" si="11">$B2*11-64.95</f>
        <v>0.6833333333</v>
      </c>
      <c r="N2" s="23">
        <f t="shared" ref="N2:N12" si="12">$B2*12-64.95</f>
        <v>6.65</v>
      </c>
      <c r="O2" s="23">
        <f t="shared" ref="O2:O12" si="13">$B2*13-64.95</f>
        <v>12.61666667</v>
      </c>
      <c r="P2" s="23">
        <f t="shared" ref="P2:P12" si="14">$B2*14-64.95</f>
        <v>18.58333333</v>
      </c>
      <c r="Q2" s="23">
        <f t="shared" ref="Q2:Q12" si="15">$B2*15-64.95</f>
        <v>24.55</v>
      </c>
    </row>
    <row r="3">
      <c r="A3" s="22" t="s">
        <v>28</v>
      </c>
      <c r="B3" s="23">
        <v>9.146341463414634</v>
      </c>
      <c r="C3" s="23">
        <f t="shared" si="1"/>
        <v>-55.80365854</v>
      </c>
      <c r="D3" s="23">
        <f t="shared" si="2"/>
        <v>-46.65731707</v>
      </c>
      <c r="E3" s="23">
        <f t="shared" si="3"/>
        <v>-37.51097561</v>
      </c>
      <c r="F3" s="23">
        <f t="shared" si="4"/>
        <v>-28.36463415</v>
      </c>
      <c r="G3" s="23">
        <f t="shared" si="5"/>
        <v>-19.21829268</v>
      </c>
      <c r="H3" s="23">
        <f t="shared" si="6"/>
        <v>-10.07195122</v>
      </c>
      <c r="I3" s="23">
        <f t="shared" si="7"/>
        <v>-0.9256097561</v>
      </c>
      <c r="J3" s="23">
        <f t="shared" si="8"/>
        <v>8.220731707</v>
      </c>
      <c r="K3" s="23">
        <f t="shared" si="9"/>
        <v>17.36707317</v>
      </c>
      <c r="L3" s="23">
        <f t="shared" si="10"/>
        <v>26.51341463</v>
      </c>
      <c r="M3" s="23">
        <f t="shared" si="11"/>
        <v>35.6597561</v>
      </c>
      <c r="N3" s="23">
        <f t="shared" si="12"/>
        <v>44.80609756</v>
      </c>
      <c r="O3" s="23">
        <f t="shared" si="13"/>
        <v>53.95243902</v>
      </c>
      <c r="P3" s="23">
        <f t="shared" si="14"/>
        <v>63.09878049</v>
      </c>
      <c r="Q3" s="23">
        <f t="shared" si="15"/>
        <v>72.24512195</v>
      </c>
    </row>
    <row r="4">
      <c r="A4" s="42" t="s">
        <v>31</v>
      </c>
      <c r="B4" s="23">
        <v>9.25</v>
      </c>
      <c r="C4" s="23">
        <f t="shared" si="1"/>
        <v>-55.7</v>
      </c>
      <c r="D4" s="23">
        <f t="shared" si="2"/>
        <v>-46.45</v>
      </c>
      <c r="E4" s="23">
        <f t="shared" si="3"/>
        <v>-37.2</v>
      </c>
      <c r="F4" s="23">
        <f t="shared" si="4"/>
        <v>-27.95</v>
      </c>
      <c r="G4" s="23">
        <f t="shared" si="5"/>
        <v>-18.7</v>
      </c>
      <c r="H4" s="23">
        <f t="shared" si="6"/>
        <v>-9.45</v>
      </c>
      <c r="I4" s="23">
        <f t="shared" si="7"/>
        <v>-0.2</v>
      </c>
      <c r="J4" s="23">
        <f t="shared" si="8"/>
        <v>9.05</v>
      </c>
      <c r="K4" s="23">
        <f t="shared" si="9"/>
        <v>18.3</v>
      </c>
      <c r="L4" s="23">
        <f t="shared" si="10"/>
        <v>27.55</v>
      </c>
      <c r="M4" s="23">
        <f t="shared" si="11"/>
        <v>36.8</v>
      </c>
      <c r="N4" s="23">
        <f t="shared" si="12"/>
        <v>46.05</v>
      </c>
      <c r="O4" s="23">
        <f t="shared" si="13"/>
        <v>55.3</v>
      </c>
      <c r="P4" s="23">
        <f t="shared" si="14"/>
        <v>64.55</v>
      </c>
      <c r="Q4" s="23">
        <f t="shared" si="15"/>
        <v>73.8</v>
      </c>
    </row>
    <row r="5">
      <c r="A5" s="42" t="s">
        <v>34</v>
      </c>
      <c r="B5" s="23">
        <v>8.8</v>
      </c>
      <c r="C5" s="23">
        <f t="shared" si="1"/>
        <v>-56.15</v>
      </c>
      <c r="D5" s="23">
        <f t="shared" si="2"/>
        <v>-47.35</v>
      </c>
      <c r="E5" s="23">
        <f t="shared" si="3"/>
        <v>-38.55</v>
      </c>
      <c r="F5" s="23">
        <f t="shared" si="4"/>
        <v>-29.75</v>
      </c>
      <c r="G5" s="23">
        <f t="shared" si="5"/>
        <v>-20.95</v>
      </c>
      <c r="H5" s="23">
        <f t="shared" si="6"/>
        <v>-12.15</v>
      </c>
      <c r="I5" s="23">
        <f t="shared" si="7"/>
        <v>-3.35</v>
      </c>
      <c r="J5" s="23">
        <f t="shared" si="8"/>
        <v>5.45</v>
      </c>
      <c r="K5" s="23">
        <f t="shared" si="9"/>
        <v>14.25</v>
      </c>
      <c r="L5" s="23">
        <f t="shared" si="10"/>
        <v>23.05</v>
      </c>
      <c r="M5" s="23">
        <f t="shared" si="11"/>
        <v>31.85</v>
      </c>
      <c r="N5" s="23">
        <f t="shared" si="12"/>
        <v>40.65</v>
      </c>
      <c r="O5" s="23">
        <f t="shared" si="13"/>
        <v>49.45</v>
      </c>
      <c r="P5" s="23">
        <f t="shared" si="14"/>
        <v>58.25</v>
      </c>
      <c r="Q5" s="23">
        <f t="shared" si="15"/>
        <v>67.05</v>
      </c>
    </row>
    <row r="6">
      <c r="A6" s="42" t="s">
        <v>38</v>
      </c>
      <c r="B6" s="23">
        <v>8.192307692307692</v>
      </c>
      <c r="C6" s="23">
        <f t="shared" si="1"/>
        <v>-56.75769231</v>
      </c>
      <c r="D6" s="23">
        <f t="shared" si="2"/>
        <v>-48.56538462</v>
      </c>
      <c r="E6" s="23">
        <f t="shared" si="3"/>
        <v>-40.37307692</v>
      </c>
      <c r="F6" s="23">
        <f t="shared" si="4"/>
        <v>-32.18076923</v>
      </c>
      <c r="G6" s="23">
        <f t="shared" si="5"/>
        <v>-23.98846154</v>
      </c>
      <c r="H6" s="23">
        <f t="shared" si="6"/>
        <v>-15.79615385</v>
      </c>
      <c r="I6" s="23">
        <f t="shared" si="7"/>
        <v>-7.603846154</v>
      </c>
      <c r="J6" s="23">
        <f t="shared" si="8"/>
        <v>0.5884615385</v>
      </c>
      <c r="K6" s="23">
        <f t="shared" si="9"/>
        <v>8.780769231</v>
      </c>
      <c r="L6" s="23">
        <f t="shared" si="10"/>
        <v>16.97307692</v>
      </c>
      <c r="M6" s="23">
        <f t="shared" si="11"/>
        <v>25.16538462</v>
      </c>
      <c r="N6" s="23">
        <f t="shared" si="12"/>
        <v>33.35769231</v>
      </c>
      <c r="O6" s="23">
        <f t="shared" si="13"/>
        <v>41.55</v>
      </c>
      <c r="P6" s="23">
        <f t="shared" si="14"/>
        <v>49.74230769</v>
      </c>
      <c r="Q6" s="23">
        <f t="shared" si="15"/>
        <v>57.93461538</v>
      </c>
    </row>
    <row r="7">
      <c r="A7" s="42" t="s">
        <v>40</v>
      </c>
      <c r="B7" s="23">
        <v>8.333333333333334</v>
      </c>
      <c r="C7" s="23">
        <f t="shared" si="1"/>
        <v>-56.61666667</v>
      </c>
      <c r="D7" s="23">
        <f t="shared" si="2"/>
        <v>-48.28333333</v>
      </c>
      <c r="E7" s="23">
        <f t="shared" si="3"/>
        <v>-39.95</v>
      </c>
      <c r="F7" s="23">
        <f t="shared" si="4"/>
        <v>-31.61666667</v>
      </c>
      <c r="G7" s="23">
        <f t="shared" si="5"/>
        <v>-23.28333333</v>
      </c>
      <c r="H7" s="23">
        <f t="shared" si="6"/>
        <v>-14.95</v>
      </c>
      <c r="I7" s="23">
        <f t="shared" si="7"/>
        <v>-6.616666667</v>
      </c>
      <c r="J7" s="23">
        <f t="shared" si="8"/>
        <v>1.716666667</v>
      </c>
      <c r="K7" s="23">
        <f t="shared" si="9"/>
        <v>10.05</v>
      </c>
      <c r="L7" s="23">
        <f t="shared" si="10"/>
        <v>18.38333333</v>
      </c>
      <c r="M7" s="23">
        <f t="shared" si="11"/>
        <v>26.71666667</v>
      </c>
      <c r="N7" s="23">
        <f t="shared" si="12"/>
        <v>35.05</v>
      </c>
      <c r="O7" s="23">
        <f t="shared" si="13"/>
        <v>43.38333333</v>
      </c>
      <c r="P7" s="23">
        <f t="shared" si="14"/>
        <v>51.71666667</v>
      </c>
      <c r="Q7" s="23">
        <f t="shared" si="15"/>
        <v>60.05</v>
      </c>
    </row>
    <row r="8">
      <c r="A8" s="42" t="s">
        <v>43</v>
      </c>
      <c r="B8" s="23">
        <v>6.631578947368421</v>
      </c>
      <c r="C8" s="23">
        <f t="shared" si="1"/>
        <v>-58.31842105</v>
      </c>
      <c r="D8" s="23">
        <f t="shared" si="2"/>
        <v>-51.68684211</v>
      </c>
      <c r="E8" s="23">
        <f t="shared" si="3"/>
        <v>-45.05526316</v>
      </c>
      <c r="F8" s="23">
        <f t="shared" si="4"/>
        <v>-38.42368421</v>
      </c>
      <c r="G8" s="23">
        <f t="shared" si="5"/>
        <v>-31.79210526</v>
      </c>
      <c r="H8" s="23">
        <f t="shared" si="6"/>
        <v>-25.16052632</v>
      </c>
      <c r="I8" s="23">
        <f t="shared" si="7"/>
        <v>-18.52894737</v>
      </c>
      <c r="J8" s="23">
        <f t="shared" si="8"/>
        <v>-11.89736842</v>
      </c>
      <c r="K8" s="23">
        <f t="shared" si="9"/>
        <v>-5.265789474</v>
      </c>
      <c r="L8" s="23">
        <f t="shared" si="10"/>
        <v>1.365789474</v>
      </c>
      <c r="M8" s="23">
        <f t="shared" si="11"/>
        <v>7.997368421</v>
      </c>
      <c r="N8" s="23">
        <f t="shared" si="12"/>
        <v>14.62894737</v>
      </c>
      <c r="O8" s="23">
        <f t="shared" si="13"/>
        <v>21.26052632</v>
      </c>
      <c r="P8" s="23">
        <f t="shared" si="14"/>
        <v>27.89210526</v>
      </c>
      <c r="Q8" s="23">
        <f t="shared" si="15"/>
        <v>34.52368421</v>
      </c>
    </row>
    <row r="9">
      <c r="A9" s="42" t="s">
        <v>45</v>
      </c>
      <c r="B9" s="23">
        <v>6.54054054054054</v>
      </c>
      <c r="C9" s="23">
        <f t="shared" si="1"/>
        <v>-58.40945946</v>
      </c>
      <c r="D9" s="23">
        <f t="shared" si="2"/>
        <v>-51.86891892</v>
      </c>
      <c r="E9" s="23">
        <f t="shared" si="3"/>
        <v>-45.32837838</v>
      </c>
      <c r="F9" s="23">
        <f t="shared" si="4"/>
        <v>-38.78783784</v>
      </c>
      <c r="G9" s="23">
        <f t="shared" si="5"/>
        <v>-32.2472973</v>
      </c>
      <c r="H9" s="23">
        <f t="shared" si="6"/>
        <v>-25.70675676</v>
      </c>
      <c r="I9" s="23">
        <f t="shared" si="7"/>
        <v>-19.16621622</v>
      </c>
      <c r="J9" s="23">
        <f t="shared" si="8"/>
        <v>-12.62567568</v>
      </c>
      <c r="K9" s="23">
        <f t="shared" si="9"/>
        <v>-6.085135135</v>
      </c>
      <c r="L9" s="23">
        <f t="shared" si="10"/>
        <v>0.4554054054</v>
      </c>
      <c r="M9" s="23">
        <f t="shared" si="11"/>
        <v>6.995945946</v>
      </c>
      <c r="N9" s="23">
        <f t="shared" si="12"/>
        <v>13.53648649</v>
      </c>
      <c r="O9" s="23">
        <f t="shared" si="13"/>
        <v>20.07702703</v>
      </c>
      <c r="P9" s="23">
        <f t="shared" si="14"/>
        <v>26.61756757</v>
      </c>
      <c r="Q9" s="23">
        <f t="shared" si="15"/>
        <v>33.15810811</v>
      </c>
    </row>
    <row r="10">
      <c r="A10" s="42" t="s">
        <v>48</v>
      </c>
      <c r="B10" s="23">
        <v>7.055555555555555</v>
      </c>
      <c r="C10" s="23">
        <f t="shared" si="1"/>
        <v>-57.89444444</v>
      </c>
      <c r="D10" s="23">
        <f t="shared" si="2"/>
        <v>-50.83888889</v>
      </c>
      <c r="E10" s="23">
        <f t="shared" si="3"/>
        <v>-43.78333333</v>
      </c>
      <c r="F10" s="23">
        <f t="shared" si="4"/>
        <v>-36.72777778</v>
      </c>
      <c r="G10" s="23">
        <f t="shared" si="5"/>
        <v>-29.67222222</v>
      </c>
      <c r="H10" s="23">
        <f t="shared" si="6"/>
        <v>-22.61666667</v>
      </c>
      <c r="I10" s="23">
        <f t="shared" si="7"/>
        <v>-15.56111111</v>
      </c>
      <c r="J10" s="23">
        <f t="shared" si="8"/>
        <v>-8.505555556</v>
      </c>
      <c r="K10" s="23">
        <f t="shared" si="9"/>
        <v>-1.45</v>
      </c>
      <c r="L10" s="23">
        <f t="shared" si="10"/>
        <v>5.605555556</v>
      </c>
      <c r="M10" s="23">
        <f t="shared" si="11"/>
        <v>12.66111111</v>
      </c>
      <c r="N10" s="23">
        <f t="shared" si="12"/>
        <v>19.71666667</v>
      </c>
      <c r="O10" s="23">
        <f t="shared" si="13"/>
        <v>26.77222222</v>
      </c>
      <c r="P10" s="23">
        <f t="shared" si="14"/>
        <v>33.82777778</v>
      </c>
      <c r="Q10" s="23">
        <f t="shared" si="15"/>
        <v>40.88333333</v>
      </c>
    </row>
    <row r="11">
      <c r="A11" s="42" t="s">
        <v>51</v>
      </c>
      <c r="B11" s="23">
        <v>9.1875</v>
      </c>
      <c r="C11" s="23">
        <f t="shared" si="1"/>
        <v>-55.7625</v>
      </c>
      <c r="D11" s="23">
        <f t="shared" si="2"/>
        <v>-46.575</v>
      </c>
      <c r="E11" s="23">
        <f t="shared" si="3"/>
        <v>-37.3875</v>
      </c>
      <c r="F11" s="23">
        <f t="shared" si="4"/>
        <v>-28.2</v>
      </c>
      <c r="G11" s="23">
        <f t="shared" si="5"/>
        <v>-19.0125</v>
      </c>
      <c r="H11" s="23">
        <f t="shared" si="6"/>
        <v>-9.825</v>
      </c>
      <c r="I11" s="23">
        <f t="shared" si="7"/>
        <v>-0.6375</v>
      </c>
      <c r="J11" s="23">
        <f t="shared" si="8"/>
        <v>8.55</v>
      </c>
      <c r="K11" s="23">
        <f t="shared" si="9"/>
        <v>17.7375</v>
      </c>
      <c r="L11" s="23">
        <f t="shared" si="10"/>
        <v>26.925</v>
      </c>
      <c r="M11" s="23">
        <f t="shared" si="11"/>
        <v>36.1125</v>
      </c>
      <c r="N11" s="23">
        <f t="shared" si="12"/>
        <v>45.3</v>
      </c>
      <c r="O11" s="23">
        <f t="shared" si="13"/>
        <v>54.4875</v>
      </c>
      <c r="P11" s="23">
        <f t="shared" si="14"/>
        <v>63.675</v>
      </c>
      <c r="Q11" s="23">
        <f t="shared" si="15"/>
        <v>72.8625</v>
      </c>
    </row>
    <row r="12">
      <c r="A12" s="42" t="s">
        <v>55</v>
      </c>
      <c r="B12" s="23">
        <v>8.565217391304348</v>
      </c>
      <c r="C12" s="23">
        <f t="shared" si="1"/>
        <v>-56.38478261</v>
      </c>
      <c r="D12" s="23">
        <f t="shared" si="2"/>
        <v>-47.81956522</v>
      </c>
      <c r="E12" s="23">
        <f t="shared" si="3"/>
        <v>-39.25434783</v>
      </c>
      <c r="F12" s="23">
        <f t="shared" si="4"/>
        <v>-30.68913043</v>
      </c>
      <c r="G12" s="23">
        <f t="shared" si="5"/>
        <v>-22.12391304</v>
      </c>
      <c r="H12" s="23">
        <f t="shared" si="6"/>
        <v>-13.55869565</v>
      </c>
      <c r="I12" s="23">
        <f t="shared" si="7"/>
        <v>-4.993478261</v>
      </c>
      <c r="J12" s="23">
        <f t="shared" si="8"/>
        <v>3.57173913</v>
      </c>
      <c r="K12" s="23">
        <f t="shared" si="9"/>
        <v>12.13695652</v>
      </c>
      <c r="L12" s="23">
        <f t="shared" si="10"/>
        <v>20.70217391</v>
      </c>
      <c r="M12" s="23">
        <f t="shared" si="11"/>
        <v>29.2673913</v>
      </c>
      <c r="N12" s="23">
        <f t="shared" si="12"/>
        <v>37.8326087</v>
      </c>
      <c r="O12" s="23">
        <f t="shared" si="13"/>
        <v>46.39782609</v>
      </c>
      <c r="P12" s="23">
        <f t="shared" si="14"/>
        <v>54.96304348</v>
      </c>
      <c r="Q12" s="23">
        <f t="shared" si="15"/>
        <v>63.52826087</v>
      </c>
    </row>
    <row r="13">
      <c r="A13" s="42"/>
      <c r="B13" s="23"/>
    </row>
    <row r="14">
      <c r="A14" s="23"/>
    </row>
  </sheetData>
  <conditionalFormatting sqref="C2:Q12">
    <cfRule type="cellIs" dxfId="0" priority="1" operator="greaterThan">
      <formula>0</formula>
    </cfRule>
  </conditionalFormatting>
  <conditionalFormatting sqref="C2:Q12">
    <cfRule type="cellIs" dxfId="1" priority="2" operator="lessThan">
      <formula>0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</cols>
  <sheetData>
    <row r="1">
      <c r="A1" s="67" t="s">
        <v>544</v>
      </c>
      <c r="B1" s="67" t="s">
        <v>23</v>
      </c>
      <c r="C1" s="67" t="s">
        <v>583</v>
      </c>
      <c r="D1" s="67" t="s">
        <v>584</v>
      </c>
      <c r="E1" s="67" t="s">
        <v>585</v>
      </c>
      <c r="F1" s="67" t="s">
        <v>586</v>
      </c>
      <c r="G1" s="67" t="s">
        <v>587</v>
      </c>
      <c r="H1" s="67" t="s">
        <v>588</v>
      </c>
      <c r="I1" s="67" t="s">
        <v>589</v>
      </c>
      <c r="J1" s="67" t="s">
        <v>590</v>
      </c>
      <c r="K1" s="67" t="s">
        <v>591</v>
      </c>
      <c r="L1" s="67" t="s">
        <v>592</v>
      </c>
      <c r="M1" s="67" t="s">
        <v>593</v>
      </c>
      <c r="N1" s="67" t="s">
        <v>594</v>
      </c>
      <c r="O1" s="67" t="s">
        <v>595</v>
      </c>
      <c r="P1" s="67" t="s">
        <v>596</v>
      </c>
      <c r="Q1" s="67" t="s">
        <v>597</v>
      </c>
    </row>
    <row r="2">
      <c r="A2" s="22" t="str">
        <f t="array" ref="A2:A13">UNIQUE(Blad1!C2:C1000)</f>
        <v>Namen</v>
      </c>
      <c r="B2" s="23">
        <v>6.0</v>
      </c>
      <c r="C2" s="23">
        <f t="shared" ref="C2:C12" si="1">$B2*1-64.95</f>
        <v>-58.95</v>
      </c>
      <c r="D2" s="23">
        <f t="shared" ref="D2:D12" si="2">$B2*2-64.95</f>
        <v>-52.95</v>
      </c>
      <c r="E2" s="23">
        <f t="shared" ref="E2:E12" si="3">$B2*3-64.95</f>
        <v>-46.95</v>
      </c>
      <c r="F2" s="23">
        <f t="shared" ref="F2:F12" si="4">$B2*4-64.95</f>
        <v>-40.95</v>
      </c>
      <c r="G2" s="23">
        <f t="shared" ref="G2:G12" si="5">$B2*5-64.95</f>
        <v>-34.95</v>
      </c>
      <c r="H2" s="23">
        <f t="shared" ref="H2:H12" si="6">$B2*6-64.95</f>
        <v>-28.95</v>
      </c>
      <c r="I2" s="23">
        <f t="shared" ref="I2:I12" si="7">$B2*7-64.95</f>
        <v>-22.95</v>
      </c>
      <c r="J2" s="23">
        <f t="shared" ref="J2:J12" si="8">$B2*8-64.95</f>
        <v>-16.95</v>
      </c>
      <c r="K2" s="23">
        <f t="shared" ref="K2:K12" si="9">$B2*9-64.95</f>
        <v>-10.95</v>
      </c>
      <c r="L2" s="23">
        <f t="shared" ref="L2:L12" si="10">$B2*10-64.95</f>
        <v>-4.95</v>
      </c>
      <c r="M2" s="23">
        <f t="shared" ref="M2:M12" si="11">$B2*11-64.95</f>
        <v>1.05</v>
      </c>
      <c r="N2" s="23">
        <f t="shared" ref="N2:N12" si="12">$B2*12-64.95</f>
        <v>7.05</v>
      </c>
      <c r="O2" s="23">
        <f t="shared" ref="O2:O12" si="13">$B2*13-64.95</f>
        <v>13.05</v>
      </c>
      <c r="P2" s="23">
        <f t="shared" ref="P2:P12" si="14">$B2*14-64.95</f>
        <v>19.05</v>
      </c>
      <c r="Q2" s="23">
        <f t="shared" ref="Q2:Q12" si="15">$B2*15-64.95</f>
        <v>25.05</v>
      </c>
    </row>
    <row r="3">
      <c r="A3" s="22" t="s">
        <v>28</v>
      </c>
      <c r="B3" s="23">
        <v>9.0</v>
      </c>
      <c r="C3" s="23">
        <f t="shared" si="1"/>
        <v>-55.95</v>
      </c>
      <c r="D3" s="23">
        <f t="shared" si="2"/>
        <v>-46.95</v>
      </c>
      <c r="E3" s="23">
        <f t="shared" si="3"/>
        <v>-37.95</v>
      </c>
      <c r="F3" s="23">
        <f t="shared" si="4"/>
        <v>-28.95</v>
      </c>
      <c r="G3" s="23">
        <f t="shared" si="5"/>
        <v>-19.95</v>
      </c>
      <c r="H3" s="23">
        <f t="shared" si="6"/>
        <v>-10.95</v>
      </c>
      <c r="I3" s="23">
        <f t="shared" si="7"/>
        <v>-1.95</v>
      </c>
      <c r="J3" s="23">
        <f t="shared" si="8"/>
        <v>7.05</v>
      </c>
      <c r="K3" s="23">
        <f t="shared" si="9"/>
        <v>16.05</v>
      </c>
      <c r="L3" s="23">
        <f t="shared" si="10"/>
        <v>25.05</v>
      </c>
      <c r="M3" s="23">
        <f t="shared" si="11"/>
        <v>34.05</v>
      </c>
      <c r="N3" s="23">
        <f t="shared" si="12"/>
        <v>43.05</v>
      </c>
      <c r="O3" s="23">
        <f t="shared" si="13"/>
        <v>52.05</v>
      </c>
      <c r="P3" s="23">
        <f t="shared" si="14"/>
        <v>61.05</v>
      </c>
      <c r="Q3" s="23">
        <f t="shared" si="15"/>
        <v>70.05</v>
      </c>
    </row>
    <row r="4">
      <c r="A4" s="42" t="s">
        <v>31</v>
      </c>
      <c r="B4" s="23">
        <v>10.0</v>
      </c>
      <c r="C4" s="23">
        <f t="shared" si="1"/>
        <v>-54.95</v>
      </c>
      <c r="D4" s="23">
        <f t="shared" si="2"/>
        <v>-44.95</v>
      </c>
      <c r="E4" s="23">
        <f t="shared" si="3"/>
        <v>-34.95</v>
      </c>
      <c r="F4" s="23">
        <f t="shared" si="4"/>
        <v>-24.95</v>
      </c>
      <c r="G4" s="23">
        <f t="shared" si="5"/>
        <v>-14.95</v>
      </c>
      <c r="H4" s="23">
        <f t="shared" si="6"/>
        <v>-4.95</v>
      </c>
      <c r="I4" s="23">
        <f t="shared" si="7"/>
        <v>5.05</v>
      </c>
      <c r="J4" s="23">
        <f t="shared" si="8"/>
        <v>15.05</v>
      </c>
      <c r="K4" s="23">
        <f t="shared" si="9"/>
        <v>25.05</v>
      </c>
      <c r="L4" s="23">
        <f t="shared" si="10"/>
        <v>35.05</v>
      </c>
      <c r="M4" s="23">
        <f t="shared" si="11"/>
        <v>45.05</v>
      </c>
      <c r="N4" s="23">
        <f t="shared" si="12"/>
        <v>55.05</v>
      </c>
      <c r="O4" s="23">
        <f t="shared" si="13"/>
        <v>65.05</v>
      </c>
      <c r="P4" s="23">
        <f t="shared" si="14"/>
        <v>75.05</v>
      </c>
      <c r="Q4" s="23">
        <f t="shared" si="15"/>
        <v>85.05</v>
      </c>
    </row>
    <row r="5">
      <c r="A5" s="42" t="s">
        <v>34</v>
      </c>
      <c r="B5" s="23">
        <v>10.0</v>
      </c>
      <c r="C5" s="23">
        <f t="shared" si="1"/>
        <v>-54.95</v>
      </c>
      <c r="D5" s="23">
        <f t="shared" si="2"/>
        <v>-44.95</v>
      </c>
      <c r="E5" s="23">
        <f t="shared" si="3"/>
        <v>-34.95</v>
      </c>
      <c r="F5" s="23">
        <f t="shared" si="4"/>
        <v>-24.95</v>
      </c>
      <c r="G5" s="23">
        <f t="shared" si="5"/>
        <v>-14.95</v>
      </c>
      <c r="H5" s="23">
        <f t="shared" si="6"/>
        <v>-4.95</v>
      </c>
      <c r="I5" s="23">
        <f t="shared" si="7"/>
        <v>5.05</v>
      </c>
      <c r="J5" s="23">
        <f t="shared" si="8"/>
        <v>15.05</v>
      </c>
      <c r="K5" s="23">
        <f t="shared" si="9"/>
        <v>25.05</v>
      </c>
      <c r="L5" s="23">
        <f t="shared" si="10"/>
        <v>35.05</v>
      </c>
      <c r="M5" s="23">
        <f t="shared" si="11"/>
        <v>45.05</v>
      </c>
      <c r="N5" s="23">
        <f t="shared" si="12"/>
        <v>55.05</v>
      </c>
      <c r="O5" s="23">
        <f t="shared" si="13"/>
        <v>65.05</v>
      </c>
      <c r="P5" s="23">
        <f t="shared" si="14"/>
        <v>75.05</v>
      </c>
      <c r="Q5" s="23">
        <f t="shared" si="15"/>
        <v>85.05</v>
      </c>
    </row>
    <row r="6">
      <c r="A6" s="42" t="s">
        <v>38</v>
      </c>
      <c r="B6" s="23">
        <v>10.0</v>
      </c>
      <c r="C6" s="23">
        <f t="shared" si="1"/>
        <v>-54.95</v>
      </c>
      <c r="D6" s="23">
        <f t="shared" si="2"/>
        <v>-44.95</v>
      </c>
      <c r="E6" s="23">
        <f t="shared" si="3"/>
        <v>-34.95</v>
      </c>
      <c r="F6" s="23">
        <f t="shared" si="4"/>
        <v>-24.95</v>
      </c>
      <c r="G6" s="23">
        <f t="shared" si="5"/>
        <v>-14.95</v>
      </c>
      <c r="H6" s="23">
        <f t="shared" si="6"/>
        <v>-4.95</v>
      </c>
      <c r="I6" s="23">
        <f t="shared" si="7"/>
        <v>5.05</v>
      </c>
      <c r="J6" s="23">
        <f t="shared" si="8"/>
        <v>15.05</v>
      </c>
      <c r="K6" s="23">
        <f t="shared" si="9"/>
        <v>25.05</v>
      </c>
      <c r="L6" s="23">
        <f t="shared" si="10"/>
        <v>35.05</v>
      </c>
      <c r="M6" s="23">
        <f t="shared" si="11"/>
        <v>45.05</v>
      </c>
      <c r="N6" s="23">
        <f t="shared" si="12"/>
        <v>55.05</v>
      </c>
      <c r="O6" s="23">
        <f t="shared" si="13"/>
        <v>65.05</v>
      </c>
      <c r="P6" s="23">
        <f t="shared" si="14"/>
        <v>75.05</v>
      </c>
      <c r="Q6" s="23">
        <f t="shared" si="15"/>
        <v>85.05</v>
      </c>
    </row>
    <row r="7">
      <c r="A7" s="42" t="s">
        <v>40</v>
      </c>
      <c r="B7" s="23">
        <v>9.0</v>
      </c>
      <c r="C7" s="23">
        <f t="shared" si="1"/>
        <v>-55.95</v>
      </c>
      <c r="D7" s="23">
        <f t="shared" si="2"/>
        <v>-46.95</v>
      </c>
      <c r="E7" s="23">
        <f t="shared" si="3"/>
        <v>-37.95</v>
      </c>
      <c r="F7" s="23">
        <f t="shared" si="4"/>
        <v>-28.95</v>
      </c>
      <c r="G7" s="23">
        <f t="shared" si="5"/>
        <v>-19.95</v>
      </c>
      <c r="H7" s="23">
        <f t="shared" si="6"/>
        <v>-10.95</v>
      </c>
      <c r="I7" s="23">
        <f t="shared" si="7"/>
        <v>-1.95</v>
      </c>
      <c r="J7" s="23">
        <f t="shared" si="8"/>
        <v>7.05</v>
      </c>
      <c r="K7" s="23">
        <f t="shared" si="9"/>
        <v>16.05</v>
      </c>
      <c r="L7" s="23">
        <f t="shared" si="10"/>
        <v>25.05</v>
      </c>
      <c r="M7" s="23">
        <f t="shared" si="11"/>
        <v>34.05</v>
      </c>
      <c r="N7" s="23">
        <f t="shared" si="12"/>
        <v>43.05</v>
      </c>
      <c r="O7" s="23">
        <f t="shared" si="13"/>
        <v>52.05</v>
      </c>
      <c r="P7" s="23">
        <f t="shared" si="14"/>
        <v>61.05</v>
      </c>
      <c r="Q7" s="23">
        <f t="shared" si="15"/>
        <v>70.05</v>
      </c>
    </row>
    <row r="8">
      <c r="A8" s="42" t="s">
        <v>43</v>
      </c>
      <c r="B8" s="23">
        <v>10.5</v>
      </c>
      <c r="C8" s="23">
        <f t="shared" si="1"/>
        <v>-54.45</v>
      </c>
      <c r="D8" s="23">
        <f t="shared" si="2"/>
        <v>-43.95</v>
      </c>
      <c r="E8" s="23">
        <f t="shared" si="3"/>
        <v>-33.45</v>
      </c>
      <c r="F8" s="23">
        <f t="shared" si="4"/>
        <v>-22.95</v>
      </c>
      <c r="G8" s="23">
        <f t="shared" si="5"/>
        <v>-12.45</v>
      </c>
      <c r="H8" s="23">
        <f t="shared" si="6"/>
        <v>-1.95</v>
      </c>
      <c r="I8" s="23">
        <f t="shared" si="7"/>
        <v>8.55</v>
      </c>
      <c r="J8" s="23">
        <f t="shared" si="8"/>
        <v>19.05</v>
      </c>
      <c r="K8" s="23">
        <f t="shared" si="9"/>
        <v>29.55</v>
      </c>
      <c r="L8" s="23">
        <f t="shared" si="10"/>
        <v>40.05</v>
      </c>
      <c r="M8" s="23">
        <f t="shared" si="11"/>
        <v>50.55</v>
      </c>
      <c r="N8" s="23">
        <f t="shared" si="12"/>
        <v>61.05</v>
      </c>
      <c r="O8" s="23">
        <f t="shared" si="13"/>
        <v>71.55</v>
      </c>
      <c r="P8" s="23">
        <f t="shared" si="14"/>
        <v>82.05</v>
      </c>
      <c r="Q8" s="23">
        <f t="shared" si="15"/>
        <v>92.55</v>
      </c>
    </row>
    <row r="9">
      <c r="A9" s="42" t="s">
        <v>45</v>
      </c>
      <c r="B9" s="23">
        <v>6.0</v>
      </c>
      <c r="C9" s="23">
        <f t="shared" si="1"/>
        <v>-58.95</v>
      </c>
      <c r="D9" s="23">
        <f t="shared" si="2"/>
        <v>-52.95</v>
      </c>
      <c r="E9" s="23">
        <f t="shared" si="3"/>
        <v>-46.95</v>
      </c>
      <c r="F9" s="23">
        <f t="shared" si="4"/>
        <v>-40.95</v>
      </c>
      <c r="G9" s="23">
        <f t="shared" si="5"/>
        <v>-34.95</v>
      </c>
      <c r="H9" s="23">
        <f t="shared" si="6"/>
        <v>-28.95</v>
      </c>
      <c r="I9" s="23">
        <f t="shared" si="7"/>
        <v>-22.95</v>
      </c>
      <c r="J9" s="23">
        <f t="shared" si="8"/>
        <v>-16.95</v>
      </c>
      <c r="K9" s="23">
        <f t="shared" si="9"/>
        <v>-10.95</v>
      </c>
      <c r="L9" s="23">
        <f t="shared" si="10"/>
        <v>-4.95</v>
      </c>
      <c r="M9" s="23">
        <f t="shared" si="11"/>
        <v>1.05</v>
      </c>
      <c r="N9" s="23">
        <f t="shared" si="12"/>
        <v>7.05</v>
      </c>
      <c r="O9" s="23">
        <f t="shared" si="13"/>
        <v>13.05</v>
      </c>
      <c r="P9" s="23">
        <f t="shared" si="14"/>
        <v>19.05</v>
      </c>
      <c r="Q9" s="23">
        <f t="shared" si="15"/>
        <v>25.05</v>
      </c>
    </row>
    <row r="10">
      <c r="A10" s="42" t="s">
        <v>48</v>
      </c>
      <c r="B10" s="23">
        <v>10.5</v>
      </c>
      <c r="C10" s="23">
        <f t="shared" si="1"/>
        <v>-54.45</v>
      </c>
      <c r="D10" s="23">
        <f t="shared" si="2"/>
        <v>-43.95</v>
      </c>
      <c r="E10" s="23">
        <f t="shared" si="3"/>
        <v>-33.45</v>
      </c>
      <c r="F10" s="23">
        <f t="shared" si="4"/>
        <v>-22.95</v>
      </c>
      <c r="G10" s="23">
        <f t="shared" si="5"/>
        <v>-12.45</v>
      </c>
      <c r="H10" s="23">
        <f t="shared" si="6"/>
        <v>-1.95</v>
      </c>
      <c r="I10" s="23">
        <f t="shared" si="7"/>
        <v>8.55</v>
      </c>
      <c r="J10" s="23">
        <f t="shared" si="8"/>
        <v>19.05</v>
      </c>
      <c r="K10" s="23">
        <f t="shared" si="9"/>
        <v>29.55</v>
      </c>
      <c r="L10" s="23">
        <f t="shared" si="10"/>
        <v>40.05</v>
      </c>
      <c r="M10" s="23">
        <f t="shared" si="11"/>
        <v>50.55</v>
      </c>
      <c r="N10" s="23">
        <f t="shared" si="12"/>
        <v>61.05</v>
      </c>
      <c r="O10" s="23">
        <f t="shared" si="13"/>
        <v>71.55</v>
      </c>
      <c r="P10" s="23">
        <f t="shared" si="14"/>
        <v>82.05</v>
      </c>
      <c r="Q10" s="23">
        <f t="shared" si="15"/>
        <v>92.55</v>
      </c>
    </row>
    <row r="11">
      <c r="A11" s="42" t="s">
        <v>51</v>
      </c>
      <c r="B11" s="23">
        <v>10.0</v>
      </c>
      <c r="C11" s="23">
        <f t="shared" si="1"/>
        <v>-54.95</v>
      </c>
      <c r="D11" s="23">
        <f t="shared" si="2"/>
        <v>-44.95</v>
      </c>
      <c r="E11" s="23">
        <f t="shared" si="3"/>
        <v>-34.95</v>
      </c>
      <c r="F11" s="23">
        <f t="shared" si="4"/>
        <v>-24.95</v>
      </c>
      <c r="G11" s="23">
        <f t="shared" si="5"/>
        <v>-14.95</v>
      </c>
      <c r="H11" s="23">
        <f t="shared" si="6"/>
        <v>-4.95</v>
      </c>
      <c r="I11" s="23">
        <f t="shared" si="7"/>
        <v>5.05</v>
      </c>
      <c r="J11" s="23">
        <f t="shared" si="8"/>
        <v>15.05</v>
      </c>
      <c r="K11" s="23">
        <f t="shared" si="9"/>
        <v>25.05</v>
      </c>
      <c r="L11" s="23">
        <f t="shared" si="10"/>
        <v>35.05</v>
      </c>
      <c r="M11" s="23">
        <f t="shared" si="11"/>
        <v>45.05</v>
      </c>
      <c r="N11" s="23">
        <f t="shared" si="12"/>
        <v>55.05</v>
      </c>
      <c r="O11" s="23">
        <f t="shared" si="13"/>
        <v>65.05</v>
      </c>
      <c r="P11" s="23">
        <f t="shared" si="14"/>
        <v>75.05</v>
      </c>
      <c r="Q11" s="23">
        <f t="shared" si="15"/>
        <v>85.05</v>
      </c>
    </row>
    <row r="12">
      <c r="A12" s="42" t="s">
        <v>55</v>
      </c>
      <c r="B12" s="23">
        <v>9.0</v>
      </c>
      <c r="C12" s="23">
        <f t="shared" si="1"/>
        <v>-55.95</v>
      </c>
      <c r="D12" s="23">
        <f t="shared" si="2"/>
        <v>-46.95</v>
      </c>
      <c r="E12" s="23">
        <f t="shared" si="3"/>
        <v>-37.95</v>
      </c>
      <c r="F12" s="23">
        <f t="shared" si="4"/>
        <v>-28.95</v>
      </c>
      <c r="G12" s="23">
        <f t="shared" si="5"/>
        <v>-19.95</v>
      </c>
      <c r="H12" s="23">
        <f t="shared" si="6"/>
        <v>-10.95</v>
      </c>
      <c r="I12" s="23">
        <f t="shared" si="7"/>
        <v>-1.95</v>
      </c>
      <c r="J12" s="23">
        <f t="shared" si="8"/>
        <v>7.05</v>
      </c>
      <c r="K12" s="23">
        <f t="shared" si="9"/>
        <v>16.05</v>
      </c>
      <c r="L12" s="23">
        <f t="shared" si="10"/>
        <v>25.05</v>
      </c>
      <c r="M12" s="23">
        <f t="shared" si="11"/>
        <v>34.05</v>
      </c>
      <c r="N12" s="23">
        <f t="shared" si="12"/>
        <v>43.05</v>
      </c>
      <c r="O12" s="23">
        <f t="shared" si="13"/>
        <v>52.05</v>
      </c>
      <c r="P12" s="23">
        <f t="shared" si="14"/>
        <v>61.05</v>
      </c>
      <c r="Q12" s="23">
        <f t="shared" si="15"/>
        <v>70.05</v>
      </c>
    </row>
    <row r="13">
      <c r="A13" s="42"/>
    </row>
  </sheetData>
  <conditionalFormatting sqref="C2:Q12">
    <cfRule type="cellIs" dxfId="0" priority="1" operator="greaterThan">
      <formula>0</formula>
    </cfRule>
  </conditionalFormatting>
  <conditionalFormatting sqref="C2:Q12">
    <cfRule type="cellIs" dxfId="2" priority="2" operator="lessThan">
      <formula>0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5.13"/>
    <col customWidth="1" min="2" max="2" width="37.13"/>
    <col customWidth="1" min="3" max="3" width="41.63"/>
    <col customWidth="1" min="4" max="4" width="38.25"/>
    <col customWidth="1" min="5" max="5" width="56.88"/>
    <col customWidth="1" min="6" max="6" width="44.25"/>
    <col customWidth="1" min="7" max="7" width="25.13"/>
  </cols>
  <sheetData>
    <row r="1">
      <c r="A1" s="68" t="s">
        <v>4</v>
      </c>
      <c r="B1" s="68" t="s">
        <v>5</v>
      </c>
      <c r="C1" s="68" t="s">
        <v>6</v>
      </c>
      <c r="D1" s="68" t="s">
        <v>7</v>
      </c>
      <c r="E1" s="68" t="s">
        <v>8</v>
      </c>
      <c r="F1" s="68" t="s">
        <v>9</v>
      </c>
      <c r="G1" s="68" t="s">
        <v>10</v>
      </c>
    </row>
    <row r="2">
      <c r="A2" s="22" t="str">
        <f>IFERROR(__xludf.DUMMYFUNCTION("FILTER(Blad1!$Q$2:$Q$261, Blad1!E$2:E$261 = true)"),"Archeologisch museum van de Boven-Maas")</f>
        <v>Archeologisch museum van de Boven-Maas</v>
      </c>
      <c r="B2" s="22" t="str">
        <f>IFERROR(__xludf.DUMMYFUNCTION("FILTER(Blad1!$Q$2:$Q$261, Blad1!F$2:F$261 = true)"),"NAM-IP Computermuseum")</f>
        <v>NAM-IP Computermuseum</v>
      </c>
      <c r="C2" s="22" t="str">
        <f>IFERROR(__xludf.DUMMYFUNCTION("FILTER(Blad1!$Q$2:$Q$261, Blad1!G$2:G$261 = true)"),"Eperon d’Or")</f>
        <v>Eperon d’Or</v>
      </c>
      <c r="D2" s="22" t="str">
        <f>IFERROR(__xludf.DUMMYFUNCTION("FILTER(Blad1!$Q$2:$Q$261, Blad1!H$2:H$261 = true)"),"Gezellehuis")</f>
        <v>Gezellehuis</v>
      </c>
      <c r="E2" s="22" t="str">
        <f>IFERROR(__xludf.DUMMYFUNCTION("FILTER(Blad1!$Q$2:$Q$261, Blad1!I$2:I$261 = true)"),"Abdijmuseum Ten Duinen")</f>
        <v>Abdijmuseum Ten Duinen</v>
      </c>
      <c r="F2" s="22" t="str">
        <f>IFERROR(__xludf.DUMMYFUNCTION("FILTER(Blad1!$Q$2:$Q$261, Blad1!J$2:J$261 = true)"),"Le Delta")</f>
        <v>Le Delta</v>
      </c>
      <c r="G2" s="22" t="str">
        <f>IFERROR(__xludf.DUMMYFUNCTION("FILTER(Blad1!$Q$2:$Q$261, Blad1!K$2:K$261 = true)"),"Andenne Museum")</f>
        <v>Andenne Museum</v>
      </c>
    </row>
    <row r="3">
      <c r="A3" s="22" t="str">
        <f>IFERROR(__xludf.DUMMYFUNCTION("""COMPUTED_VALUE"""),"Citadel van Namen / Bezoekerscentrum Terra Nova en toeristentreintje")</f>
        <v>Citadel van Namen / Bezoekerscentrum Terra Nova en toeristentreintje</v>
      </c>
      <c r="B3" s="22" t="str">
        <f>IFERROR(__xludf.DUMMYFUNCTION("""COMPUTED_VALUE"""),"Le Pavillon")</f>
        <v>Le Pavillon</v>
      </c>
      <c r="C3" s="22" t="str">
        <f>IFERROR(__xludf.DUMMYFUNCTION("""COMPUTED_VALUE"""),"Kantmuseum Brugge")</f>
        <v>Kantmuseum Brugge</v>
      </c>
      <c r="D3" s="22" t="str">
        <f>IFERROR(__xludf.DUMMYFUNCTION("""COMPUTED_VALUE"""),"Het Lijsternest | Streuvelshuis &amp; Schrijversresidentie")</f>
        <v>Het Lijsternest | Streuvelshuis &amp; Schrijversresidentie</v>
      </c>
      <c r="E3" s="22" t="str">
        <f>IFERROR(__xludf.DUMMYFUNCTION("""COMPUTED_VALUE"""),"Adornesdomein")</f>
        <v>Adornesdomein</v>
      </c>
      <c r="F3" s="22" t="str">
        <f>IFERROR(__xludf.DUMMYFUNCTION("""COMPUTED_VALUE"""),"Le Pavillon")</f>
        <v>Le Pavillon</v>
      </c>
      <c r="G3" s="22" t="str">
        <f>IFERROR(__xludf.DUMMYFUNCTION("""COMPUTED_VALUE"""),"MusAfrica Namen")</f>
        <v>MusAfrica Namen</v>
      </c>
    </row>
    <row r="4">
      <c r="A4" s="22" t="str">
        <f>IFERROR(__xludf.DUMMYFUNCTION("""COMPUTED_VALUE"""),"Ecomuseum van de Viroin")</f>
        <v>Ecomuseum van de Viroin</v>
      </c>
      <c r="B4" s="22" t="str">
        <f>IFERROR(__xludf.DUMMYFUNCTION("""COMPUTED_VALUE"""),"Aardbeimuseum")</f>
        <v>Aardbeimuseum</v>
      </c>
      <c r="C4" s="22" t="str">
        <f>IFERROR(__xludf.DUMMYFUNCTION("""COMPUTED_VALUE"""),"Texture | Museum van Vlas en Textiel")</f>
        <v>Texture | Museum van Vlas en Textiel</v>
      </c>
      <c r="D4" s="22" t="str">
        <f>IFERROR(__xludf.DUMMYFUNCTION("""COMPUTED_VALUE"""),"Uilenspiegelmuseum")</f>
        <v>Uilenspiegelmuseum</v>
      </c>
      <c r="E4" s="22" t="str">
        <f>IFERROR(__xludf.DUMMYFUNCTION("""COMPUTED_VALUE"""),"Atlantikwall Raversyde")</f>
        <v>Atlantikwall Raversyde</v>
      </c>
      <c r="F4" s="22" t="str">
        <f>IFERROR(__xludf.DUMMYFUNCTION("""COMPUTED_VALUE"""),"Aardbeimuseum")</f>
        <v>Aardbeimuseum</v>
      </c>
      <c r="G4" s="22" t="str">
        <f>IFERROR(__xludf.DUMMYFUNCTION("""COMPUTED_VALUE"""),"Adornesdomein")</f>
        <v>Adornesdomein</v>
      </c>
    </row>
    <row r="5">
      <c r="A5" s="22" t="str">
        <f>IFERROR(__xludf.DUMMYFUNCTION("""COMPUTED_VALUE"""),"Andenne Museum")</f>
        <v>Andenne Museum</v>
      </c>
      <c r="B5" s="22" t="str">
        <f>IFERROR(__xludf.DUMMYFUNCTION("""COMPUTED_VALUE"""),"Abdijmuseum Ten Duinen")</f>
        <v>Abdijmuseum Ten Duinen</v>
      </c>
      <c r="C5" s="22" t="str">
        <f>IFERROR(__xludf.DUMMYFUNCTION("""COMPUTED_VALUE"""),"MoMu | ModeMuseum Antwerpen")</f>
        <v>MoMu | ModeMuseum Antwerpen</v>
      </c>
      <c r="D5" s="22" t="str">
        <f>IFERROR(__xludf.DUMMYFUNCTION("""COMPUTED_VALUE"""),"Erfgoedbibliotheek Hendrik Conscience - Nottebohmzaal")</f>
        <v>Erfgoedbibliotheek Hendrik Conscience - Nottebohmzaal</v>
      </c>
      <c r="E5" s="22" t="str">
        <f>IFERROR(__xludf.DUMMYFUNCTION("""COMPUTED_VALUE"""),"Belfort van Brugge")</f>
        <v>Belfort van Brugge</v>
      </c>
      <c r="F5" s="22" t="str">
        <f>IFERROR(__xludf.DUMMYFUNCTION("""COMPUTED_VALUE"""),"Museum van het Klein Formaat")</f>
        <v>Museum van het Klein Formaat</v>
      </c>
      <c r="G5" s="22" t="str">
        <f>IFERROR(__xludf.DUMMYFUNCTION("""COMPUTED_VALUE"""),"Atlantikwall Raversyde")</f>
        <v>Atlantikwall Raversyde</v>
      </c>
    </row>
    <row r="6">
      <c r="A6" s="22" t="str">
        <f>IFERROR(__xludf.DUMMYFUNCTION("""COMPUTED_VALUE"""),"Maison du patrimoine médiéval mosan")</f>
        <v>Maison du patrimoine médiéval mosan</v>
      </c>
      <c r="B6" s="22" t="str">
        <f>IFERROR(__xludf.DUMMYFUNCTION("""COMPUTED_VALUE"""),"Atlantikwall Raversyde")</f>
        <v>Atlantikwall Raversyde</v>
      </c>
      <c r="C6" s="22" t="str">
        <f>IFERROR(__xludf.DUMMYFUNCTION("""COMPUTED_VALUE"""),"Sint-Pauluskerk")</f>
        <v>Sint-Pauluskerk</v>
      </c>
      <c r="D6" s="22" t="str">
        <f>IFERROR(__xludf.DUMMYFUNCTION("""COMPUTED_VALUE"""),"Museum Plantin-Moretus")</f>
        <v>Museum Plantin-Moretus</v>
      </c>
      <c r="E6" s="22" t="str">
        <f>IFERROR(__xludf.DUMMYFUNCTION("""COMPUTED_VALUE"""),"Eperon d’Or")</f>
        <v>Eperon d’Or</v>
      </c>
      <c r="F6" s="22" t="str">
        <f>IFERROR(__xludf.DUMMYFUNCTION("""COMPUTED_VALUE"""),"Félicien Rops Museum")</f>
        <v>Félicien Rops Museum</v>
      </c>
      <c r="G6" s="22" t="str">
        <f>IFERROR(__xludf.DUMMYFUNCTION("""COMPUTED_VALUE"""),"Brugse Vrije")</f>
        <v>Brugse Vrije</v>
      </c>
    </row>
    <row r="7">
      <c r="A7" s="22" t="str">
        <f>IFERROR(__xludf.DUMMYFUNCTION("""COMPUTED_VALUE"""),"Archeopark van Rochefort")</f>
        <v>Archeopark van Rochefort</v>
      </c>
      <c r="B7" s="22" t="str">
        <f>IFERROR(__xludf.DUMMYFUNCTION("""COMPUTED_VALUE"""),"Belfort van Brugge")</f>
        <v>Belfort van Brugge</v>
      </c>
      <c r="C7" s="22" t="str">
        <f>IFERROR(__xludf.DUMMYFUNCTION("""COMPUTED_VALUE"""),"Stadsmuseum Lier")</f>
        <v>Stadsmuseum Lier</v>
      </c>
      <c r="D7" s="22" t="str">
        <f>IFERROR(__xludf.DUMMYFUNCTION("""COMPUTED_VALUE"""),"Sint-Pauluskerk")</f>
        <v>Sint-Pauluskerk</v>
      </c>
      <c r="E7" s="22" t="str">
        <f>IFERROR(__xludf.DUMMYFUNCTION("""COMPUTED_VALUE"""),"Gruuthusemuseum")</f>
        <v>Gruuthusemuseum</v>
      </c>
      <c r="F7" s="22" t="str">
        <f>IFERROR(__xludf.DUMMYFUNCTION("""COMPUTED_VALUE"""),"Museum voor Oude Kunsten")</f>
        <v>Museum voor Oude Kunsten</v>
      </c>
      <c r="G7" s="22" t="str">
        <f>IFERROR(__xludf.DUMMYFUNCTION("""COMPUTED_VALUE"""),"Gruuthusemuseum")</f>
        <v>Gruuthusemuseum</v>
      </c>
    </row>
    <row r="8">
      <c r="A8" s="22" t="str">
        <f>IFERROR(__xludf.DUMMYFUNCTION("""COMPUTED_VALUE"""),"MusAfrica Namen")</f>
        <v>MusAfrica Namen</v>
      </c>
      <c r="B8" s="22" t="str">
        <f>IFERROR(__xludf.DUMMYFUNCTION("""COMPUTED_VALUE"""),"Eperon d’Or")</f>
        <v>Eperon d’Or</v>
      </c>
      <c r="C8" s="22" t="str">
        <f>IFERROR(__xludf.DUMMYFUNCTION("""COMPUTED_VALUE"""),"Het steen, The Antwerp Story")</f>
        <v>Het steen, The Antwerp Story</v>
      </c>
      <c r="D8" s="22" t="str">
        <f>IFERROR(__xludf.DUMMYFUNCTION("""COMPUTED_VALUE"""),"Stadsmuseum Lier")</f>
        <v>Stadsmuseum Lier</v>
      </c>
      <c r="E8" s="22" t="str">
        <f>IFERROR(__xludf.DUMMYFUNCTION("""COMPUTED_VALUE"""),"Het Lijsternest | Streuvelshuis &amp; Schrijversresidentie")</f>
        <v>Het Lijsternest | Streuvelshuis &amp; Schrijversresidentie</v>
      </c>
      <c r="F8" s="22" t="str">
        <f>IFERROR(__xludf.DUMMYFUNCTION("""COMPUTED_VALUE"""),"Adornesdomein")</f>
        <v>Adornesdomein</v>
      </c>
      <c r="G8" s="22" t="str">
        <f>IFERROR(__xludf.DUMMYFUNCTION("""COMPUTED_VALUE"""),"Kantmuseum Brugge")</f>
        <v>Kantmuseum Brugge</v>
      </c>
    </row>
    <row r="9">
      <c r="A9" s="22" t="str">
        <f>IFERROR(__xludf.DUMMYFUNCTION("""COMPUTED_VALUE"""),"Aardbeimuseum")</f>
        <v>Aardbeimuseum</v>
      </c>
      <c r="B9" s="22" t="str">
        <f>IFERROR(__xludf.DUMMYFUNCTION("""COMPUTED_VALUE"""),"KOERS | Museum van de Wielersport")</f>
        <v>KOERS | Museum van de Wielersport</v>
      </c>
      <c r="C9" s="22" t="str">
        <f>IFERROR(__xludf.DUMMYFUNCTION("""COMPUTED_VALUE"""),"Modemuseum Hasselt")</f>
        <v>Modemuseum Hasselt</v>
      </c>
      <c r="D9" s="22" t="str">
        <f>IFERROR(__xludf.DUMMYFUNCTION("""COMPUTED_VALUE"""),"Suske en Wiske Museum")</f>
        <v>Suske en Wiske Museum</v>
      </c>
      <c r="E9" s="22" t="str">
        <f>IFERROR(__xludf.DUMMYFUNCTION("""COMPUTED_VALUE"""),"Museum Sint-Janshospitaal")</f>
        <v>Museum Sint-Janshospitaal</v>
      </c>
      <c r="F9" s="22" t="str">
        <f>IFERROR(__xludf.DUMMYFUNCTION("""COMPUTED_VALUE"""),"Atlantikwall Raversyde")</f>
        <v>Atlantikwall Raversyde</v>
      </c>
      <c r="G9" s="22" t="str">
        <f>IFERROR(__xludf.DUMMYFUNCTION("""COMPUTED_VALUE"""),"Museum Sint-Janshospitaal")</f>
        <v>Museum Sint-Janshospitaal</v>
      </c>
    </row>
    <row r="10">
      <c r="A10" s="22" t="str">
        <f>IFERROR(__xludf.DUMMYFUNCTION("""COMPUTED_VALUE"""),"Musée du Malgré-Tout")</f>
        <v>Musée du Malgré-Tout</v>
      </c>
      <c r="B10" s="22" t="str">
        <f>IFERROR(__xludf.DUMMYFUNCTION("""COMPUTED_VALUE"""),"Museum Sint-Janshospitaal")</f>
        <v>Museum Sint-Janshospitaal</v>
      </c>
      <c r="C10" s="22" t="str">
        <f>IFERROR(__xludf.DUMMYFUNCTION("""COMPUTED_VALUE"""),"TAMAT | Museum voor Wandtapijten en Textielkunsten van de Federatie Wallonië-Brussel")</f>
        <v>TAMAT | Museum voor Wandtapijten en Textielkunsten van de Federatie Wallonië-Brussel</v>
      </c>
      <c r="D10" s="22" t="str">
        <f>IFERROR(__xludf.DUMMYFUNCTION("""COMPUTED_VALUE"""),"Museum PARCUM, Abdij van Park Leuven")</f>
        <v>Museum PARCUM, Abdij van Park Leuven</v>
      </c>
      <c r="E10" s="22" t="str">
        <f>IFERROR(__xludf.DUMMYFUNCTION("""COMPUTED_VALUE"""),"O.L.V.-kerk Museum")</f>
        <v>O.L.V.-kerk Museum</v>
      </c>
      <c r="F10" s="22" t="str">
        <f>IFERROR(__xludf.DUMMYFUNCTION("""COMPUTED_VALUE"""),"Brugse Vrije")</f>
        <v>Brugse Vrije</v>
      </c>
      <c r="G10" s="22" t="str">
        <f>IFERROR(__xludf.DUMMYFUNCTION("""COMPUTED_VALUE"""),"O.L.V. ter Potterie")</f>
        <v>O.L.V. ter Potterie</v>
      </c>
    </row>
    <row r="11">
      <c r="A11" s="22" t="str">
        <f>IFERROR(__xludf.DUMMYFUNCTION("""COMPUTED_VALUE"""),"Abdijmuseum Ten Duinen")</f>
        <v>Abdijmuseum Ten Duinen</v>
      </c>
      <c r="B11" s="22" t="str">
        <f>IFERROR(__xludf.DUMMYFUNCTION("""COMPUTED_VALUE"""),"NAVIGO Visserijmuseum")</f>
        <v>NAVIGO Visserijmuseum</v>
      </c>
      <c r="C11" s="22" t="str">
        <f>IFERROR(__xludf.DUMMYFUNCTION("""COMPUTED_VALUE"""),"FAM | Famenne &amp; Art Museum")</f>
        <v>FAM | Famenne &amp; Art Museum</v>
      </c>
      <c r="D11" s="22" t="str">
        <f>IFERROR(__xludf.DUMMYFUNCTION("""COMPUTED_VALUE"""),"DE MINDERE")</f>
        <v>DE MINDERE</v>
      </c>
      <c r="E11" s="22" t="str">
        <f>IFERROR(__xludf.DUMMYFUNCTION("""COMPUTED_VALUE"""),"O.L.V. ter Potterie")</f>
        <v>O.L.V. ter Potterie</v>
      </c>
      <c r="F11" s="22" t="str">
        <f>IFERROR(__xludf.DUMMYFUNCTION("""COMPUTED_VALUE"""),"Groeningemuseum")</f>
        <v>Groeningemuseum</v>
      </c>
      <c r="G11" s="22" t="str">
        <f>IFERROR(__xludf.DUMMYFUNCTION("""COMPUTED_VALUE"""),"Stadhuis Brugge")</f>
        <v>Stadhuis Brugge</v>
      </c>
    </row>
    <row r="12">
      <c r="A12" s="22" t="str">
        <f>IFERROR(__xludf.DUMMYFUNCTION("""COMPUTED_VALUE"""),"Adornesdomein")</f>
        <v>Adornesdomein</v>
      </c>
      <c r="B12" s="22" t="str">
        <f>IFERROR(__xludf.DUMMYFUNCTION("""COMPUTED_VALUE"""),"Sint-Janshuismolen")</f>
        <v>Sint-Janshuismolen</v>
      </c>
      <c r="C12" s="22" t="str">
        <f>IFERROR(__xludf.DUMMYFUNCTION("""COMPUTED_VALUE"""),"Paleis voor Schone Kunsten")</f>
        <v>Paleis voor Schone Kunsten</v>
      </c>
      <c r="D12" s="22" t="str">
        <f>IFERROR(__xludf.DUMMYFUNCTION("""COMPUTED_VALUE"""),"Centre Daily-Bul &amp; C° ")</f>
        <v>Centre Daily-Bul &amp; C° </v>
      </c>
      <c r="E12" s="22" t="str">
        <f>IFERROR(__xludf.DUMMYFUNCTION("""COMPUTED_VALUE"""),"Stadhuis Brugge")</f>
        <v>Stadhuis Brugge</v>
      </c>
      <c r="F12" s="22" t="str">
        <f>IFERROR(__xludf.DUMMYFUNCTION("""COMPUTED_VALUE"""),"Gruuthusemuseum")</f>
        <v>Gruuthusemuseum</v>
      </c>
      <c r="G12" s="22" t="str">
        <f>IFERROR(__xludf.DUMMYFUNCTION("""COMPUTED_VALUE"""),"Texture | Museum van Vlas en Textiel")</f>
        <v>Texture | Museum van Vlas en Textiel</v>
      </c>
    </row>
    <row r="13">
      <c r="A13" s="22" t="str">
        <f>IFERROR(__xludf.DUMMYFUNCTION("""COMPUTED_VALUE"""),"Atlantikwall Raversyde")</f>
        <v>Atlantikwall Raversyde</v>
      </c>
      <c r="B13" s="22" t="str">
        <f>IFERROR(__xludf.DUMMYFUNCTION("""COMPUTED_VALUE"""),"Texture | Museum van Vlas en Textiel")</f>
        <v>Texture | Museum van Vlas en Textiel</v>
      </c>
      <c r="C13" s="22" t="str">
        <f>IFERROR(__xludf.DUMMYFUNCTION("""COMPUTED_VALUE"""),"GardeRobe MannekenPis")</f>
        <v>GardeRobe MannekenPis</v>
      </c>
      <c r="D13" s="22" t="str">
        <f>IFERROR(__xludf.DUMMYFUNCTION("""COMPUTED_VALUE"""),"Maison Losseau ")</f>
        <v>Maison Losseau </v>
      </c>
      <c r="E13" s="22" t="str">
        <f>IFERROR(__xludf.DUMMYFUNCTION("""COMPUTED_VALUE"""),"Texture | Museum van Vlas en Textiel")</f>
        <v>Texture | Museum van Vlas en Textiel</v>
      </c>
      <c r="F13" s="22" t="str">
        <f>IFERROR(__xludf.DUMMYFUNCTION("""COMPUTED_VALUE"""),"Het James Ensorhuis")</f>
        <v>Het James Ensorhuis</v>
      </c>
      <c r="G13" s="22" t="str">
        <f>IFERROR(__xludf.DUMMYFUNCTION("""COMPUTED_VALUE"""),"Yper Museum")</f>
        <v>Yper Museum</v>
      </c>
    </row>
    <row r="14">
      <c r="A14" s="22" t="str">
        <f>IFERROR(__xludf.DUMMYFUNCTION("""COMPUTED_VALUE"""),"Bakkerijmuseum")</f>
        <v>Bakkerijmuseum</v>
      </c>
      <c r="B14" s="22" t="str">
        <f>IFERROR(__xludf.DUMMYFUNCTION("""COMPUTED_VALUE"""),"Zwin Natuur Park")</f>
        <v>Zwin Natuur Park</v>
      </c>
      <c r="C14" s="22" t="str">
        <f>IFERROR(__xludf.DUMMYFUNCTION("""COMPUTED_VALUE"""),"Mode &amp; Kant Museum")</f>
        <v>Mode &amp; Kant Museum</v>
      </c>
      <c r="D14" s="22" t="str">
        <f>IFERROR(__xludf.DUMMYFUNCTION("""COMPUTED_VALUE"""),"Het Gaume Museum")</f>
        <v>Het Gaume Museum</v>
      </c>
      <c r="E14" s="22" t="str">
        <f>IFERROR(__xludf.DUMMYFUNCTION("""COMPUTED_VALUE"""),"Westfront Nieuwpoort")</f>
        <v>Westfront Nieuwpoort</v>
      </c>
      <c r="F14" s="22" t="str">
        <f>IFERROR(__xludf.DUMMYFUNCTION("""COMPUTED_VALUE"""),"Het Lijsternest | Streuvelshuis &amp; Schrijversresidentie")</f>
        <v>Het Lijsternest | Streuvelshuis &amp; Schrijversresidentie</v>
      </c>
      <c r="G14" s="22" t="str">
        <f>IFERROR(__xludf.DUMMYFUNCTION("""COMPUTED_VALUE"""),"DIVA | museum voor diamant juwelen en zilver")</f>
        <v>DIVA | museum voor diamant juwelen en zilver</v>
      </c>
    </row>
    <row r="15">
      <c r="A15" s="22" t="str">
        <f>IFERROR(__xludf.DUMMYFUNCTION("""COMPUTED_VALUE"""),"Belfort van Brugge")</f>
        <v>Belfort van Brugge</v>
      </c>
      <c r="B15" s="22" t="str">
        <f>IFERROR(__xludf.DUMMYFUNCTION("""COMPUTED_VALUE"""),"Arboretum Kalmtout")</f>
        <v>Arboretum Kalmtout</v>
      </c>
      <c r="C15" s="22" t="str">
        <f>IFERROR(__xludf.DUMMYFUNCTION("""COMPUTED_VALUE"""),"mudel | Museum van Deinze en de Leiestreek")</f>
        <v>mudel | Museum van Deinze en de Leiestreek</v>
      </c>
      <c r="D15" s="22" t="str">
        <f>IFERROR(__xludf.DUMMYFUNCTION("""COMPUTED_VALUE"""),"Museum van de Grote Ardennen")</f>
        <v>Museum van de Grote Ardennen</v>
      </c>
      <c r="E15" s="22" t="str">
        <f>IFERROR(__xludf.DUMMYFUNCTION("""COMPUTED_VALUE"""),"Yper Museum")</f>
        <v>Yper Museum</v>
      </c>
      <c r="F15" s="22" t="str">
        <f>IFERROR(__xludf.DUMMYFUNCTION("""COMPUTED_VALUE"""),"HEY Museum")</f>
        <v>HEY Museum</v>
      </c>
      <c r="G15" s="22" t="str">
        <f>IFERROR(__xludf.DUMMYFUNCTION("""COMPUTED_VALUE"""),"MAS | Museum aan de Stroom")</f>
        <v>MAS | Museum aan de Stroom</v>
      </c>
    </row>
    <row r="16">
      <c r="A16" s="22" t="str">
        <f>IFERROR(__xludf.DUMMYFUNCTION("""COMPUTED_VALUE"""),"Belle Epoque Centrum")</f>
        <v>Belle Epoque Centrum</v>
      </c>
      <c r="B16" s="22" t="str">
        <f>IFERROR(__xludf.DUMMYFUNCTION("""COMPUTED_VALUE"""),"DIVA | museum voor diamant juwelen en zilver")</f>
        <v>DIVA | museum voor diamant juwelen en zilver</v>
      </c>
      <c r="D16" s="22" t="str">
        <f>IFERROR(__xludf.DUMMYFUNCTION("""COMPUTED_VALUE"""),"AMVB | Archief en Museum voor het Vlaams leven te Brussel")</f>
        <v>AMVB | Archief en Museum voor het Vlaams leven te Brussel</v>
      </c>
      <c r="E16" s="22" t="str">
        <f>IFERROR(__xludf.DUMMYFUNCTION("""COMPUTED_VALUE"""),"Gasthuismuseum Geel")</f>
        <v>Gasthuismuseum Geel</v>
      </c>
      <c r="F16" s="22" t="str">
        <f>IFERROR(__xludf.DUMMYFUNCTION("""COMPUTED_VALUE"""),"Kasteel van Loppem")</f>
        <v>Kasteel van Loppem</v>
      </c>
      <c r="G16" s="22" t="str">
        <f>IFERROR(__xludf.DUMMYFUNCTION("""COMPUTED_VALUE"""),"M HKA | Museum van Hedendaagse Kunst Antwerpen")</f>
        <v>M HKA | Museum van Hedendaagse Kunst Antwerpen</v>
      </c>
    </row>
    <row r="17">
      <c r="A17" s="22" t="str">
        <f>IFERROR(__xludf.DUMMYFUNCTION("""COMPUTED_VALUE"""),"Brugse Vrije")</f>
        <v>Brugse Vrije</v>
      </c>
      <c r="B17" s="22" t="str">
        <f>IFERROR(__xludf.DUMMYFUNCTION("""COMPUTED_VALUE"""),"Gasthuismuseum Geel")</f>
        <v>Gasthuismuseum Geel</v>
      </c>
      <c r="D17" s="22" t="str">
        <f>IFERROR(__xludf.DUMMYFUNCTION("""COMPUTED_VALUE"""),"KBR museum")</f>
        <v>KBR museum</v>
      </c>
      <c r="E17" s="22" t="str">
        <f>IFERROR(__xludf.DUMMYFUNCTION("""COMPUTED_VALUE"""),"Museum Plantin-Moretus")</f>
        <v>Museum Plantin-Moretus</v>
      </c>
      <c r="F17" s="22" t="str">
        <f>IFERROR(__xludf.DUMMYFUNCTION("""COMPUTED_VALUE"""),"Museum Sint-Janshospitaal")</f>
        <v>Museum Sint-Janshospitaal</v>
      </c>
      <c r="G17" s="22" t="str">
        <f>IFERROR(__xludf.DUMMYFUNCTION("""COMPUTED_VALUE"""),"Middelheimmuseum")</f>
        <v>Middelheimmuseum</v>
      </c>
    </row>
    <row r="18">
      <c r="A18" s="22" t="str">
        <f>IFERROR(__xludf.DUMMYFUNCTION("""COMPUTED_VALUE"""),"Dodengang")</f>
        <v>Dodengang</v>
      </c>
      <c r="B18" s="22" t="str">
        <f>IFERROR(__xludf.DUMMYFUNCTION("""COMPUTED_VALUE"""),"Karrenmuseum Essen")</f>
        <v>Karrenmuseum Essen</v>
      </c>
      <c r="D18" s="22" t="str">
        <f>IFERROR(__xludf.DUMMYFUNCTION("""COMPUTED_VALUE"""),"Erasmushuis &amp; Begijnhof")</f>
        <v>Erasmushuis &amp; Begijnhof</v>
      </c>
      <c r="E18" s="22" t="str">
        <f>IFERROR(__xludf.DUMMYFUNCTION("""COMPUTED_VALUE"""),"Museum Vleeshuis")</f>
        <v>Museum Vleeshuis</v>
      </c>
      <c r="F18" s="22" t="str">
        <f>IFERROR(__xludf.DUMMYFUNCTION("""COMPUTED_VALUE"""),"Mu.ZEE | Kunstmuseum aan Zee")</f>
        <v>Mu.ZEE | Kunstmuseum aan Zee</v>
      </c>
      <c r="G18" s="22" t="str">
        <f>IFERROR(__xludf.DUMMYFUNCTION("""COMPUTED_VALUE"""),"MoMu | ModeMuseum Antwerpen")</f>
        <v>MoMu | ModeMuseum Antwerpen</v>
      </c>
    </row>
    <row r="19">
      <c r="A19" s="22" t="str">
        <f>IFERROR(__xludf.DUMMYFUNCTION("""COMPUTED_VALUE"""),"Eperon d’Or")</f>
        <v>Eperon d’Or</v>
      </c>
      <c r="B19" s="22" t="str">
        <f>IFERROR(__xludf.DUMMYFUNCTION("""COMPUTED_VALUE"""),"Museum Plantin-Moretus")</f>
        <v>Museum Plantin-Moretus</v>
      </c>
      <c r="D19" s="22" t="str">
        <f>IFERROR(__xludf.DUMMYFUNCTION("""COMPUTED_VALUE"""),"Wittockiana")</f>
        <v>Wittockiana</v>
      </c>
      <c r="E19" s="22" t="str">
        <f>IFERROR(__xludf.DUMMYFUNCTION("""COMPUTED_VALUE"""),"Sint-Pauluskerk")</f>
        <v>Sint-Pauluskerk</v>
      </c>
      <c r="F19" s="22" t="str">
        <f>IFERROR(__xludf.DUMMYFUNCTION("""COMPUTED_VALUE"""),"NAVIGO Visserijmuseum")</f>
        <v>NAVIGO Visserijmuseum</v>
      </c>
      <c r="G19" s="22" t="str">
        <f>IFERROR(__xludf.DUMMYFUNCTION("""COMPUTED_VALUE"""),"Sint-Pauluskerk")</f>
        <v>Sint-Pauluskerk</v>
      </c>
    </row>
    <row r="20">
      <c r="A20" s="22" t="str">
        <f>IFERROR(__xludf.DUMMYFUNCTION("""COMPUTED_VALUE"""),"Gruuthusemuseum")</f>
        <v>Gruuthusemuseum</v>
      </c>
      <c r="B20" s="22" t="str">
        <f>IFERROR(__xludf.DUMMYFUNCTION("""COMPUTED_VALUE"""),"Nationaal Museum van de Speelkaart")</f>
        <v>Nationaal Museum van de Speelkaart</v>
      </c>
      <c r="D20" s="22" t="str">
        <f>IFERROR(__xludf.DUMMYFUNCTION("""COMPUTED_VALUE"""),"Curiosum | Een huis vol herinnering")</f>
        <v>Curiosum | Een huis vol herinnering</v>
      </c>
      <c r="E20" s="22" t="str">
        <f>IFERROR(__xludf.DUMMYFUNCTION("""COMPUTED_VALUE"""),"Stadsmuseum Lier")</f>
        <v>Stadsmuseum Lier</v>
      </c>
      <c r="F20" s="22" t="str">
        <f>IFERROR(__xludf.DUMMYFUNCTION("""COMPUTED_VALUE"""),"O.L.V.-kerk Museum")</f>
        <v>O.L.V.-kerk Museum</v>
      </c>
      <c r="G20" s="22" t="str">
        <f>IFERROR(__xludf.DUMMYFUNCTION("""COMPUTED_VALUE"""),"Stadsmuseum Lier")</f>
        <v>Stadsmuseum Lier</v>
      </c>
    </row>
    <row r="21">
      <c r="A21" s="22" t="str">
        <f>IFERROR(__xludf.DUMMYFUNCTION("""COMPUTED_VALUE"""),"HEY Museum")</f>
        <v>HEY Museum</v>
      </c>
      <c r="B21" s="22" t="str">
        <f>IFERROR(__xludf.DUMMYFUNCTION("""COMPUTED_VALUE"""),"Speelgoedmuseum")</f>
        <v>Speelgoedmuseum</v>
      </c>
      <c r="D21" s="22" t="str">
        <f>IFERROR(__xludf.DUMMYFUNCTION("""COMPUTED_VALUE"""),"Sint-Pietersabdij Gent")</f>
        <v>Sint-Pietersabdij Gent</v>
      </c>
      <c r="E21" s="22" t="str">
        <f>IFERROR(__xludf.DUMMYFUNCTION("""COMPUTED_VALUE"""),"Taxandriamuseum")</f>
        <v>Taxandriamuseum</v>
      </c>
      <c r="F21" s="22" t="str">
        <f>IFERROR(__xludf.DUMMYFUNCTION("""COMPUTED_VALUE"""),"O.L.V. ter Potterie")</f>
        <v>O.L.V. ter Potterie</v>
      </c>
      <c r="G21" s="22" t="str">
        <f>IFERROR(__xludf.DUMMYFUNCTION("""COMPUTED_VALUE"""),"Het steen, The Antwerp Story")</f>
        <v>Het steen, The Antwerp Story</v>
      </c>
    </row>
    <row r="22">
      <c r="A22" s="22" t="str">
        <f>IFERROR(__xludf.DUMMYFUNCTION("""COMPUTED_VALUE"""),"Hopmuseum Poperinge")</f>
        <v>Hopmuseum Poperinge</v>
      </c>
      <c r="B22" s="22" t="str">
        <f>IFERROR(__xludf.DUMMYFUNCTION("""COMPUTED_VALUE"""),"Stadsmuseum Lier")</f>
        <v>Stadsmuseum Lier</v>
      </c>
      <c r="E22" s="22" t="str">
        <f>IFERROR(__xludf.DUMMYFUNCTION("""COMPUTED_VALUE"""),"Het steen, The Antwerp Story")</f>
        <v>Het steen, The Antwerp Story</v>
      </c>
      <c r="F22" s="22" t="str">
        <f>IFERROR(__xludf.DUMMYFUNCTION("""COMPUTED_VALUE"""),"Paul Delvaux Museum")</f>
        <v>Paul Delvaux Museum</v>
      </c>
      <c r="G22" s="22" t="str">
        <f>IFERROR(__xludf.DUMMYFUNCTION("""COMPUTED_VALUE"""),"M Leuven")</f>
        <v>M Leuven</v>
      </c>
    </row>
    <row r="23">
      <c r="A23" s="22" t="str">
        <f>IFERROR(__xludf.DUMMYFUNCTION("""COMPUTED_VALUE"""),"In Flanders Fields Museum")</f>
        <v>In Flanders Fields Museum</v>
      </c>
      <c r="B23" s="22" t="str">
        <f>IFERROR(__xludf.DUMMYFUNCTION("""COMPUTED_VALUE"""),"‘t Grom")</f>
        <v>‘t Grom</v>
      </c>
      <c r="E23" s="22" t="str">
        <f>IFERROR(__xludf.DUMMYFUNCTION("""COMPUTED_VALUE"""),"Kasteel van Gaasbeek")</f>
        <v>Kasteel van Gaasbeek</v>
      </c>
      <c r="F23" s="22" t="str">
        <f>IFERROR(__xludf.DUMMYFUNCTION("""COMPUTED_VALUE"""),"Peiremuzee")</f>
        <v>Peiremuzee</v>
      </c>
      <c r="G23" s="22" t="str">
        <f>IFERROR(__xludf.DUMMYFUNCTION("""COMPUTED_VALUE"""),"Museum PARCUM, Abdij van Park Leuven")</f>
        <v>Museum PARCUM, Abdij van Park Leuven</v>
      </c>
    </row>
    <row r="24">
      <c r="A24" s="22" t="str">
        <f>IFERROR(__xludf.DUMMYFUNCTION("""COMPUTED_VALUE"""),"Kantmuseum Brugge")</f>
        <v>Kantmuseum Brugge</v>
      </c>
      <c r="B24" s="22" t="str">
        <f>IFERROR(__xludf.DUMMYFUNCTION("""COMPUTED_VALUE"""),"Het steen, The Antwerp Story")</f>
        <v>Het steen, The Antwerp Story</v>
      </c>
      <c r="E24" s="22" t="str">
        <f>IFERROR(__xludf.DUMMYFUNCTION("""COMPUTED_VALUE"""),"Museum PARCUM, Abdij van Park Leuven")</f>
        <v>Museum PARCUM, Abdij van Park Leuven</v>
      </c>
      <c r="F24" s="22" t="str">
        <f>IFERROR(__xludf.DUMMYFUNCTION("""COMPUTED_VALUE"""),"Permekemuseum")</f>
        <v>Permekemuseum</v>
      </c>
      <c r="G24" s="22" t="str">
        <f>IFERROR(__xludf.DUMMYFUNCTION("""COMPUTED_VALUE"""),"DE MINDERE")</f>
        <v>DE MINDERE</v>
      </c>
    </row>
    <row r="25">
      <c r="A25" s="22" t="str">
        <f>IFERROR(__xludf.DUMMYFUNCTION("""COMPUTED_VALUE"""),"Kasteel van Loppem")</f>
        <v>Kasteel van Loppem</v>
      </c>
      <c r="B25" s="22" t="str">
        <f>IFERROR(__xludf.DUMMYFUNCTION("""COMPUTED_VALUE"""),"AfricaMuseum")</f>
        <v>AfricaMuseum</v>
      </c>
      <c r="E25" s="22" t="str">
        <f>IFERROR(__xludf.DUMMYFUNCTION("""COMPUTED_VALUE"""),"C-mine")</f>
        <v>C-mine</v>
      </c>
      <c r="F25" s="22" t="str">
        <f>IFERROR(__xludf.DUMMYFUNCTION("""COMPUTED_VALUE"""),"Stadhuis Brugge")</f>
        <v>Stadhuis Brugge</v>
      </c>
      <c r="G25" s="22" t="str">
        <f>IFERROR(__xludf.DUMMYFUNCTION("""COMPUTED_VALUE"""),"GlazenHuis")</f>
        <v>GlazenHuis</v>
      </c>
    </row>
    <row r="26">
      <c r="A26" s="22" t="str">
        <f>IFERROR(__xludf.DUMMYFUNCTION("""COMPUTED_VALUE"""),"KOERS | Museum van de Wielersport")</f>
        <v>KOERS | Museum van de Wielersport</v>
      </c>
      <c r="B26" s="22" t="str">
        <f>IFERROR(__xludf.DUMMYFUNCTION("""COMPUTED_VALUE"""),"Plantentuin Meise")</f>
        <v>Plantentuin Meise</v>
      </c>
      <c r="E26" s="22" t="str">
        <f>IFERROR(__xludf.DUMMYFUNCTION("""COMPUTED_VALUE"""),"Duitse Orde Museum (DOMUS) Alden Biesen")</f>
        <v>Duitse Orde Museum (DOMUS) Alden Biesen</v>
      </c>
      <c r="F26" s="22" t="str">
        <f>IFERROR(__xludf.DUMMYFUNCTION("""COMPUTED_VALUE"""),"Yper Museum")</f>
        <v>Yper Museum</v>
      </c>
      <c r="G26" s="22" t="str">
        <f>IFERROR(__xludf.DUMMYFUNCTION("""COMPUTED_VALUE"""),"Z33 | Huis voor Actuele Kunst, Design &amp; Architectuur")</f>
        <v>Z33 | Huis voor Actuele Kunst, Design &amp; Architectuur</v>
      </c>
    </row>
    <row r="27">
      <c r="A27" s="22" t="str">
        <f>IFERROR(__xludf.DUMMYFUNCTION("""COMPUTED_VALUE"""),"Museum aan de IJzer")</f>
        <v>Museum aan de IJzer</v>
      </c>
      <c r="B27" s="22" t="str">
        <f>IFERROR(__xludf.DUMMYFUNCTION("""COMPUTED_VALUE"""),"Apotheekmuseum")</f>
        <v>Apotheekmuseum</v>
      </c>
      <c r="E27" s="22" t="str">
        <f>IFERROR(__xludf.DUMMYFUNCTION("""COMPUTED_VALUE"""),"GlazenHuis")</f>
        <v>GlazenHuis</v>
      </c>
      <c r="F27" s="22" t="str">
        <f>IFERROR(__xludf.DUMMYFUNCTION("""COMPUTED_VALUE"""),"Begijnhofmuseum Turnhout")</f>
        <v>Begijnhofmuseum Turnhout</v>
      </c>
      <c r="G27" s="22" t="str">
        <f>IFERROR(__xludf.DUMMYFUNCTION("""COMPUTED_VALUE"""),"CAP/museum voor Schone Kunsten van Bergen")</f>
        <v>CAP/museum voor Schone Kunsten van Bergen</v>
      </c>
    </row>
    <row r="28">
      <c r="A28" s="22" t="str">
        <f>IFERROR(__xludf.DUMMYFUNCTION("""COMPUTED_VALUE"""),"Museum Sint-Janshospitaal")</f>
        <v>Museum Sint-Janshospitaal</v>
      </c>
      <c r="B28" s="22" t="str">
        <f>IFERROR(__xludf.DUMMYFUNCTION("""COMPUTED_VALUE"""),"Jenevermuseum")</f>
        <v>Jenevermuseum</v>
      </c>
      <c r="E28" s="22" t="str">
        <f>IFERROR(__xludf.DUMMYFUNCTION("""COMPUTED_VALUE"""),"LABIOMISTA")</f>
        <v>LABIOMISTA</v>
      </c>
      <c r="F28" s="22" t="str">
        <f>IFERROR(__xludf.DUMMYFUNCTION("""COMPUTED_VALUE"""),"FOMU | Fotomuseum Antwerpen")</f>
        <v>FOMU | Fotomuseum Antwerpen</v>
      </c>
      <c r="G28" s="22" t="str">
        <f>IFERROR(__xludf.DUMMYFUNCTION("""COMPUTED_VALUE"""),"Centrum voor Innovatie en Design van Grand-Hornu")</f>
        <v>Centrum voor Innovatie en Design van Grand-Hornu</v>
      </c>
    </row>
    <row r="29">
      <c r="A29" s="22" t="str">
        <f>IFERROR(__xludf.DUMMYFUNCTION("""COMPUTED_VALUE"""),"Nationaal Tabaksmuseum")</f>
        <v>Nationaal Tabaksmuseum</v>
      </c>
      <c r="B29" s="22" t="str">
        <f>IFERROR(__xludf.DUMMYFUNCTION("""COMPUTED_VALUE"""),"LABIOMISTA")</f>
        <v>LABIOMISTA</v>
      </c>
      <c r="E29" s="22" t="str">
        <f>IFERROR(__xludf.DUMMYFUNCTION("""COMPUTED_VALUE"""),"Z33 | Huis voor Actuele Kunst, Design &amp; Architectuur")</f>
        <v>Z33 | Huis voor Actuele Kunst, Design &amp; Architectuur</v>
      </c>
      <c r="F29" s="22" t="str">
        <f>IFERROR(__xludf.DUMMYFUNCTION("""COMPUTED_VALUE"""),"Gasthuismuseum Geel")</f>
        <v>Gasthuismuseum Geel</v>
      </c>
      <c r="G29" s="22" t="str">
        <f>IFERROR(__xludf.DUMMYFUNCTION("""COMPUTED_VALUE"""),"MACS | Museum voor Hedendaagse Kunsten Grand-Hornu")</f>
        <v>MACS | Museum voor Hedendaagse Kunsten Grand-Hornu</v>
      </c>
    </row>
    <row r="30">
      <c r="A30" s="22" t="str">
        <f>IFERROR(__xludf.DUMMYFUNCTION("""COMPUTED_VALUE"""),"O.L.V. ter Potterie")</f>
        <v>O.L.V. ter Potterie</v>
      </c>
      <c r="B30" s="22" t="str">
        <f>IFERROR(__xludf.DUMMYFUNCTION("""COMPUTED_VALUE"""),"Aquarium-Museum van Luik")</f>
        <v>Aquarium-Museum van Luik</v>
      </c>
      <c r="E30" s="22" t="str">
        <f>IFERROR(__xludf.DUMMYFUNCTION("""COMPUTED_VALUE"""),"Stadsmuseum Eupen")</f>
        <v>Stadsmuseum Eupen</v>
      </c>
      <c r="F30" s="22" t="str">
        <f>IFERROR(__xludf.DUMMYFUNCTION("""COMPUTED_VALUE"""),"Jakob Smitsmuseum")</f>
        <v>Jakob Smitsmuseum</v>
      </c>
      <c r="G30" s="22" t="str">
        <f>IFERROR(__xludf.DUMMYFUNCTION("""COMPUTED_VALUE"""),"Lintweverijmuseum van Komen")</f>
        <v>Lintweverijmuseum van Komen</v>
      </c>
    </row>
    <row r="31">
      <c r="A31" s="22" t="str">
        <f>IFERROR(__xludf.DUMMYFUNCTION("""COMPUTED_VALUE"""),"Passchendaele Museum")</f>
        <v>Passchendaele Museum</v>
      </c>
      <c r="B31" s="22" t="str">
        <f>IFERROR(__xludf.DUMMYFUNCTION("""COMPUTED_VALUE"""),"Bos en Watermuseum “P. Noé”")</f>
        <v>Bos en Watermuseum “P. Noé”</v>
      </c>
      <c r="E31" s="22" t="str">
        <f>IFERROR(__xludf.DUMMYFUNCTION("""COMPUTED_VALUE"""),"Artotheek ")</f>
        <v>Artotheek </v>
      </c>
      <c r="F31" s="22" t="str">
        <f>IFERROR(__xludf.DUMMYFUNCTION("""COMPUTED_VALUE"""),"KMSKA | Koninklijk Museum voor Schone Kunsten Antwerpen")</f>
        <v>KMSKA | Koninklijk Museum voor Schone Kunsten Antwerpen</v>
      </c>
      <c r="G31" s="22" t="str">
        <f>IFERROR(__xludf.DUMMYFUNCTION("""COMPUTED_VALUE"""),"TAMAT | Museum voor Wandtapijten en Textielkunsten van de Federatie Wallonië-Brussel")</f>
        <v>TAMAT | Museum voor Wandtapijten en Textielkunsten van de Federatie Wallonië-Brussel</v>
      </c>
    </row>
    <row r="32">
      <c r="A32" s="22" t="str">
        <f>IFERROR(__xludf.DUMMYFUNCTION("""COMPUTED_VALUE"""),"Romeins Archeologisch Museum Oudenburg")</f>
        <v>Romeins Archeologisch Museum Oudenburg</v>
      </c>
      <c r="B32" s="22" t="str">
        <f>IFERROR(__xludf.DUMMYFUNCTION("""COMPUTED_VALUE"""),"Museum van de wastechniek")</f>
        <v>Museum van de wastechniek</v>
      </c>
      <c r="E32" s="22" t="str">
        <f>IFERROR(__xludf.DUMMYFUNCTION("""COMPUTED_VALUE"""),"Belfort van Bergen")</f>
        <v>Belfort van Bergen</v>
      </c>
      <c r="F32" s="22" t="str">
        <f>IFERROR(__xludf.DUMMYFUNCTION("""COMPUTED_VALUE"""),"Kunsthal Extra City")</f>
        <v>Kunsthal Extra City</v>
      </c>
      <c r="G32" s="22" t="str">
        <f>IFERROR(__xludf.DUMMYFUNCTION("""COMPUTED_VALUE"""),"FAM | Famenne &amp; Art Museum")</f>
        <v>FAM | Famenne &amp; Art Museum</v>
      </c>
    </row>
    <row r="33">
      <c r="A33" s="22" t="str">
        <f>IFERROR(__xludf.DUMMYFUNCTION("""COMPUTED_VALUE"""),"Sint-Janshuismolen")</f>
        <v>Sint-Janshuismolen</v>
      </c>
      <c r="B33" s="22" t="str">
        <f>IFERROR(__xludf.DUMMYFUNCTION("""COMPUTED_VALUE"""),"Huis van de Metallurgie en Industrie van Luik")</f>
        <v>Huis van de Metallurgie en Industrie van Luik</v>
      </c>
      <c r="E33" s="22" t="str">
        <f>IFERROR(__xludf.DUMMYFUNCTION("""COMPUTED_VALUE"""),"Museum van Mijnbouw en Duurzame Ontwikkeling")</f>
        <v>Museum van Mijnbouw en Duurzame Ontwikkeling</v>
      </c>
      <c r="F33" s="22" t="str">
        <f>IFERROR(__xludf.DUMMYFUNCTION("""COMPUTED_VALUE"""),"Kunsthal Mechelen")</f>
        <v>Kunsthal Mechelen</v>
      </c>
      <c r="G33" s="22" t="str">
        <f>IFERROR(__xludf.DUMMYFUNCTION("""COMPUTED_VALUE"""),"AMVB | Archief en Museum voor het Vlaams leven te Brussel")</f>
        <v>AMVB | Archief en Museum voor het Vlaams leven te Brussel</v>
      </c>
    </row>
    <row r="34">
      <c r="A34" s="22" t="str">
        <f>IFERROR(__xludf.DUMMYFUNCTION("""COMPUTED_VALUE"""),"Stadhuis Brugge")</f>
        <v>Stadhuis Brugge</v>
      </c>
      <c r="B34" s="22" t="str">
        <f>IFERROR(__xludf.DUMMYFUNCTION("""COMPUTED_VALUE"""),"Stadsmuseum Eupen")</f>
        <v>Stadsmuseum Eupen</v>
      </c>
      <c r="E34" s="22" t="str">
        <f>IFERROR(__xludf.DUMMYFUNCTION("""COMPUTED_VALUE"""),"CAP/het Collectiehuis")</f>
        <v>CAP/het Collectiehuis</v>
      </c>
      <c r="F34" s="22" t="str">
        <f>IFERROR(__xludf.DUMMYFUNCTION("""COMPUTED_VALUE"""),"MAS | Museum aan de Stroom")</f>
        <v>MAS | Museum aan de Stroom</v>
      </c>
      <c r="G34" s="22" t="str">
        <f>IFERROR(__xludf.DUMMYFUNCTION("""COMPUTED_VALUE"""),"Art et marges musée museum")</f>
        <v>Art et marges musée museum</v>
      </c>
    </row>
    <row r="35">
      <c r="A35" s="22" t="str">
        <f>IFERROR(__xludf.DUMMYFUNCTION("""COMPUTED_VALUE"""),"Talbot House")</f>
        <v>Talbot House</v>
      </c>
      <c r="B35" s="22" t="str">
        <f>IFERROR(__xludf.DUMMYFUNCTION("""COMPUTED_VALUE"""),"Museum Vieille Montagne")</f>
        <v>Museum Vieille Montagne</v>
      </c>
      <c r="E35" s="22" t="str">
        <f>IFERROR(__xludf.DUMMYFUNCTION("""COMPUTED_VALUE"""),"Centrum voor Innovatie en Design van Grand-Hornu")</f>
        <v>Centrum voor Innovatie en Design van Grand-Hornu</v>
      </c>
      <c r="F35" s="22" t="str">
        <f>IFERROR(__xludf.DUMMYFUNCTION("""COMPUTED_VALUE"""),"M HKA | Museum van Hedendaagse Kunst Antwerpen")</f>
        <v>M HKA | Museum van Hedendaagse Kunst Antwerpen</v>
      </c>
      <c r="G35" s="22" t="str">
        <f>IFERROR(__xludf.DUMMYFUNCTION("""COMPUTED_VALUE"""),"Paleis voor Schone Kunsten")</f>
        <v>Paleis voor Schone Kunsten</v>
      </c>
    </row>
    <row r="36">
      <c r="A36" s="22" t="str">
        <f>IFERROR(__xludf.DUMMYFUNCTION("""COMPUTED_VALUE"""),"Volkskundemuseum")</f>
        <v>Volkskundemuseum</v>
      </c>
      <c r="B36" s="22" t="str">
        <f>IFERROR(__xludf.DUMMYFUNCTION("""COMPUTED_VALUE"""),"WaterHouse")</f>
        <v>WaterHouse</v>
      </c>
      <c r="E36" s="22" t="str">
        <f>IFERROR(__xludf.DUMMYFUNCTION("""COMPUTED_VALUE"""),"Domein van het Kasteel van Seneffe")</f>
        <v>Domein van het Kasteel van Seneffe</v>
      </c>
      <c r="F36" s="22" t="str">
        <f>IFERROR(__xludf.DUMMYFUNCTION("""COMPUTED_VALUE"""),"Middelheimmuseum")</f>
        <v>Middelheimmuseum</v>
      </c>
      <c r="G36" s="22" t="str">
        <f>IFERROR(__xludf.DUMMYFUNCTION("""COMPUTED_VALUE"""),"Design Museum Brussels")</f>
        <v>Design Museum Brussels</v>
      </c>
    </row>
    <row r="37">
      <c r="A37" s="22" t="str">
        <f>IFERROR(__xludf.DUMMYFUNCTION("""COMPUTED_VALUE"""),"Westfront Nieuwpoort")</f>
        <v>Westfront Nieuwpoort</v>
      </c>
      <c r="B37" s="22" t="str">
        <f>IFERROR(__xludf.DUMMYFUNCTION("""COMPUTED_VALUE"""),"Artotheek ")</f>
        <v>Artotheek </v>
      </c>
      <c r="E37" s="22" t="str">
        <f>IFERROR(__xludf.DUMMYFUNCTION("""COMPUTED_VALUE"""),"MACS | Museum voor Hedendaagse Kunsten Grand-Hornu")</f>
        <v>MACS | Museum voor Hedendaagse Kunsten Grand-Hornu</v>
      </c>
      <c r="F37" s="22" t="str">
        <f>IFERROR(__xludf.DUMMYFUNCTION("""COMPUTED_VALUE"""),"Museum De Reede")</f>
        <v>Museum De Reede</v>
      </c>
      <c r="G37" s="22" t="str">
        <f>IFERROR(__xludf.DUMMYFUNCTION("""COMPUTED_VALUE"""),"Fondation CAB")</f>
        <v>Fondation CAB</v>
      </c>
    </row>
    <row r="38">
      <c r="A38" s="22" t="str">
        <f>IFERROR(__xludf.DUMMYFUNCTION("""COMPUTED_VALUE"""),"Yper Museum")</f>
        <v>Yper Museum</v>
      </c>
      <c r="B38" s="22" t="str">
        <f>IFERROR(__xludf.DUMMYFUNCTION("""COMPUTED_VALUE"""),"Museum van Mijnbouw en Duurzame Ontwikkeling")</f>
        <v>Museum van Mijnbouw en Duurzame Ontwikkeling</v>
      </c>
      <c r="E38" s="22" t="str">
        <f>IFERROR(__xludf.DUMMYFUNCTION("""COMPUTED_VALUE"""),"Maison Losseau ")</f>
        <v>Maison Losseau </v>
      </c>
      <c r="F38" s="22" t="str">
        <f>IFERROR(__xludf.DUMMYFUNCTION("""COMPUTED_VALUE"""),"Museum Mayer van den Bergh")</f>
        <v>Museum Mayer van den Bergh</v>
      </c>
      <c r="G38" s="22" t="str">
        <f>IFERROR(__xludf.DUMMYFUNCTION("""COMPUTED_VALUE"""),"iMAL")</f>
        <v>iMAL</v>
      </c>
    </row>
    <row r="39">
      <c r="A39" s="22" t="str">
        <f>IFERROR(__xludf.DUMMYFUNCTION("""COMPUTED_VALUE"""),"Zwin Natuur Park")</f>
        <v>Zwin Natuur Park</v>
      </c>
      <c r="B39" s="22" t="str">
        <f>IFERROR(__xludf.DUMMYFUNCTION("""COMPUTED_VALUE"""),"Wetenschappelijk Cultuurcentrum - ULB")</f>
        <v>Wetenschappelijk Cultuurcentrum - ULB</v>
      </c>
      <c r="E39" s="22" t="str">
        <f>IFERROR(__xludf.DUMMYFUNCTION("""COMPUTED_VALUE"""),"Mons Memorial Museum ")</f>
        <v>Mons Memorial Museum </v>
      </c>
      <c r="F39" s="22" t="str">
        <f>IFERROR(__xludf.DUMMYFUNCTION("""COMPUTED_VALUE"""),"Museum Plantin-Moretus")</f>
        <v>Museum Plantin-Moretus</v>
      </c>
      <c r="G39" s="22" t="str">
        <f>IFERROR(__xludf.DUMMYFUNCTION("""COMPUTED_VALUE"""),"LAB·AN x Hotel van Eetvelde")</f>
        <v>LAB·AN x Hotel van Eetvelde</v>
      </c>
    </row>
    <row r="40">
      <c r="A40" s="22" t="str">
        <f>IFERROR(__xludf.DUMMYFUNCTION("""COMPUTED_VALUE"""),"Begijnhofmuseum Turnhout")</f>
        <v>Begijnhofmuseum Turnhout</v>
      </c>
      <c r="B40" s="22" t="str">
        <f>IFERROR(__xludf.DUMMYFUNCTION("""COMPUTED_VALUE"""),"Le Bois du Cazier ")</f>
        <v>Le Bois du Cazier </v>
      </c>
      <c r="E40" s="22" t="str">
        <f>IFERROR(__xludf.DUMMYFUNCTION("""COMPUTED_VALUE"""),"Mundaneum ")</f>
        <v>Mundaneum </v>
      </c>
      <c r="F40" s="22" t="str">
        <f>IFERROR(__xludf.DUMMYFUNCTION("""COMPUTED_VALUE"""),"Museum Vleeshuis")</f>
        <v>Museum Vleeshuis</v>
      </c>
      <c r="G40" s="22" t="str">
        <f>IFERROR(__xludf.DUMMYFUNCTION("""COMPUTED_VALUE"""),"Maison Hannon")</f>
        <v>Maison Hannon</v>
      </c>
    </row>
    <row r="41">
      <c r="A41" s="22" t="str">
        <f>IFERROR(__xludf.DUMMYFUNCTION("""COMPUTED_VALUE"""),"DIVA | museum voor diamant juwelen en zilver")</f>
        <v>DIVA | museum voor diamant juwelen en zilver</v>
      </c>
      <c r="B41" s="22" t="str">
        <f>IFERROR(__xludf.DUMMYFUNCTION("""COMPUTED_VALUE"""),"Maison de l’Imprimerie ")</f>
        <v>Maison de l’Imprimerie </v>
      </c>
      <c r="E41" s="22" t="str">
        <f>IFERROR(__xludf.DUMMYFUNCTION("""COMPUTED_VALUE"""),"DHAM | Durbuy History &amp; Art Museum")</f>
        <v>DHAM | Durbuy History &amp; Art Museum</v>
      </c>
      <c r="F41" s="22" t="str">
        <f>IFERROR(__xludf.DUMMYFUNCTION("""COMPUTED_VALUE"""),"Rubenshuis")</f>
        <v>Rubenshuis</v>
      </c>
      <c r="G41" s="22" t="str">
        <f>IFERROR(__xludf.DUMMYFUNCTION("""COMPUTED_VALUE"""),"Belgisch Museum van de Vrijmetselarij")</f>
        <v>Belgisch Museum van de Vrijmetselarij</v>
      </c>
    </row>
    <row r="42">
      <c r="A42" s="22" t="str">
        <f>IFERROR(__xludf.DUMMYFUNCTION("""COMPUTED_VALUE"""),"Erfgoedbibliotheek Hendrik Conscience - Nottebohmzaal")</f>
        <v>Erfgoedbibliotheek Hendrik Conscience - Nottebohmzaal</v>
      </c>
      <c r="B42" s="22" t="str">
        <f>IFERROR(__xludf.DUMMYFUNCTION("""COMPUTED_VALUE"""),"MUMONS ")</f>
        <v>MUMONS </v>
      </c>
      <c r="E42" s="22" t="str">
        <f>IFERROR(__xludf.DUMMYFUNCTION("""COMPUTED_VALUE"""),"FAM | Famenne &amp; Art Museum")</f>
        <v>FAM | Famenne &amp; Art Museum</v>
      </c>
      <c r="F42" s="22" t="str">
        <f>IFERROR(__xludf.DUMMYFUNCTION("""COMPUTED_VALUE"""),"Sint-Pauluskerk")</f>
        <v>Sint-Pauluskerk</v>
      </c>
      <c r="G42" s="22" t="str">
        <f>IFERROR(__xludf.DUMMYFUNCTION("""COMPUTED_VALUE"""),"Stripmuseum Brussel")</f>
        <v>Stripmuseum Brussel</v>
      </c>
    </row>
    <row r="43">
      <c r="A43" s="22" t="str">
        <f>IFERROR(__xludf.DUMMYFUNCTION("""COMPUTED_VALUE"""),"Fort van Breendonk")</f>
        <v>Fort van Breendonk</v>
      </c>
      <c r="B43" s="22" t="str">
        <f>IFERROR(__xludf.DUMMYFUNCTION("""COMPUTED_VALUE"""),"Mundaneum ")</f>
        <v>Mundaneum </v>
      </c>
      <c r="E43" s="22" t="str">
        <f>IFERROR(__xludf.DUMMYFUNCTION("""COMPUTED_VALUE"""),"Gaspar Museum")</f>
        <v>Gaspar Museum</v>
      </c>
      <c r="F43" s="22" t="str">
        <f>IFERROR(__xludf.DUMMYFUNCTION("""COMPUTED_VALUE"""),"Stadsmuseum Lier")</f>
        <v>Stadsmuseum Lier</v>
      </c>
      <c r="G43" s="22" t="str">
        <f>IFERROR(__xludf.DUMMYFUNCTION("""COMPUTED_VALUE"""),"Museum en Tuinen van Buuren")</f>
        <v>Museum en Tuinen van Buuren</v>
      </c>
    </row>
    <row r="44">
      <c r="A44" s="22" t="str">
        <f>IFERROR(__xludf.DUMMYFUNCTION("""COMPUTED_VALUE"""),"Gasthuismuseum Geel")</f>
        <v>Gasthuismuseum Geel</v>
      </c>
      <c r="B44" s="22" t="str">
        <f>IFERROR(__xludf.DUMMYFUNCTION("""COMPUTED_VALUE"""),"Lintweverijmuseum van Komen")</f>
        <v>Lintweverijmuseum van Komen</v>
      </c>
      <c r="E44" s="22" t="str">
        <f>IFERROR(__xludf.DUMMYFUNCTION("""COMPUTED_VALUE"""),"Het Gaume Museum")</f>
        <v>Het Gaume Museum</v>
      </c>
      <c r="F44" s="22" t="str">
        <f>IFERROR(__xludf.DUMMYFUNCTION("""COMPUTED_VALUE"""),"Stedelijk Museum Hoogstraten")</f>
        <v>Stedelijk Museum Hoogstraten</v>
      </c>
      <c r="G44" s="22" t="str">
        <f>IFERROR(__xludf.DUMMYFUNCTION("""COMPUTED_VALUE"""),"Mode &amp; Kant Museum")</f>
        <v>Mode &amp; Kant Museum</v>
      </c>
    </row>
    <row r="45">
      <c r="A45" s="22" t="str">
        <f>IFERROR(__xludf.DUMMYFUNCTION("""COMPUTED_VALUE"""),"Het Snijders&amp;Rockoxhuis")</f>
        <v>Het Snijders&amp;Rockoxhuis</v>
      </c>
      <c r="B45" s="22" t="str">
        <f>IFERROR(__xludf.DUMMYFUNCTION("""COMPUTED_VALUE"""),"Natuurhistorisch Museum en Vivarium")</f>
        <v>Natuurhistorisch Museum en Vivarium</v>
      </c>
      <c r="E45" s="22" t="str">
        <f>IFERROR(__xludf.DUMMYFUNCTION("""COMPUTED_VALUE"""),"AMVB | Archief en Museum voor het Vlaams leven te Brussel")</f>
        <v>AMVB | Archief en Museum voor het Vlaams leven te Brussel</v>
      </c>
      <c r="F45" s="22" t="str">
        <f>IFERROR(__xludf.DUMMYFUNCTION("""COMPUTED_VALUE"""),"Taxandriamuseum")</f>
        <v>Taxandriamuseum</v>
      </c>
      <c r="G45" s="22" t="str">
        <f>IFERROR(__xludf.DUMMYFUNCTION("""COMPUTED_VALUE"""),"Wittockiana")</f>
        <v>Wittockiana</v>
      </c>
    </row>
    <row r="46">
      <c r="A46" s="22" t="str">
        <f>IFERROR(__xludf.DUMMYFUNCTION("""COMPUTED_VALUE"""),"Karrenmuseum Essen")</f>
        <v>Karrenmuseum Essen</v>
      </c>
      <c r="B46" s="22" t="str">
        <f>IFERROR(__xludf.DUMMYFUNCTION("""COMPUTED_VALUE"""),"Het Gaume Museum")</f>
        <v>Het Gaume Museum</v>
      </c>
      <c r="E46" s="22" t="str">
        <f>IFERROR(__xludf.DUMMYFUNCTION("""COMPUTED_VALUE"""),"Paleis voor Schone Kunsten")</f>
        <v>Paleis voor Schone Kunsten</v>
      </c>
      <c r="F46" s="22" t="str">
        <f>IFERROR(__xludf.DUMMYFUNCTION("""COMPUTED_VALUE"""),"Stichting Folon")</f>
        <v>Stichting Folon</v>
      </c>
      <c r="G46" s="22" t="str">
        <f>IFERROR(__xludf.DUMMYFUNCTION("""COMPUTED_VALUE"""),"Curiosum | Een huis vol herinnering")</f>
        <v>Curiosum | Een huis vol herinnering</v>
      </c>
    </row>
    <row r="47">
      <c r="A47" s="22" t="str">
        <f>IFERROR(__xludf.DUMMYFUNCTION("""COMPUTED_VALUE"""),"Kazerne Dossin")</f>
        <v>Kazerne Dossin</v>
      </c>
      <c r="B47" s="22" t="str">
        <f>IFERROR(__xludf.DUMMYFUNCTION("""COMPUTED_VALUE"""),"Autoworld Brussels")</f>
        <v>Autoworld Brussels</v>
      </c>
      <c r="E47" s="22" t="str">
        <f>IFERROR(__xludf.DUMMYFUNCTION("""COMPUTED_VALUE"""),"CIVA")</f>
        <v>CIVA</v>
      </c>
      <c r="F47" s="22" t="str">
        <f>IFERROR(__xludf.DUMMYFUNCTION("""COMPUTED_VALUE"""),"Hergé Museum")</f>
        <v>Hergé Museum</v>
      </c>
      <c r="G47" s="22" t="str">
        <f>IFERROR(__xludf.DUMMYFUNCTION("""COMPUTED_VALUE"""),"Design Museum Gent")</f>
        <v>Design Museum Gent</v>
      </c>
    </row>
    <row r="48">
      <c r="A48" s="22" t="str">
        <f>IFERROR(__xludf.DUMMYFUNCTION("""COMPUTED_VALUE"""),"MAS | Museum aan de Stroom")</f>
        <v>MAS | Museum aan de Stroom</v>
      </c>
      <c r="B48" s="22" t="str">
        <f>IFERROR(__xludf.DUMMYFUNCTION("""COMPUTED_VALUE"""),"Paleis voor Schone Kunsten")</f>
        <v>Paleis voor Schone Kunsten</v>
      </c>
      <c r="E48" s="22" t="str">
        <f>IFERROR(__xludf.DUMMYFUNCTION("""COMPUTED_VALUE"""),"KANAL | Centre Pompidou")</f>
        <v>KANAL | Centre Pompidou</v>
      </c>
      <c r="F48" s="22" t="str">
        <f>IFERROR(__xludf.DUMMYFUNCTION("""COMPUTED_VALUE"""),"Musée L")</f>
        <v>Musée L</v>
      </c>
      <c r="G48" s="22" t="str">
        <f>IFERROR(__xludf.DUMMYFUNCTION("""COMPUTED_VALUE"""),"Huis van Alijn")</f>
        <v>Huis van Alijn</v>
      </c>
    </row>
    <row r="49">
      <c r="A49" s="22" t="str">
        <f>IFERROR(__xludf.DUMMYFUNCTION("""COMPUTED_VALUE"""),"Museum Fort Liezele")</f>
        <v>Museum Fort Liezele</v>
      </c>
      <c r="B49" s="22" t="str">
        <f>IFERROR(__xludf.DUMMYFUNCTION("""COMPUTED_VALUE"""),"iMAL")</f>
        <v>iMAL</v>
      </c>
      <c r="E49" s="22" t="str">
        <f>IFERROR(__xludf.DUMMYFUNCTION("""COMPUTED_VALUE"""),"LAB·AN x Hotel van Eetvelde")</f>
        <v>LAB·AN x Hotel van Eetvelde</v>
      </c>
      <c r="F49" s="22" t="str">
        <f>IFERROR(__xludf.DUMMYFUNCTION("""COMPUTED_VALUE"""),"Marthe Donas museum")</f>
        <v>Marthe Donas museum</v>
      </c>
    </row>
    <row r="50">
      <c r="A50" s="22" t="str">
        <f>IFERROR(__xludf.DUMMYFUNCTION("""COMPUTED_VALUE"""),"Museum Hof van Busleyden")</f>
        <v>Museum Hof van Busleyden</v>
      </c>
      <c r="B50" s="22" t="str">
        <f>IFERROR(__xludf.DUMMYFUNCTION("""COMPUTED_VALUE"""),"Riolenmuseum")</f>
        <v>Riolenmuseum</v>
      </c>
      <c r="E50" s="22" t="str">
        <f>IFERROR(__xludf.DUMMYFUNCTION("""COMPUTED_VALUE"""),"Het Autrique Huis")</f>
        <v>Het Autrique Huis</v>
      </c>
      <c r="F50" s="22" t="str">
        <f>IFERROR(__xludf.DUMMYFUNCTION("""COMPUTED_VALUE"""),"AfricaMuseum")</f>
        <v>AfricaMuseum</v>
      </c>
    </row>
    <row r="51">
      <c r="A51" s="22" t="str">
        <f>IFERROR(__xludf.DUMMYFUNCTION("""COMPUTED_VALUE"""),"Museum Mayer van den Bergh")</f>
        <v>Museum Mayer van den Bergh</v>
      </c>
      <c r="B51" s="22" t="str">
        <f>IFERROR(__xludf.DUMMYFUNCTION("""COMPUTED_VALUE"""),"Museum van de Nationale Bank van België")</f>
        <v>Museum van de Nationale Bank van België</v>
      </c>
      <c r="E51" s="22" t="str">
        <f>IFERROR(__xludf.DUMMYFUNCTION("""COMPUTED_VALUE"""),"Het Stadhuis van Brussel")</f>
        <v>Het Stadhuis van Brussel</v>
      </c>
      <c r="F51" s="22" t="str">
        <f>IFERROR(__xludf.DUMMYFUNCTION("""COMPUTED_VALUE"""),"Dru!f, huis van de tafeldruif")</f>
        <v>Dru!f, huis van de tafeldruif</v>
      </c>
    </row>
    <row r="52">
      <c r="A52" s="22" t="str">
        <f>IFERROR(__xludf.DUMMYFUNCTION("""COMPUTED_VALUE"""),"Museum Plantin-Moretus")</f>
        <v>Museum Plantin-Moretus</v>
      </c>
      <c r="B52" s="22" t="str">
        <f>IFERROR(__xludf.DUMMYFUNCTION("""COMPUTED_VALUE"""),"Geneeskundemuseum")</f>
        <v>Geneeskundemuseum</v>
      </c>
      <c r="E52" s="22" t="str">
        <f>IFERROR(__xludf.DUMMYFUNCTION("""COMPUTED_VALUE"""),"Erasmushuis &amp; Begijnhof")</f>
        <v>Erasmushuis &amp; Begijnhof</v>
      </c>
      <c r="F52" s="22" t="str">
        <f>IFERROR(__xludf.DUMMYFUNCTION("""COMPUTED_VALUE"""),"FeliXart Museum")</f>
        <v>FeliXart Museum</v>
      </c>
    </row>
    <row r="53">
      <c r="A53" s="22" t="str">
        <f>IFERROR(__xludf.DUMMYFUNCTION("""COMPUTED_VALUE"""),"Museum Vleeshuis")</f>
        <v>Museum Vleeshuis</v>
      </c>
      <c r="B53" s="22" t="str">
        <f>IFERROR(__xludf.DUMMYFUNCTION("""COMPUTED_VALUE"""),"Koninklijk Museum van het Leger en de Krijgsgeschiedenis")</f>
        <v>Koninklijk Museum van het Leger en de Krijgsgeschiedenis</v>
      </c>
      <c r="E53" s="22" t="str">
        <f>IFERROR(__xludf.DUMMYFUNCTION("""COMPUTED_VALUE"""),"Maison Hannon")</f>
        <v>Maison Hannon</v>
      </c>
      <c r="F53" s="22" t="str">
        <f>IFERROR(__xludf.DUMMYFUNCTION("""COMPUTED_VALUE"""),"KADOC-KU Leuven")</f>
        <v>KADOC-KU Leuven</v>
      </c>
    </row>
    <row r="54">
      <c r="A54" s="22" t="str">
        <f>IFERROR(__xludf.DUMMYFUNCTION("""COMPUTED_VALUE"""),"Nationaal Museum van de Speelkaart")</f>
        <v>Nationaal Museum van de Speelkaart</v>
      </c>
      <c r="B54" s="22" t="str">
        <f>IFERROR(__xludf.DUMMYFUNCTION("""COMPUTED_VALUE"""),"Planetarium Brussel")</f>
        <v>Planetarium Brussel</v>
      </c>
      <c r="E54" s="22" t="str">
        <f>IFERROR(__xludf.DUMMYFUNCTION("""COMPUTED_VALUE"""),"muziekinstrumentenmuseum")</f>
        <v>muziekinstrumentenmuseum</v>
      </c>
      <c r="F54" s="22" t="str">
        <f>IFERROR(__xludf.DUMMYFUNCTION("""COMPUTED_VALUE"""),"Kasteel van Gaasbeek")</f>
        <v>Kasteel van Gaasbeek</v>
      </c>
    </row>
    <row r="55">
      <c r="A55" s="22" t="str">
        <f>IFERROR(__xludf.DUMMYFUNCTION("""COMPUTED_VALUE"""),"Red Star Line Museum")</f>
        <v>Red Star Line Museum</v>
      </c>
      <c r="B55" s="22" t="str">
        <f>IFERROR(__xludf.DUMMYFUNCTION("""COMPUTED_VALUE"""),"GUM | Gents Universiteitsmuseum")</f>
        <v>GUM | Gents Universiteitsmuseum</v>
      </c>
      <c r="E55" s="22" t="str">
        <f>IFERROR(__xludf.DUMMYFUNCTION("""COMPUTED_VALUE"""),"Belgisch Museum van de Vrijmetselarij")</f>
        <v>Belgisch Museum van de Vrijmetselarij</v>
      </c>
      <c r="F55" s="22" t="str">
        <f>IFERROR(__xludf.DUMMYFUNCTION("""COMPUTED_VALUE"""),"M Leuven")</f>
        <v>M Leuven</v>
      </c>
    </row>
    <row r="56">
      <c r="A56" s="22" t="str">
        <f>IFERROR(__xludf.DUMMYFUNCTION("""COMPUTED_VALUE"""),"Rubenshuis")</f>
        <v>Rubenshuis</v>
      </c>
      <c r="B56" s="22" t="str">
        <f>IFERROR(__xludf.DUMMYFUNCTION("""COMPUTED_VALUE"""),"Industriemuseum")</f>
        <v>Industriemuseum</v>
      </c>
      <c r="E56" s="22" t="str">
        <f>IFERROR(__xludf.DUMMYFUNCTION("""COMPUTED_VALUE"""),"Museum van de Stad Brussel - Broodhuis")</f>
        <v>Museum van de Stad Brussel - Broodhuis</v>
      </c>
      <c r="F56" s="22" t="str">
        <f>IFERROR(__xludf.DUMMYFUNCTION("""COMPUTED_VALUE"""),"Museum den AST")</f>
        <v>Museum den AST</v>
      </c>
    </row>
    <row r="57">
      <c r="A57" s="22" t="str">
        <f>IFERROR(__xludf.DUMMYFUNCTION("""COMPUTED_VALUE"""),"Sint-Pauluskerk")</f>
        <v>Sint-Pauluskerk</v>
      </c>
      <c r="B57" s="22" t="str">
        <f>IFERROR(__xludf.DUMMYFUNCTION("""COMPUTED_VALUE"""),"Mercatormuseum")</f>
        <v>Mercatormuseum</v>
      </c>
      <c r="E57" s="22" t="str">
        <f>IFERROR(__xludf.DUMMYFUNCTION("""COMPUTED_VALUE"""),"Hortamuseum")</f>
        <v>Hortamuseum</v>
      </c>
      <c r="F57" s="22" t="str">
        <f>IFERROR(__xludf.DUMMYFUNCTION("""COMPUTED_VALUE"""),"Museum PARCUM, Abdij van Park Leuven")</f>
        <v>Museum PARCUM, Abdij van Park Leuven</v>
      </c>
    </row>
    <row r="58">
      <c r="A58" s="22" t="str">
        <f>IFERROR(__xludf.DUMMYFUNCTION("""COMPUTED_VALUE"""),"Speelgoedmuseum")</f>
        <v>Speelgoedmuseum</v>
      </c>
      <c r="B58" s="22" t="str">
        <f>IFERROR(__xludf.DUMMYFUNCTION("""COMPUTED_VALUE"""),"Museum Dr. Guislain")</f>
        <v>Museum Dr. Guislain</v>
      </c>
      <c r="E58" s="22" t="str">
        <f>IFERROR(__xludf.DUMMYFUNCTION("""COMPUTED_VALUE"""),"Koninklijk Museum van het Leger en de Krijgsgeschiedenis")</f>
        <v>Koninklijk Museum van het Leger en de Krijgsgeschiedenis</v>
      </c>
      <c r="F58" s="22" t="str">
        <f>IFERROR(__xludf.DUMMYFUNCTION("""COMPUTED_VALUE"""),"C-mine")</f>
        <v>C-mine</v>
      </c>
    </row>
    <row r="59">
      <c r="A59" s="22" t="str">
        <f>IFERROR(__xludf.DUMMYFUNCTION("""COMPUTED_VALUE"""),"Stadsmuseum Lier")</f>
        <v>Stadsmuseum Lier</v>
      </c>
      <c r="E59" s="22" t="str">
        <f>IFERROR(__xludf.DUMMYFUNCTION("""COMPUTED_VALUE"""),"Hallepoort")</f>
        <v>Hallepoort</v>
      </c>
      <c r="F59" s="22" t="str">
        <f>IFERROR(__xludf.DUMMYFUNCTION("""COMPUTED_VALUE"""),"DE MINDERE")</f>
        <v>DE MINDERE</v>
      </c>
    </row>
    <row r="60">
      <c r="A60" s="22" t="str">
        <f>IFERROR(__xludf.DUMMYFUNCTION("""COMPUTED_VALUE"""),"Stedelijk Museum Hoogstraten")</f>
        <v>Stedelijk Museum Hoogstraten</v>
      </c>
      <c r="E60" s="22" t="str">
        <f>IFERROR(__xludf.DUMMYFUNCTION("""COMPUTED_VALUE"""),"Museum Dr. Guislain")</f>
        <v>Museum Dr. Guislain</v>
      </c>
      <c r="F60" s="22" t="str">
        <f>IFERROR(__xludf.DUMMYFUNCTION("""COMPUTED_VALUE"""),"Duitse Orde Museum (DOMUS) Alden Biesen")</f>
        <v>Duitse Orde Museum (DOMUS) Alden Biesen</v>
      </c>
    </row>
    <row r="61">
      <c r="A61" s="22" t="str">
        <f>IFERROR(__xludf.DUMMYFUNCTION("""COMPUTED_VALUE"""),"Suske en Wiske Museum")</f>
        <v>Suske en Wiske Museum</v>
      </c>
      <c r="F61" s="22" t="str">
        <f>IFERROR(__xludf.DUMMYFUNCTION("""COMPUTED_VALUE"""),"GlazenHuis")</f>
        <v>GlazenHuis</v>
      </c>
    </row>
    <row r="62">
      <c r="A62" s="22" t="str">
        <f>IFERROR(__xludf.DUMMYFUNCTION("""COMPUTED_VALUE"""),"Taxandriamuseum")</f>
        <v>Taxandriamuseum</v>
      </c>
      <c r="F62" s="22" t="str">
        <f>IFERROR(__xludf.DUMMYFUNCTION("""COMPUTED_VALUE"""),"Het Stadsmus Hasselt")</f>
        <v>Het Stadsmus Hasselt</v>
      </c>
    </row>
    <row r="63">
      <c r="A63" s="22" t="str">
        <f>IFERROR(__xludf.DUMMYFUNCTION("""COMPUTED_VALUE"""),"‘t Grom")</f>
        <v>‘t Grom</v>
      </c>
      <c r="F63" s="22" t="str">
        <f>IFERROR(__xludf.DUMMYFUNCTION("""COMPUTED_VALUE"""),"LABIOMISTA")</f>
        <v>LABIOMISTA</v>
      </c>
    </row>
    <row r="64">
      <c r="A64" s="22" t="str">
        <f>IFERROR(__xludf.DUMMYFUNCTION("""COMPUTED_VALUE"""),"Het steen, The Antwerp Story")</f>
        <v>Het steen, The Antwerp Story</v>
      </c>
      <c r="F64" s="22" t="str">
        <f>IFERROR(__xludf.DUMMYFUNCTION("""COMPUTED_VALUE"""),"Schatkamer van Sint-Catharina")</f>
        <v>Schatkamer van Sint-Catharina</v>
      </c>
    </row>
    <row r="65">
      <c r="A65" s="22" t="str">
        <f>IFERROR(__xludf.DUMMYFUNCTION("""COMPUTED_VALUE"""),"Wellington Museum")</f>
        <v>Wellington Museum</v>
      </c>
      <c r="F65" s="22" t="str">
        <f>IFERROR(__xludf.DUMMYFUNCTION("""COMPUTED_VALUE"""),"Z33 | Huis voor Actuele Kunst, Design &amp; Architectuur")</f>
        <v>Z33 | Huis voor Actuele Kunst, Design &amp; Architectuur</v>
      </c>
    </row>
    <row r="66">
      <c r="A66" s="22" t="str">
        <f>IFERROR(__xludf.DUMMYFUNCTION("""COMPUTED_VALUE"""),"AfricaMuseum")</f>
        <v>AfricaMuseum</v>
      </c>
      <c r="F66" s="22" t="str">
        <f>IFERROR(__xludf.DUMMYFUNCTION("""COMPUTED_VALUE"""),"ArtHouse")</f>
        <v>ArtHouse</v>
      </c>
    </row>
    <row r="67">
      <c r="A67" s="22" t="str">
        <f>IFERROR(__xludf.DUMMYFUNCTION("""COMPUTED_VALUE"""),"Damiaanmuseum")</f>
        <v>Damiaanmuseum</v>
      </c>
      <c r="F67" s="22" t="str">
        <f>IFERROR(__xludf.DUMMYFUNCTION("""COMPUTED_VALUE"""),"Museum voor Hedendaagse Kunst")</f>
        <v>Museum voor Hedendaagse Kunst</v>
      </c>
    </row>
    <row r="68">
      <c r="A68" s="22" t="str">
        <f>IFERROR(__xludf.DUMMYFUNCTION("""COMPUTED_VALUE"""),"Dru!f, huis van de tafeldruif")</f>
        <v>Dru!f, huis van de tafeldruif</v>
      </c>
      <c r="F68" s="22" t="str">
        <f>IFERROR(__xludf.DUMMYFUNCTION("""COMPUTED_VALUE"""),"La Boverie")</f>
        <v>La Boverie</v>
      </c>
    </row>
    <row r="69">
      <c r="A69" s="22" t="str">
        <f>IFERROR(__xludf.DUMMYFUNCTION("""COMPUTED_VALUE"""),"Huis van het Belgisch-Franse Verzet")</f>
        <v>Huis van het Belgisch-Franse Verzet</v>
      </c>
      <c r="F69" s="22" t="str">
        <f>IFERROR(__xludf.DUMMYFUNCTION("""COMPUTED_VALUE"""),"Le Grand Curtius")</f>
        <v>Le Grand Curtius</v>
      </c>
    </row>
    <row r="70">
      <c r="A70" s="22" t="str">
        <f>IFERROR(__xludf.DUMMYFUNCTION("""COMPUTED_VALUE"""),"KADOC-KU Leuven")</f>
        <v>KADOC-KU Leuven</v>
      </c>
      <c r="F70" s="22" t="str">
        <f>IFERROR(__xludf.DUMMYFUNCTION("""COMPUTED_VALUE"""),"Pottenbakkerijmuseum Raeren")</f>
        <v>Pottenbakkerijmuseum Raeren</v>
      </c>
    </row>
    <row r="71">
      <c r="A71" s="22" t="str">
        <f>IFERROR(__xludf.DUMMYFUNCTION("""COMPUTED_VALUE"""),"Kasteel van Gaasbeek")</f>
        <v>Kasteel van Gaasbeek</v>
      </c>
      <c r="F71" s="22" t="str">
        <f>IFERROR(__xludf.DUMMYFUNCTION("""COMPUTED_VALUE"""),"Stadsmuseum Eupen")</f>
        <v>Stadsmuseum Eupen</v>
      </c>
    </row>
    <row r="72">
      <c r="A72" s="22" t="str">
        <f>IFERROR(__xludf.DUMMYFUNCTION("""COMPUTED_VALUE"""),"M Leuven")</f>
        <v>M Leuven</v>
      </c>
      <c r="F72" s="22" t="str">
        <f>IFERROR(__xludf.DUMMYFUNCTION("""COMPUTED_VALUE"""),"Musea van Verviers")</f>
        <v>Musea van Verviers</v>
      </c>
    </row>
    <row r="73">
      <c r="A73" s="22" t="str">
        <f>IFERROR(__xludf.DUMMYFUNCTION("""COMPUTED_VALUE"""),"Museum 44")</f>
        <v>Museum 44</v>
      </c>
      <c r="F73" s="22" t="str">
        <f>IFERROR(__xludf.DUMMYFUNCTION("""COMPUTED_VALUE"""),"Trinkhall museum")</f>
        <v>Trinkhall museum</v>
      </c>
    </row>
    <row r="74">
      <c r="A74" s="22" t="str">
        <f>IFERROR(__xludf.DUMMYFUNCTION("""COMPUTED_VALUE"""),"Museum den AST")</f>
        <v>Museum den AST</v>
      </c>
      <c r="F74" s="22" t="str">
        <f>IFERROR(__xludf.DUMMYFUNCTION("""COMPUTED_VALUE"""),"Artotheek ")</f>
        <v>Artotheek </v>
      </c>
    </row>
    <row r="75">
      <c r="A75" s="22" t="str">
        <f>IFERROR(__xludf.DUMMYFUNCTION("""COMPUTED_VALUE"""),"Museum PARCUM, Abdij van Park Leuven")</f>
        <v>Museum PARCUM, Abdij van Park Leuven</v>
      </c>
      <c r="F75" s="22" t="str">
        <f>IFERROR(__xludf.DUMMYFUNCTION("""COMPUTED_VALUE"""),"Museum voor kunst van de Provincie Henegouwen")</f>
        <v>Museum voor kunst van de Provincie Henegouwen</v>
      </c>
    </row>
    <row r="76">
      <c r="A76" s="22" t="str">
        <f>IFERROR(__xludf.DUMMYFUNCTION("""COMPUTED_VALUE"""),"C-mine")</f>
        <v>C-mine</v>
      </c>
      <c r="F76" s="22" t="str">
        <f>IFERROR(__xludf.DUMMYFUNCTION("""COMPUTED_VALUE"""),"CAP/museum voor Schone Kunsten van Bergen")</f>
        <v>CAP/museum voor Schone Kunsten van Bergen</v>
      </c>
    </row>
    <row r="77">
      <c r="A77" s="22" t="str">
        <f>IFERROR(__xludf.DUMMYFUNCTION("""COMPUTED_VALUE"""),"DE MINDERE")</f>
        <v>DE MINDERE</v>
      </c>
      <c r="F77" s="22" t="str">
        <f>IFERROR(__xludf.DUMMYFUNCTION("""COMPUTED_VALUE"""),"Centre Daily-Bul &amp; C° ")</f>
        <v>Centre Daily-Bul &amp; C° </v>
      </c>
    </row>
    <row r="78">
      <c r="A78" s="22" t="str">
        <f>IFERROR(__xludf.DUMMYFUNCTION("""COMPUTED_VALUE"""),"Duitse Orde Museum (DOMUS) Alden Biesen")</f>
        <v>Duitse Orde Museum (DOMUS) Alden Biesen</v>
      </c>
      <c r="F78" s="22" t="str">
        <f>IFERROR(__xludf.DUMMYFUNCTION("""COMPUTED_VALUE"""),"Centre de la Gravure et de l’Image imprimée ")</f>
        <v>Centre de la Gravure et de l’Image imprimée </v>
      </c>
    </row>
    <row r="79">
      <c r="A79" s="22" t="str">
        <f>IFERROR(__xludf.DUMMYFUNCTION("""COMPUTED_VALUE"""),"Gallo-Romeins Museum")</f>
        <v>Gallo-Romeins Museum</v>
      </c>
      <c r="F79" s="22" t="str">
        <f>IFERROR(__xludf.DUMMYFUNCTION("""COMPUTED_VALUE"""),"Centrum voor Innovatie en Design van Grand-Hornu")</f>
        <v>Centrum voor Innovatie en Design van Grand-Hornu</v>
      </c>
    </row>
    <row r="80">
      <c r="A80" s="22" t="str">
        <f>IFERROR(__xludf.DUMMYFUNCTION("""COMPUTED_VALUE"""),"GlazenHuis")</f>
        <v>GlazenHuis</v>
      </c>
      <c r="F80" s="22" t="str">
        <f>IFERROR(__xludf.DUMMYFUNCTION("""COMPUTED_VALUE"""),"Keramis - Centrum van de Keramiek")</f>
        <v>Keramis - Centrum van de Keramiek</v>
      </c>
    </row>
    <row r="81">
      <c r="A81" s="22" t="str">
        <f>IFERROR(__xludf.DUMMYFUNCTION("""COMPUTED_VALUE"""),"Het Stadsmus Hasselt")</f>
        <v>Het Stadsmus Hasselt</v>
      </c>
      <c r="F81" s="22" t="str">
        <f>IFERROR(__xludf.DUMMYFUNCTION("""COMPUTED_VALUE"""),"Het Reuzenhuis")</f>
        <v>Het Reuzenhuis</v>
      </c>
    </row>
    <row r="82">
      <c r="A82" s="22" t="str">
        <f>IFERROR(__xludf.DUMMYFUNCTION("""COMPUTED_VALUE"""),"Jenevermuseum")</f>
        <v>Jenevermuseum</v>
      </c>
      <c r="F82" s="22" t="str">
        <f>IFERROR(__xludf.DUMMYFUNCTION("""COMPUTED_VALUE"""),"Maison Losseau ")</f>
        <v>Maison Losseau </v>
      </c>
    </row>
    <row r="83">
      <c r="A83" s="22" t="str">
        <f>IFERROR(__xludf.DUMMYFUNCTION("""COMPUTED_VALUE"""),"Liberation Garden Leopoldsburg")</f>
        <v>Liberation Garden Leopoldsburg</v>
      </c>
      <c r="F83" s="22" t="str">
        <f>IFERROR(__xludf.DUMMYFUNCTION("""COMPUTED_VALUE"""),"Mundaneum ")</f>
        <v>Mundaneum </v>
      </c>
    </row>
    <row r="84">
      <c r="A84" s="22" t="str">
        <f>IFERROR(__xludf.DUMMYFUNCTION("""COMPUTED_VALUE"""),"Openluchtmuseum Bokrijk")</f>
        <v>Openluchtmuseum Bokrijk</v>
      </c>
      <c r="F84" s="22" t="str">
        <f>IFERROR(__xludf.DUMMYFUNCTION("""COMPUTED_VALUE"""),"Fotografiemuseum")</f>
        <v>Fotografiemuseum</v>
      </c>
    </row>
    <row r="85">
      <c r="A85" s="22" t="str">
        <f>IFERROR(__xludf.DUMMYFUNCTION("""COMPUTED_VALUE"""),"RAM | Regionaal Archeologisch Museum")</f>
        <v>RAM | Regionaal Archeologisch Museum</v>
      </c>
      <c r="F85" s="22" t="str">
        <f>IFERROR(__xludf.DUMMYFUNCTION("""COMPUTED_VALUE"""),"Musée des arts de la Marionnette ")</f>
        <v>Musée des arts de la Marionnette </v>
      </c>
    </row>
    <row r="86">
      <c r="A86" s="22" t="str">
        <f>IFERROR(__xludf.DUMMYFUNCTION("""COMPUTED_VALUE"""),"Abdij van Stavelot")</f>
        <v>Abdij van Stavelot</v>
      </c>
      <c r="F86" s="22" t="str">
        <f>IFERROR(__xludf.DUMMYFUNCTION("""COMPUTED_VALUE"""),"Museum voor Schone Kunsten van Doornik")</f>
        <v>Museum voor Schone Kunsten van Doornik</v>
      </c>
    </row>
    <row r="87">
      <c r="A87" s="22" t="str">
        <f>IFERROR(__xludf.DUMMYFUNCTION("""COMPUTED_VALUE"""),"Archeoforum van Luik")</f>
        <v>Archeoforum van Luik</v>
      </c>
      <c r="F87" s="22" t="str">
        <f>IFERROR(__xludf.DUMMYFUNCTION("""COMPUTED_VALUE"""),"Koninklijk Museum van Mariemont")</f>
        <v>Koninklijk Museum van Mariemont</v>
      </c>
    </row>
    <row r="88">
      <c r="A88" s="22" t="str">
        <f>IFERROR(__xludf.DUMMYFUNCTION("""COMPUTED_VALUE"""),"ArtHouse")</f>
        <v>ArtHouse</v>
      </c>
      <c r="F88" s="22" t="str">
        <f>IFERROR(__xludf.DUMMYFUNCTION("""COMPUTED_VALUE"""),"TAMAT | Museum voor Wandtapijten en Textielkunsten van de Federatie Wallonië-Brussel")</f>
        <v>TAMAT | Museum voor Wandtapijten en Textielkunsten van de Federatie Wallonië-Brussel</v>
      </c>
    </row>
    <row r="89">
      <c r="A89" s="22" t="str">
        <f>IFERROR(__xludf.DUMMYFUNCTION("""COMPUTED_VALUE"""),"La Boverie")</f>
        <v>La Boverie</v>
      </c>
      <c r="F89" s="22" t="str">
        <f>IFERROR(__xludf.DUMMYFUNCTION("""COMPUTED_VALUE"""),"DHAM | Durbuy History &amp; Art Museum")</f>
        <v>DHAM | Durbuy History &amp; Art Museum</v>
      </c>
    </row>
    <row r="90">
      <c r="A90" s="22" t="str">
        <f>IFERROR(__xludf.DUMMYFUNCTION("""COMPUTED_VALUE"""),"Le Grand Curtius")</f>
        <v>Le Grand Curtius</v>
      </c>
      <c r="F90" s="22" t="str">
        <f>IFERROR(__xludf.DUMMYFUNCTION("""COMPUTED_VALUE"""),"FAM | Famenne &amp; Art Museum")</f>
        <v>FAM | Famenne &amp; Art Museum</v>
      </c>
    </row>
    <row r="91">
      <c r="A91" s="22" t="str">
        <f>IFERROR(__xludf.DUMMYFUNCTION("""COMPUTED_VALUE"""),"Museum van de wastechniek")</f>
        <v>Museum van de wastechniek</v>
      </c>
      <c r="F91" s="22" t="str">
        <f>IFERROR(__xludf.DUMMYFUNCTION("""COMPUTED_VALUE"""),"Mudia")</f>
        <v>Mudia</v>
      </c>
    </row>
    <row r="92">
      <c r="A92" s="22" t="str">
        <f>IFERROR(__xludf.DUMMYFUNCTION("""COMPUTED_VALUE"""),"Huis van de Metallurgie en Industrie van Luik")</f>
        <v>Huis van de Metallurgie en Industrie van Luik</v>
      </c>
      <c r="F92" s="22" t="str">
        <f>IFERROR(__xludf.DUMMYFUNCTION("""COMPUTED_VALUE"""),"Gaspar Museum")</f>
        <v>Gaspar Museum</v>
      </c>
    </row>
    <row r="93">
      <c r="A93" s="22" t="str">
        <f>IFERROR(__xludf.DUMMYFUNCTION("""COMPUTED_VALUE"""),"Pottenbakkerijmuseum Raeren")</f>
        <v>Pottenbakkerijmuseum Raeren</v>
      </c>
      <c r="F93" s="22" t="str">
        <f>IFERROR(__xludf.DUMMYFUNCTION("""COMPUTED_VALUE"""),"Het Gaume Museum")</f>
        <v>Het Gaume Museum</v>
      </c>
    </row>
    <row r="94">
      <c r="A94" s="22" t="str">
        <f>IFERROR(__xludf.DUMMYFUNCTION("""COMPUTED_VALUE"""),"Museum van het Waalse Leven")</f>
        <v>Museum van het Waalse Leven</v>
      </c>
      <c r="F94" s="22" t="str">
        <f>IFERROR(__xludf.DUMMYFUNCTION("""COMPUTED_VALUE"""),"Museum van de Grote Ardennen")</f>
        <v>Museum van de Grote Ardennen</v>
      </c>
    </row>
    <row r="95">
      <c r="A95" s="22" t="str">
        <f>IFERROR(__xludf.DUMMYFUNCTION("""COMPUTED_VALUE"""),"Musea van de Kuurstad")</f>
        <v>Musea van de Kuurstad</v>
      </c>
      <c r="F95" s="22" t="str">
        <f>IFERROR(__xludf.DUMMYFUNCTION("""COMPUTED_VALUE"""),"AMVB | Archief en Museum voor het Vlaams leven te Brussel")</f>
        <v>AMVB | Archief en Museum voor het Vlaams leven te Brussel</v>
      </c>
    </row>
    <row r="96">
      <c r="A96" s="22" t="str">
        <f>IFERROR(__xludf.DUMMYFUNCTION("""COMPUTED_VALUE"""),"Stadsmuseum Eupen")</f>
        <v>Stadsmuseum Eupen</v>
      </c>
      <c r="F96" s="22" t="str">
        <f>IFERROR(__xludf.DUMMYFUNCTION("""COMPUTED_VALUE"""),"ARGOS | centre for audiovisual arts")</f>
        <v>ARGOS | centre for audiovisual arts</v>
      </c>
    </row>
    <row r="97">
      <c r="A97" s="22" t="str">
        <f>IFERROR(__xludf.DUMMYFUNCTION("""COMPUTED_VALUE"""),"Musea van Verviers")</f>
        <v>Musea van Verviers</v>
      </c>
      <c r="F97" s="22" t="str">
        <f>IFERROR(__xludf.DUMMYFUNCTION("""COMPUTED_VALUE"""),"Art et marges musée museum")</f>
        <v>Art et marges musée museum</v>
      </c>
    </row>
    <row r="98">
      <c r="A98" s="22" t="str">
        <f>IFERROR(__xludf.DUMMYFUNCTION("""COMPUTED_VALUE"""),"Museum Vieille Montagne")</f>
        <v>Museum Vieille Montagne</v>
      </c>
      <c r="F98" s="22" t="str">
        <f>IFERROR(__xludf.DUMMYFUNCTION("""COMPUTED_VALUE"""),"Botanique")</f>
        <v>Botanique</v>
      </c>
    </row>
    <row r="99">
      <c r="A99" s="22" t="str">
        <f>IFERROR(__xludf.DUMMYFUNCTION("""COMPUTED_VALUE"""),"Préhistomuseum")</f>
        <v>Préhistomuseum</v>
      </c>
      <c r="F99" s="22" t="str">
        <f>IFERROR(__xludf.DUMMYFUNCTION("""COMPUTED_VALUE"""),"Paleis voor Schone Kunsten")</f>
        <v>Paleis voor Schone Kunsten</v>
      </c>
    </row>
    <row r="100">
      <c r="A100" s="22" t="str">
        <f>IFERROR(__xludf.DUMMYFUNCTION("""COMPUTED_VALUE"""),"Artotheek ")</f>
        <v>Artotheek </v>
      </c>
      <c r="F100" s="22" t="str">
        <f>IFERROR(__xludf.DUMMYFUNCTION("""COMPUTED_VALUE"""),"CENTRALE for contemporary art")</f>
        <v>CENTRALE for contemporary art</v>
      </c>
    </row>
    <row r="101">
      <c r="A101" s="22" t="str">
        <f>IFERROR(__xludf.DUMMYFUNCTION("""COMPUTED_VALUE"""),"Belfort van Bergen")</f>
        <v>Belfort van Bergen</v>
      </c>
      <c r="F101" s="22" t="str">
        <f>IFERROR(__xludf.DUMMYFUNCTION("""COMPUTED_VALUE"""),"Fondation A Stichting")</f>
        <v>Fondation A Stichting</v>
      </c>
    </row>
    <row r="102">
      <c r="A102" s="22" t="str">
        <f>IFERROR(__xludf.DUMMYFUNCTION("""COMPUTED_VALUE"""),"Museum van Mijnbouw en Duurzame Ontwikkeling")</f>
        <v>Museum van Mijnbouw en Duurzame Ontwikkeling</v>
      </c>
      <c r="F102" s="22" t="str">
        <f>IFERROR(__xludf.DUMMYFUNCTION("""COMPUTED_VALUE"""),"Villa Empain - Stichting Boghossian")</f>
        <v>Villa Empain - Stichting Boghossian</v>
      </c>
    </row>
    <row r="103">
      <c r="A103" s="22" t="str">
        <f>IFERROR(__xludf.DUMMYFUNCTION("""COMPUTED_VALUE"""),"CAP/het Collectiehuis")</f>
        <v>CAP/het Collectiehuis</v>
      </c>
      <c r="F103" s="22" t="str">
        <f>IFERROR(__xludf.DUMMYFUNCTION("""COMPUTED_VALUE"""),"GardeRobe MannekenPis")</f>
        <v>GardeRobe MannekenPis</v>
      </c>
    </row>
    <row r="104">
      <c r="A104" s="22" t="str">
        <f>IFERROR(__xludf.DUMMYFUNCTION("""COMPUTED_VALUE"""),"Gallo-Romeins Museum van Aat")</f>
        <v>Gallo-Romeins Museum van Aat</v>
      </c>
      <c r="F104" s="22" t="str">
        <f>IFERROR(__xludf.DUMMYFUNCTION("""COMPUTED_VALUE"""),"iMAL")</f>
        <v>iMAL</v>
      </c>
    </row>
    <row r="105">
      <c r="A105" s="22" t="str">
        <f>IFERROR(__xludf.DUMMYFUNCTION("""COMPUTED_VALUE"""),"Hospitaal Onze-Lieve-Vrouw met de Roos")</f>
        <v>Hospitaal Onze-Lieve-Vrouw met de Roos</v>
      </c>
      <c r="F105" s="22" t="str">
        <f>IFERROR(__xludf.DUMMYFUNCTION("""COMPUTED_VALUE"""),"KANAL | Centre Pompidou")</f>
        <v>KANAL | Centre Pompidou</v>
      </c>
    </row>
    <row r="106">
      <c r="A106" s="22" t="str">
        <f>IFERROR(__xludf.DUMMYFUNCTION("""COMPUTED_VALUE"""),"Keramis - Centrum van de Keramiek")</f>
        <v>Keramis - Centrum van de Keramiek</v>
      </c>
      <c r="F106" s="22" t="str">
        <f>IFERROR(__xludf.DUMMYFUNCTION("""COMPUTED_VALUE"""),"KBR museum")</f>
        <v>KBR museum</v>
      </c>
    </row>
    <row r="107">
      <c r="A107" s="22" t="str">
        <f>IFERROR(__xludf.DUMMYFUNCTION("""COMPUTED_VALUE"""),"Het Reuzenhuis")</f>
        <v>Het Reuzenhuis</v>
      </c>
      <c r="F107" s="22" t="str">
        <f>IFERROR(__xludf.DUMMYFUNCTION("""COMPUTED_VALUE"""),"Het Stadhuis van Brussel")</f>
        <v>Het Stadhuis van Brussel</v>
      </c>
    </row>
    <row r="108">
      <c r="A108" s="22" t="str">
        <f>IFERROR(__xludf.DUMMYFUNCTION("""COMPUTED_VALUE"""),"Het Huis Van Gogh")</f>
        <v>Het Huis Van Gogh</v>
      </c>
      <c r="F108" s="22" t="str">
        <f>IFERROR(__xludf.DUMMYFUNCTION("""COMPUTED_VALUE"""),"Erasmushuis &amp; Begijnhof")</f>
        <v>Erasmushuis &amp; Begijnhof</v>
      </c>
    </row>
    <row r="109">
      <c r="A109" s="22" t="str">
        <f>IFERROR(__xludf.DUMMYFUNCTION("""COMPUTED_VALUE"""),"Le Bois du Cazier ")</f>
        <v>Le Bois du Cazier </v>
      </c>
      <c r="F109" s="22" t="str">
        <f>IFERROR(__xludf.DUMMYFUNCTION("""COMPUTED_VALUE"""),"Maison Hannon")</f>
        <v>Maison Hannon</v>
      </c>
    </row>
    <row r="110">
      <c r="A110" s="22" t="str">
        <f>IFERROR(__xludf.DUMMYFUNCTION("""COMPUTED_VALUE"""),"Maison Losseau ")</f>
        <v>Maison Losseau </v>
      </c>
      <c r="F110" s="22" t="str">
        <f>IFERROR(__xludf.DUMMYFUNCTION("""COMPUTED_VALUE"""),"MigratieMuseum")</f>
        <v>MigratieMuseum</v>
      </c>
    </row>
    <row r="111">
      <c r="A111" s="22" t="str">
        <f>IFERROR(__xludf.DUMMYFUNCTION("""COMPUTED_VALUE"""),"Mons Memorial Museum ")</f>
        <v>Mons Memorial Museum </v>
      </c>
      <c r="F111" s="22" t="str">
        <f>IFERROR(__xludf.DUMMYFUNCTION("""COMPUTED_VALUE"""),"Belgisch Museum van de Vrijmetselarij")</f>
        <v>Belgisch Museum van de Vrijmetselarij</v>
      </c>
    </row>
    <row r="112">
      <c r="A112" s="22" t="str">
        <f>IFERROR(__xludf.DUMMYFUNCTION("""COMPUTED_VALUE"""),"Mundaneum ")</f>
        <v>Mundaneum </v>
      </c>
      <c r="F112" s="22" t="str">
        <f>IFERROR(__xludf.DUMMYFUNCTION("""COMPUTED_VALUE"""),"Charlier Museum")</f>
        <v>Charlier Museum</v>
      </c>
    </row>
    <row r="113">
      <c r="A113" s="22" t="str">
        <f>IFERROR(__xludf.DUMMYFUNCTION("""COMPUTED_VALUE"""),"Archeologiemuseum")</f>
        <v>Archeologiemuseum</v>
      </c>
      <c r="F113" s="22" t="str">
        <f>IFERROR(__xludf.DUMMYFUNCTION("""COMPUTED_VALUE"""),"Museum voor Spontane Kunst")</f>
        <v>Museum voor Spontane Kunst</v>
      </c>
    </row>
    <row r="114">
      <c r="A114" s="22" t="str">
        <f>IFERROR(__xludf.DUMMYFUNCTION("""COMPUTED_VALUE"""),"Folkloremuseum")</f>
        <v>Folkloremuseum</v>
      </c>
      <c r="F114" s="22" t="str">
        <f>IFERROR(__xludf.DUMMYFUNCTION("""COMPUTED_VALUE"""),"Stripmuseum Brussel")</f>
        <v>Stripmuseum Brussel</v>
      </c>
    </row>
    <row r="115">
      <c r="A115" s="22" t="str">
        <f>IFERROR(__xludf.DUMMYFUNCTION("""COMPUTED_VALUE"""),"Lintweverijmuseum van Komen")</f>
        <v>Lintweverijmuseum van Komen</v>
      </c>
      <c r="F115" s="22" t="str">
        <f>IFERROR(__xludf.DUMMYFUNCTION("""COMPUTED_VALUE"""),"Museum van de Stad Brussel - Broodhuis")</f>
        <v>Museum van de Stad Brussel - Broodhuis</v>
      </c>
    </row>
    <row r="116">
      <c r="A116" s="22" t="str">
        <f>IFERROR(__xludf.DUMMYFUNCTION("""COMPUTED_VALUE"""),"Musée des arts de la Marionnette ")</f>
        <v>Musée des arts de la Marionnette </v>
      </c>
      <c r="F116" s="22" t="str">
        <f>IFERROR(__xludf.DUMMYFUNCTION("""COMPUTED_VALUE"""),"Museum en Tuinen van Buuren")</f>
        <v>Museum en Tuinen van Buuren</v>
      </c>
    </row>
    <row r="117">
      <c r="A117" s="22" t="str">
        <f>IFERROR(__xludf.DUMMYFUNCTION("""COMPUTED_VALUE"""),"Museum voor militaire geschiedenis")</f>
        <v>Museum voor militaire geschiedenis</v>
      </c>
      <c r="F117" s="22" t="str">
        <f>IFERROR(__xludf.DUMMYFUNCTION("""COMPUTED_VALUE"""),"Joods Museum van België")</f>
        <v>Joods Museum van België</v>
      </c>
    </row>
    <row r="118">
      <c r="A118" s="22" t="str">
        <f>IFERROR(__xludf.DUMMYFUNCTION("""COMPUTED_VALUE"""),"Doudoumuseum")</f>
        <v>Doudoumuseum</v>
      </c>
      <c r="F118" s="22" t="str">
        <f>IFERROR(__xludf.DUMMYFUNCTION("""COMPUTED_VALUE"""),"Mode &amp; Kant Museum")</f>
        <v>Mode &amp; Kant Museum</v>
      </c>
    </row>
    <row r="119">
      <c r="A119" s="22" t="str">
        <f>IFERROR(__xludf.DUMMYFUNCTION("""COMPUTED_VALUE"""),"Internationaal Museum van het Carnaval en het Masker")</f>
        <v>Internationaal Museum van het Carnaval en het Masker</v>
      </c>
      <c r="F119" s="22" t="str">
        <f>IFERROR(__xludf.DUMMYFUNCTION("""COMPUTED_VALUE"""),"René Magritte Museum &amp; Museum voor abstracte kuns")</f>
        <v>René Magritte Museum &amp; Museum voor abstracte kuns</v>
      </c>
    </row>
    <row r="120">
      <c r="A120" s="22" t="str">
        <f>IFERROR(__xludf.DUMMYFUNCTION("""COMPUTED_VALUE"""),"Koninklijk Museum van Mariemont")</f>
        <v>Koninklijk Museum van Mariemont</v>
      </c>
      <c r="F120" s="22" t="str">
        <f>IFERROR(__xludf.DUMMYFUNCTION("""COMPUTED_VALUE"""),"Koninklijk Museum van het Leger en de Krijgsgeschiedenis")</f>
        <v>Koninklijk Museum van het Leger en de Krijgsgeschiedenis</v>
      </c>
    </row>
    <row r="121">
      <c r="A121" s="22" t="str">
        <f>IFERROR(__xludf.DUMMYFUNCTION("""COMPUTED_VALUE"""),"Plugstreet 14-18 experience ")</f>
        <v>Plugstreet 14-18 experience </v>
      </c>
      <c r="F121" s="22" t="str">
        <f>IFERROR(__xludf.DUMMYFUNCTION("""COMPUTED_VALUE"""),"Centrum voor Hedendaagse Kunst")</f>
        <v>Centrum voor Hedendaagse Kunst</v>
      </c>
    </row>
    <row r="122">
      <c r="A122" s="22" t="str">
        <f>IFERROR(__xludf.DUMMYFUNCTION("""COMPUTED_VALUE"""),"Silex’s ")</f>
        <v>Silex’s </v>
      </c>
      <c r="F122" s="22" t="str">
        <f>IFERROR(__xludf.DUMMYFUNCTION("""COMPUTED_VALUE"""),"Wittockiana")</f>
        <v>Wittockiana</v>
      </c>
    </row>
    <row r="123">
      <c r="A123" s="22" t="str">
        <f>IFERROR(__xludf.DUMMYFUNCTION("""COMPUTED_VALUE"""),"Bastogne Barracks")</f>
        <v>Bastogne Barracks</v>
      </c>
      <c r="F123" s="22" t="str">
        <f>IFERROR(__xludf.DUMMYFUNCTION("""COMPUTED_VALUE"""),"Curiosum | Een huis vol herinnering")</f>
        <v>Curiosum | Een huis vol herinnering</v>
      </c>
    </row>
    <row r="124">
      <c r="A124" s="22" t="str">
        <f>IFERROR(__xludf.DUMMYFUNCTION("""COMPUTED_VALUE"""),"DHAM | Durbuy History &amp; Art Museum")</f>
        <v>DHAM | Durbuy History &amp; Art Museum</v>
      </c>
      <c r="F124" s="22" t="str">
        <f>IFERROR(__xludf.DUMMYFUNCTION("""COMPUTED_VALUE"""),"Herbert Foundation")</f>
        <v>Herbert Foundation</v>
      </c>
    </row>
    <row r="125">
      <c r="A125" s="22" t="str">
        <f>IFERROR(__xludf.DUMMYFUNCTION("""COMPUTED_VALUE"""),"FAM | Famenne &amp; Art Museum")</f>
        <v>FAM | Famenne &amp; Art Museum</v>
      </c>
      <c r="F125" s="22" t="str">
        <f>IFERROR(__xludf.DUMMYFUNCTION("""COMPUTED_VALUE"""),"MSK | Museum voor Schone Kunsten Gent")</f>
        <v>MSK | Museum voor Schone Kunsten Gent</v>
      </c>
    </row>
    <row r="126">
      <c r="A126" s="22" t="str">
        <f>IFERROR(__xludf.DUMMYFUNCTION("""COMPUTED_VALUE"""),"Megalietenhuis")</f>
        <v>Megalietenhuis</v>
      </c>
      <c r="F126" s="22" t="str">
        <f>IFERROR(__xludf.DUMMYFUNCTION("""COMPUTED_VALUE"""),"mudel | Museum van Deinze en de Leiestreek")</f>
        <v>mudel | Museum van Deinze en de Leiestreek</v>
      </c>
    </row>
    <row r="127">
      <c r="A127" s="22" t="str">
        <f>IFERROR(__xludf.DUMMYFUNCTION("""COMPUTED_VALUE"""),"Archeologisch Museum van Aarlen")</f>
        <v>Archeologisch Museum van Aarlen</v>
      </c>
      <c r="F127" s="22" t="str">
        <f>IFERROR(__xludf.DUMMYFUNCTION("""COMPUTED_VALUE"""),"Museum Dhondt-Dhaenens")</f>
        <v>Museum Dhondt-Dhaenens</v>
      </c>
    </row>
    <row r="128">
      <c r="A128" s="22" t="str">
        <f>IFERROR(__xludf.DUMMYFUNCTION("""COMPUTED_VALUE"""),"Gaspar Museum")</f>
        <v>Gaspar Museum</v>
      </c>
      <c r="F128" s="22" t="str">
        <f>IFERROR(__xludf.DUMMYFUNCTION("""COMPUTED_VALUE"""),"Museum Dr. Guislain")</f>
        <v>Museum Dr. Guislain</v>
      </c>
    </row>
    <row r="129">
      <c r="A129" s="22" t="str">
        <f>IFERROR(__xludf.DUMMYFUNCTION("""COMPUTED_VALUE"""),"Het Gaume Museum")</f>
        <v>Het Gaume Museum</v>
      </c>
      <c r="F129" s="22" t="str">
        <f>IFERROR(__xludf.DUMMYFUNCTION("""COMPUTED_VALUE"""),"Gemeentelijk museum Gevaert-Minne")</f>
        <v>Gemeentelijk museum Gevaert-Minne</v>
      </c>
    </row>
    <row r="130">
      <c r="A130" s="22" t="str">
        <f>IFERROR(__xludf.DUMMYFUNCTION("""COMPUTED_VALUE"""),"Museum van de Grote Ardennen")</f>
        <v>Museum van de Grote Ardennen</v>
      </c>
      <c r="F130" s="22" t="str">
        <f>IFERROR(__xludf.DUMMYFUNCTION("""COMPUTED_VALUE"""),"Gemeentelijk museum Gust De Smet")</f>
        <v>Gemeentelijk museum Gust De Smet</v>
      </c>
    </row>
    <row r="131">
      <c r="A131" s="22" t="str">
        <f>IFERROR(__xludf.DUMMYFUNCTION("""COMPUTED_VALUE"""),"AMVB | Archief en Museum voor het Vlaams leven te Brussel")</f>
        <v>AMVB | Archief en Museum voor het Vlaams leven te Brussel</v>
      </c>
      <c r="F131" s="22" t="str">
        <f>IFERROR(__xludf.DUMMYFUNCTION("""COMPUTED_VALUE"""),"Roger Raveelmuseum")</f>
        <v>Roger Raveelmuseum</v>
      </c>
    </row>
    <row r="132">
      <c r="A132" s="22" t="str">
        <f>IFERROR(__xludf.DUMMYFUNCTION("""COMPUTED_VALUE"""),"Paleis voor Schone Kunsten")</f>
        <v>Paleis voor Schone Kunsten</v>
      </c>
      <c r="F132" s="22" t="str">
        <f>IFERROR(__xludf.DUMMYFUNCTION("""COMPUTED_VALUE"""),"S.M.A.K.")</f>
        <v>S.M.A.K.</v>
      </c>
    </row>
    <row r="133">
      <c r="A133" s="22" t="str">
        <f>IFERROR(__xludf.DUMMYFUNCTION("""COMPUTED_VALUE"""),"Brel Stichting")</f>
        <v>Brel Stichting</v>
      </c>
      <c r="F133" s="22" t="str">
        <f>IFERROR(__xludf.DUMMYFUNCTION("""COMPUTED_VALUE"""),"‘t Gasthuys | Stedelijk Museum Aalst")</f>
        <v>‘t Gasthuys | Stedelijk Museum Aalst</v>
      </c>
    </row>
    <row r="134">
      <c r="A134" s="22" t="str">
        <f>IFERROR(__xludf.DUMMYFUNCTION("""COMPUTED_VALUE"""),"GardeRobe MannekenPis")</f>
        <v>GardeRobe MannekenPis</v>
      </c>
    </row>
    <row r="135">
      <c r="A135" s="22" t="str">
        <f>IFERROR(__xludf.DUMMYFUNCTION("""COMPUTED_VALUE"""),"KBR museum")</f>
        <v>KBR museum</v>
      </c>
    </row>
    <row r="136">
      <c r="A136" s="22" t="str">
        <f>IFERROR(__xludf.DUMMYFUNCTION("""COMPUTED_VALUE"""),"LAB·AN x Hotel van Eetvelde")</f>
        <v>LAB·AN x Hotel van Eetvelde</v>
      </c>
    </row>
    <row r="137">
      <c r="A137" s="22" t="str">
        <f>IFERROR(__xludf.DUMMYFUNCTION("""COMPUTED_VALUE"""),"Brussels Museum voor Arbeid en Industrie")</f>
        <v>Brussels Museum voor Arbeid en Industrie</v>
      </c>
    </row>
    <row r="138">
      <c r="A138" s="22" t="str">
        <f>IFERROR(__xludf.DUMMYFUNCTION("""COMPUTED_VALUE"""),"Het Stadhuis van Brussel")</f>
        <v>Het Stadhuis van Brussel</v>
      </c>
    </row>
    <row r="139">
      <c r="A139" s="22" t="str">
        <f>IFERROR(__xludf.DUMMYFUNCTION("""COMPUTED_VALUE"""),"Erasmushuis &amp; Begijnhof")</f>
        <v>Erasmushuis &amp; Begijnhof</v>
      </c>
    </row>
    <row r="140">
      <c r="A140" s="22" t="str">
        <f>IFERROR(__xludf.DUMMYFUNCTION("""COMPUTED_VALUE"""),"MigratieMuseum")</f>
        <v>MigratieMuseum</v>
      </c>
    </row>
    <row r="141">
      <c r="A141" s="22" t="str">
        <f>IFERROR(__xludf.DUMMYFUNCTION("""COMPUTED_VALUE"""),"muziekinstrumentenmuseum")</f>
        <v>muziekinstrumentenmuseum</v>
      </c>
    </row>
    <row r="142">
      <c r="A142" s="22" t="str">
        <f>IFERROR(__xludf.DUMMYFUNCTION("""COMPUTED_VALUE"""),"Gemeentelijk Museum van Sint-Jans-Molenbeek")</f>
        <v>Gemeentelijk Museum van Sint-Jans-Molenbeek</v>
      </c>
    </row>
    <row r="143">
      <c r="A143" s="22" t="str">
        <f>IFERROR(__xludf.DUMMYFUNCTION("""COMPUTED_VALUE"""),"Museum Kunst &amp; Geschiedenis")</f>
        <v>Museum Kunst &amp; Geschiedenis</v>
      </c>
    </row>
    <row r="144">
      <c r="A144" s="22" t="str">
        <f>IFERROR(__xludf.DUMMYFUNCTION("""COMPUTED_VALUE"""),"Belgisch Museum van de Vrijmetselarij")</f>
        <v>Belgisch Museum van de Vrijmetselarij</v>
      </c>
    </row>
    <row r="145">
      <c r="A145" s="22" t="str">
        <f>IFERROR(__xludf.DUMMYFUNCTION("""COMPUTED_VALUE"""),"BELvue museum")</f>
        <v>BELvue museum</v>
      </c>
    </row>
    <row r="146">
      <c r="A146" s="22" t="str">
        <f>IFERROR(__xludf.DUMMYFUNCTION("""COMPUTED_VALUE"""),"Brussels Museum van de Molen en de Voeding")</f>
        <v>Brussels Museum van de Molen en de Voeding</v>
      </c>
    </row>
    <row r="147">
      <c r="A147" s="22" t="str">
        <f>IFERROR(__xludf.DUMMYFUNCTION("""COMPUTED_VALUE"""),"Riolenmuseum")</f>
        <v>Riolenmuseum</v>
      </c>
    </row>
    <row r="148">
      <c r="A148" s="22" t="str">
        <f>IFERROR(__xludf.DUMMYFUNCTION("""COMPUTED_VALUE"""),"Museum van de Nationale Bank van België")</f>
        <v>Museum van de Nationale Bank van België</v>
      </c>
    </row>
    <row r="149">
      <c r="A149" s="22" t="str">
        <f>IFERROR(__xludf.DUMMYFUNCTION("""COMPUTED_VALUE"""),"Geneeskundemuseum")</f>
        <v>Geneeskundemuseum</v>
      </c>
    </row>
    <row r="150">
      <c r="A150" s="22" t="str">
        <f>IFERROR(__xludf.DUMMYFUNCTION("""COMPUTED_VALUE"""),"Museum van de Stad Brussel - Broodhuis")</f>
        <v>Museum van de Stad Brussel - Broodhuis</v>
      </c>
    </row>
    <row r="151">
      <c r="A151" s="22" t="str">
        <f>IFERROR(__xludf.DUMMYFUNCTION("""COMPUTED_VALUE"""),"Museum en Tuinen van Buuren")</f>
        <v>Museum en Tuinen van Buuren</v>
      </c>
    </row>
    <row r="152">
      <c r="A152" s="22" t="str">
        <f>IFERROR(__xludf.DUMMYFUNCTION("""COMPUTED_VALUE"""),"Joods Museum van België")</f>
        <v>Joods Museum van België</v>
      </c>
    </row>
    <row r="153">
      <c r="A153" s="22" t="str">
        <f>IFERROR(__xludf.DUMMYFUNCTION("""COMPUTED_VALUE"""),"Koninklijk Museum van het Leger en de Krijgsgeschiedenis")</f>
        <v>Koninklijk Museum van het Leger en de Krijgsgeschiedenis</v>
      </c>
    </row>
    <row r="154">
      <c r="A154" s="22" t="str">
        <f>IFERROR(__xludf.DUMMYFUNCTION("""COMPUTED_VALUE"""),"Coudenbergpaleis")</f>
        <v>Coudenbergpaleis</v>
      </c>
    </row>
    <row r="155">
      <c r="A155" s="22" t="str">
        <f>IFERROR(__xludf.DUMMYFUNCTION("""COMPUTED_VALUE"""),"Hallepoort")</f>
        <v>Hallepoort</v>
      </c>
    </row>
    <row r="156">
      <c r="A156" s="22" t="str">
        <f>IFERROR(__xludf.DUMMYFUNCTION("""COMPUTED_VALUE"""),"Amsab-Instituut voor Sociale Geschiedenis")</f>
        <v>Amsab-Instituut voor Sociale Geschiedenis</v>
      </c>
    </row>
    <row r="157">
      <c r="A157" s="22" t="str">
        <f>IFERROR(__xludf.DUMMYFUNCTION("""COMPUTED_VALUE"""),"Curiosum | Een huis vol herinnering")</f>
        <v>Curiosum | Een huis vol herinnering</v>
      </c>
    </row>
    <row r="158">
      <c r="A158" s="22" t="str">
        <f>IFERROR(__xludf.DUMMYFUNCTION("""COMPUTED_VALUE"""),"GUM | Gents Universiteitsmuseum")</f>
        <v>GUM | Gents Universiteitsmuseum</v>
      </c>
    </row>
    <row r="159">
      <c r="A159" s="22" t="str">
        <f>IFERROR(__xludf.DUMMYFUNCTION("""COMPUTED_VALUE"""),"Huis van Alijn")</f>
        <v>Huis van Alijn</v>
      </c>
    </row>
    <row r="160">
      <c r="A160" s="22" t="str">
        <f>IFERROR(__xludf.DUMMYFUNCTION("""COMPUTED_VALUE"""),"Industriemuseum")</f>
        <v>Industriemuseum</v>
      </c>
    </row>
    <row r="161">
      <c r="A161" s="22" t="str">
        <f>IFERROR(__xludf.DUMMYFUNCTION("""COMPUTED_VALUE"""),"Mercatormuseum")</f>
        <v>Mercatormuseum</v>
      </c>
    </row>
    <row r="162">
      <c r="A162" s="22" t="str">
        <f>IFERROR(__xludf.DUMMYFUNCTION("""COMPUTED_VALUE"""),"MOU | Museum Oudenaarde")</f>
        <v>MOU | Museum Oudenaarde</v>
      </c>
    </row>
    <row r="163">
      <c r="A163" s="22" t="str">
        <f>IFERROR(__xludf.DUMMYFUNCTION("""COMPUTED_VALUE"""),"mudel | Museum van Deinze en de Leiestreek")</f>
        <v>mudel | Museum van Deinze en de Leiestreek</v>
      </c>
    </row>
    <row r="164">
      <c r="A164" s="22" t="str">
        <f>IFERROR(__xludf.DUMMYFUNCTION("""COMPUTED_VALUE"""),"Museum Dr. Guislain")</f>
        <v>Museum Dr. Guislain</v>
      </c>
    </row>
    <row r="165">
      <c r="A165" s="22" t="str">
        <f>IFERROR(__xludf.DUMMYFUNCTION("""COMPUTED_VALUE"""),"Provinciale Erfgoedsite Ename")</f>
        <v>Provinciale Erfgoedsite Ename</v>
      </c>
    </row>
    <row r="166">
      <c r="A166" s="22" t="str">
        <f>IFERROR(__xludf.DUMMYFUNCTION("""COMPUTED_VALUE"""),"Provinciale Erfgoedsite Scheepswerven Baasrode")</f>
        <v>Provinciale Erfgoedsite Scheepswerven Baasrode</v>
      </c>
    </row>
    <row r="167">
      <c r="A167" s="22" t="str">
        <f>IFERROR(__xludf.DUMMYFUNCTION("""COMPUTED_VALUE"""),"Provinciale Erfgoedsite Archeocentrum Velzeke")</f>
        <v>Provinciale Erfgoedsite Archeocentrum Velzeke</v>
      </c>
    </row>
    <row r="168">
      <c r="A168" s="22" t="str">
        <f>IFERROR(__xludf.DUMMYFUNCTION("""COMPUTED_VALUE"""),"Sint-Pietersabdij Gent")</f>
        <v>Sint-Pietersabdij Gent</v>
      </c>
    </row>
    <row r="169">
      <c r="A169" s="22" t="str">
        <f>IFERROR(__xludf.DUMMYFUNCTION("""COMPUTED_VALUE"""),"STAM | Stadsmuseum Gent")</f>
        <v>STAM | Stadsmuseum Gent</v>
      </c>
    </row>
    <row r="170">
      <c r="A170" s="22" t="str">
        <f>IFERROR(__xludf.DUMMYFUNCTION("""COMPUTED_VALUE"""),"‘t Gasthuys | Stedelijk Museum Aalst")</f>
        <v>‘t Gasthuys | Stedelijk Museum Aalst</v>
      </c>
    </row>
    <row r="174">
      <c r="A174" s="68" t="s">
        <v>4</v>
      </c>
      <c r="B174" s="68" t="s">
        <v>5</v>
      </c>
      <c r="C174" s="68" t="s">
        <v>6</v>
      </c>
      <c r="D174" s="68" t="s">
        <v>7</v>
      </c>
      <c r="E174" s="68" t="s">
        <v>8</v>
      </c>
      <c r="F174" s="68" t="s">
        <v>9</v>
      </c>
      <c r="G174" s="68" t="s">
        <v>10</v>
      </c>
    </row>
    <row r="175">
      <c r="A175" s="22">
        <f t="shared" ref="A175:G175" si="1">counta(A2:A170)</f>
        <v>169</v>
      </c>
      <c r="B175" s="22">
        <f t="shared" si="1"/>
        <v>57</v>
      </c>
      <c r="C175" s="22">
        <f t="shared" si="1"/>
        <v>14</v>
      </c>
      <c r="D175" s="22">
        <f t="shared" si="1"/>
        <v>20</v>
      </c>
      <c r="E175" s="22">
        <f t="shared" si="1"/>
        <v>59</v>
      </c>
      <c r="F175" s="22">
        <f t="shared" si="1"/>
        <v>132</v>
      </c>
      <c r="G175" s="22">
        <f t="shared" si="1"/>
        <v>47</v>
      </c>
    </row>
    <row r="178">
      <c r="A178" s="69"/>
      <c r="B178" s="70"/>
      <c r="C178" s="70"/>
      <c r="D178" s="70"/>
      <c r="E178" s="70"/>
      <c r="F178" s="70"/>
      <c r="G178" s="70"/>
      <c r="H178" s="69" t="s">
        <v>598</v>
      </c>
    </row>
    <row r="179">
      <c r="A179" s="22">
        <f>COUNTIF(Blad1!E$59:E$92,"True")</f>
        <v>25</v>
      </c>
      <c r="B179" s="22">
        <f>COUNTIF(Blad1!F$59:F$92,"True")</f>
        <v>9</v>
      </c>
      <c r="C179" s="22">
        <f>COUNTIF(Blad1!G$59:G$92,"True")</f>
        <v>4</v>
      </c>
      <c r="D179" s="22">
        <f>COUNTIF(Blad1!H$59:H$92,"True")</f>
        <v>5</v>
      </c>
      <c r="E179" s="22">
        <f>COUNTIF(Blad1!I$59:I$92,"True")</f>
        <v>7</v>
      </c>
      <c r="F179" s="22">
        <f>COUNTIF(Blad1!J$59:J$92,"True")</f>
        <v>19</v>
      </c>
      <c r="G179" s="22">
        <f>COUNTIF(Blad1!K$59:K$92,"True")</f>
        <v>8</v>
      </c>
      <c r="H179" s="20" t="s">
        <v>599</v>
      </c>
    </row>
    <row r="180">
      <c r="A180" s="20">
        <f>COUNTIF(Blad1!E$239:E$261,"True")</f>
        <v>15</v>
      </c>
      <c r="B180" s="20">
        <f>COUNTIF(Blad1!F$239:F$261,"True")</f>
        <v>4</v>
      </c>
      <c r="C180" s="20">
        <f>COUNTIF(Blad1!G$239:G$261,"True")</f>
        <v>1</v>
      </c>
      <c r="D180" s="20">
        <f>COUNTIF(Blad1!H$239:H$261,"True")</f>
        <v>2</v>
      </c>
      <c r="E180" s="20">
        <f>COUNTIF(Blad1!I$239:I$261,"True")</f>
        <v>1</v>
      </c>
      <c r="F180" s="20">
        <f>COUNTIF(Blad1!J$239:J$261,"True")</f>
        <v>11</v>
      </c>
      <c r="G180" s="20">
        <f>COUNTIF(Blad1!K$239:K$261,"True")</f>
        <v>3</v>
      </c>
      <c r="H180" s="20" t="s">
        <v>600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4.25"/>
    <col customWidth="1" min="2" max="2" width="49.38"/>
    <col customWidth="1" min="3" max="3" width="26.38"/>
    <col customWidth="1" min="4" max="4" width="34.63"/>
    <col customWidth="1" min="5" max="5" width="28.13"/>
    <col customWidth="1" min="6" max="6" width="49.25"/>
    <col customWidth="1" min="7" max="7" width="31.63"/>
    <col customWidth="1" min="8" max="8" width="34.25"/>
    <col customWidth="1" min="9" max="9" width="26.13"/>
    <col customWidth="1" min="10" max="10" width="22.13"/>
  </cols>
  <sheetData>
    <row r="1">
      <c r="A1" s="71" t="s">
        <v>26</v>
      </c>
      <c r="B1" s="71" t="s">
        <v>28</v>
      </c>
      <c r="C1" s="71" t="s">
        <v>43</v>
      </c>
      <c r="D1" s="71" t="s">
        <v>45</v>
      </c>
      <c r="E1" s="71" t="s">
        <v>48</v>
      </c>
      <c r="F1" s="71" t="s">
        <v>51</v>
      </c>
      <c r="G1" s="71" t="s">
        <v>31</v>
      </c>
      <c r="H1" s="71" t="s">
        <v>55</v>
      </c>
      <c r="I1" s="71" t="s">
        <v>40</v>
      </c>
      <c r="J1" s="71" t="s">
        <v>38</v>
      </c>
      <c r="K1" s="71" t="s">
        <v>34</v>
      </c>
    </row>
    <row r="2">
      <c r="A2" s="22" t="str">
        <f>IFERROR(__xludf.DUMMYFUNCTION("FILTER(Blad1!$Q$2:$Q$261,Blad1!$C$2:$C$261 = A1)"),"Archeologisch museum van de Boven-Maas")</f>
        <v>Archeologisch museum van de Boven-Maas</v>
      </c>
      <c r="B2" s="22" t="str">
        <f>IFERROR(__xludf.DUMMYFUNCTION("FILTER(Blad1!$Q$2:$Q$261,Blad1!$C$2:$C$261 = B1)"),"Abdijmuseum Ten Duinen")</f>
        <v>Abdijmuseum Ten Duinen</v>
      </c>
      <c r="C2" s="22" t="str">
        <f>IFERROR(__xludf.DUMMYFUNCTION("FILTER(Blad1!$Q$2:$Q$261,Blad1!$C$2:$C$261 = C1)"),"Abdij van Stavelot")</f>
        <v>Abdij van Stavelot</v>
      </c>
      <c r="D2" s="22" t="str">
        <f>IFERROR(__xludf.DUMMYFUNCTION("FILTER(Blad1!$Q$2:$Q$261,Blad1!$C$2:$C$261 = D1)"),"Artotheek ")</f>
        <v>Artotheek </v>
      </c>
      <c r="E2" s="22" t="str">
        <f>IFERROR(__xludf.DUMMYFUNCTION("FILTER(Blad1!$Q$2:$Q$261,Blad1!$C$2:$C$261 = E1)"),"Bastogne Barracks")</f>
        <v>Bastogne Barracks</v>
      </c>
      <c r="F2" s="22" t="str">
        <f>IFERROR(__xludf.DUMMYFUNCTION("FILTER(Blad1!$Q$2:$Q$261,Blad1!$C$2:$C$261 = F1)"),"AMVB | Archief en Museum voor het Vlaams leven te Brussel")</f>
        <v>AMVB | Archief en Museum voor het Vlaams leven te Brussel</v>
      </c>
      <c r="G2" s="22" t="str">
        <f>IFERROR(__xludf.DUMMYFUNCTION("FILTER(Blad1!$Q$2:$Q$261,Blad1!$C$2:$C$261 = G1)"),"Arboretum Kalmtout")</f>
        <v>Arboretum Kalmtout</v>
      </c>
      <c r="H2" s="22" t="str">
        <f>IFERROR(__xludf.DUMMYFUNCTION("FILTER(Blad1!$Q$2:$Q$261,Blad1!$C$2:$C$261 = H1)"),"Amsab-Instituut voor Sociale Geschiedenis")</f>
        <v>Amsab-Instituut voor Sociale Geschiedenis</v>
      </c>
      <c r="I2" s="22" t="str">
        <f>IFERROR(__xludf.DUMMYFUNCTION("FILTER(Blad1!$Q$2:$Q$261,Blad1!$C$2:$C$261 = I1)"),"Apotheekmuseum")</f>
        <v>Apotheekmuseum</v>
      </c>
      <c r="J2" s="22" t="str">
        <f>IFERROR(__xludf.DUMMYFUNCTION("FILTER(Blad1!$Q$2:$Q$261,Blad1!$C$2:$C$261 = J1)"),"AfricaMuseum")</f>
        <v>AfricaMuseum</v>
      </c>
      <c r="K2" s="22" t="str">
        <f>IFERROR(__xludf.DUMMYFUNCTION("FILTER(Blad1!$Q$2:$Q$261,Blad1!$C$2:$C$261 = K1)"),"Stichting Folon")</f>
        <v>Stichting Folon</v>
      </c>
    </row>
    <row r="3">
      <c r="A3" s="22" t="str">
        <f>IFERROR(__xludf.DUMMYFUNCTION("""COMPUTED_VALUE"""),"Citadel van Namen / Bezoekerscentrum Terra Nova en toeristentreintje")</f>
        <v>Citadel van Namen / Bezoekerscentrum Terra Nova en toeristentreintje</v>
      </c>
      <c r="B3" s="22" t="str">
        <f>IFERROR(__xludf.DUMMYFUNCTION("""COMPUTED_VALUE"""),"Adornesdomein")</f>
        <v>Adornesdomein</v>
      </c>
      <c r="C3" s="22" t="str">
        <f>IFERROR(__xludf.DUMMYFUNCTION("""COMPUTED_VALUE"""),"Aquarium-Museum van Luik")</f>
        <v>Aquarium-Museum van Luik</v>
      </c>
      <c r="D3" s="22" t="str">
        <f>IFERROR(__xludf.DUMMYFUNCTION("""COMPUTED_VALUE"""),"Belfort van Bergen")</f>
        <v>Belfort van Bergen</v>
      </c>
      <c r="E3" s="22" t="str">
        <f>IFERROR(__xludf.DUMMYFUNCTION("""COMPUTED_VALUE"""),"DHAM | Durbuy History &amp; Art Museum")</f>
        <v>DHAM | Durbuy History &amp; Art Museum</v>
      </c>
      <c r="F3" s="22" t="str">
        <f>IFERROR(__xludf.DUMMYFUNCTION("""COMPUTED_VALUE"""),"ARGOS | centre for audiovisual arts")</f>
        <v>ARGOS | centre for audiovisual arts</v>
      </c>
      <c r="G3" s="22" t="str">
        <f>IFERROR(__xludf.DUMMYFUNCTION("""COMPUTED_VALUE"""),"Begijnhofmuseum Turnhout")</f>
        <v>Begijnhofmuseum Turnhout</v>
      </c>
      <c r="H3" s="22" t="str">
        <f>IFERROR(__xludf.DUMMYFUNCTION("""COMPUTED_VALUE"""),"Curiosum | Een huis vol herinnering")</f>
        <v>Curiosum | Een huis vol herinnering</v>
      </c>
      <c r="I3" s="22" t="str">
        <f>IFERROR(__xludf.DUMMYFUNCTION("""COMPUTED_VALUE"""),"C-mine")</f>
        <v>C-mine</v>
      </c>
      <c r="J3" s="22" t="str">
        <f>IFERROR(__xludf.DUMMYFUNCTION("""COMPUTED_VALUE"""),"Damiaanmuseum")</f>
        <v>Damiaanmuseum</v>
      </c>
      <c r="K3" s="22" t="str">
        <f>IFERROR(__xludf.DUMMYFUNCTION("""COMPUTED_VALUE"""),"Hergé Museum")</f>
        <v>Hergé Museum</v>
      </c>
    </row>
    <row r="4">
      <c r="A4" s="22" t="str">
        <f>IFERROR(__xludf.DUMMYFUNCTION("""COMPUTED_VALUE"""),"NAM-IP Computermuseum")</f>
        <v>NAM-IP Computermuseum</v>
      </c>
      <c r="B4" s="22" t="str">
        <f>IFERROR(__xludf.DUMMYFUNCTION("""COMPUTED_VALUE"""),"Atlantikwall Raversyde")</f>
        <v>Atlantikwall Raversyde</v>
      </c>
      <c r="C4" s="22" t="str">
        <f>IFERROR(__xludf.DUMMYFUNCTION("""COMPUTED_VALUE"""),"Archeoforum van Luik")</f>
        <v>Archeoforum van Luik</v>
      </c>
      <c r="D4" s="22" t="str">
        <f>IFERROR(__xludf.DUMMYFUNCTION("""COMPUTED_VALUE"""),"Museum van Mijnbouw en Duurzame Ontwikkeling")</f>
        <v>Museum van Mijnbouw en Duurzame Ontwikkeling</v>
      </c>
      <c r="E4" s="22" t="str">
        <f>IFERROR(__xludf.DUMMYFUNCTION("""COMPUTED_VALUE"""),"FAM | Famenne &amp; Art Museum")</f>
        <v>FAM | Famenne &amp; Art Museum</v>
      </c>
      <c r="F4" s="22" t="str">
        <f>IFERROR(__xludf.DUMMYFUNCTION("""COMPUTED_VALUE"""),"Art et marges musée museum")</f>
        <v>Art et marges musée museum</v>
      </c>
      <c r="G4" s="22" t="str">
        <f>IFERROR(__xludf.DUMMYFUNCTION("""COMPUTED_VALUE"""),"DIVA | museum voor diamant juwelen en zilver")</f>
        <v>DIVA | museum voor diamant juwelen en zilver</v>
      </c>
      <c r="H4" s="22" t="str">
        <f>IFERROR(__xludf.DUMMYFUNCTION("""COMPUTED_VALUE"""),"Design Museum Gent")</f>
        <v>Design Museum Gent</v>
      </c>
      <c r="I4" s="22" t="str">
        <f>IFERROR(__xludf.DUMMYFUNCTION("""COMPUTED_VALUE"""),"DE MINDERE")</f>
        <v>DE MINDERE</v>
      </c>
      <c r="J4" s="22" t="str">
        <f>IFERROR(__xludf.DUMMYFUNCTION("""COMPUTED_VALUE"""),"Dru!f, huis van de tafeldruif")</f>
        <v>Dru!f, huis van de tafeldruif</v>
      </c>
      <c r="K4" s="22" t="str">
        <f>IFERROR(__xludf.DUMMYFUNCTION("""COMPUTED_VALUE"""),"Musée L")</f>
        <v>Musée L</v>
      </c>
    </row>
    <row r="5">
      <c r="A5" s="22" t="str">
        <f>IFERROR(__xludf.DUMMYFUNCTION("""COMPUTED_VALUE"""),"Ecomuseum van de Viroin")</f>
        <v>Ecomuseum van de Viroin</v>
      </c>
      <c r="B5" s="22" t="str">
        <f>IFERROR(__xludf.DUMMYFUNCTION("""COMPUTED_VALUE"""),"Bakkerijmuseum")</f>
        <v>Bakkerijmuseum</v>
      </c>
      <c r="C5" s="22" t="str">
        <f>IFERROR(__xludf.DUMMYFUNCTION("""COMPUTED_VALUE"""),"ArtHouse")</f>
        <v>ArtHouse</v>
      </c>
      <c r="D5" s="22" t="str">
        <f>IFERROR(__xludf.DUMMYFUNCTION("""COMPUTED_VALUE"""),"Museum voor kunst van de Provincie Henegouwen")</f>
        <v>Museum voor kunst van de Provincie Henegouwen</v>
      </c>
      <c r="E5" s="22" t="str">
        <f>IFERROR(__xludf.DUMMYFUNCTION("""COMPUTED_VALUE"""),"Megalietenhuis")</f>
        <v>Megalietenhuis</v>
      </c>
      <c r="F5" s="22" t="str">
        <f>IFERROR(__xludf.DUMMYFUNCTION("""COMPUTED_VALUE"""),"Autoworld Brussels")</f>
        <v>Autoworld Brussels</v>
      </c>
      <c r="G5" s="22" t="str">
        <f>IFERROR(__xludf.DUMMYFUNCTION("""COMPUTED_VALUE"""),"Erfgoedbibliotheek Hendrik Conscience - Nottebohmzaal")</f>
        <v>Erfgoedbibliotheek Hendrik Conscience - Nottebohmzaal</v>
      </c>
      <c r="H5" s="22" t="str">
        <f>IFERROR(__xludf.DUMMYFUNCTION("""COMPUTED_VALUE"""),"GUM | Gents Universiteitsmuseum")</f>
        <v>GUM | Gents Universiteitsmuseum</v>
      </c>
      <c r="I5" s="22" t="str">
        <f>IFERROR(__xludf.DUMMYFUNCTION("""COMPUTED_VALUE"""),"Duitse Orde Museum (DOMUS) Alden Biesen")</f>
        <v>Duitse Orde Museum (DOMUS) Alden Biesen</v>
      </c>
      <c r="J5" s="22" t="str">
        <f>IFERROR(__xludf.DUMMYFUNCTION("""COMPUTED_VALUE"""),"FeliXart Museum")</f>
        <v>FeliXart Museum</v>
      </c>
      <c r="K5" s="22" t="str">
        <f>IFERROR(__xludf.DUMMYFUNCTION("""COMPUTED_VALUE"""),"Marthe Donas museum")</f>
        <v>Marthe Donas museum</v>
      </c>
    </row>
    <row r="6">
      <c r="A6" s="22" t="str">
        <f>IFERROR(__xludf.DUMMYFUNCTION("""COMPUTED_VALUE"""),"Andenne Museum")</f>
        <v>Andenne Museum</v>
      </c>
      <c r="B6" s="22" t="str">
        <f>IFERROR(__xludf.DUMMYFUNCTION("""COMPUTED_VALUE"""),"Belfort van Brugge")</f>
        <v>Belfort van Brugge</v>
      </c>
      <c r="C6" s="22" t="str">
        <f>IFERROR(__xludf.DUMMYFUNCTION("""COMPUTED_VALUE"""),"Museum voor Hedendaagse Kunst")</f>
        <v>Museum voor Hedendaagse Kunst</v>
      </c>
      <c r="D6" s="22" t="str">
        <f>IFERROR(__xludf.DUMMYFUNCTION("""COMPUTED_VALUE"""),"CAP/museum voor Schone Kunsten van Bergen")</f>
        <v>CAP/museum voor Schone Kunsten van Bergen</v>
      </c>
      <c r="E6" s="22" t="str">
        <f>IFERROR(__xludf.DUMMYFUNCTION("""COMPUTED_VALUE"""),"Mudia")</f>
        <v>Mudia</v>
      </c>
      <c r="F6" s="22" t="str">
        <f>IFERROR(__xludf.DUMMYFUNCTION("""COMPUTED_VALUE"""),"Botanique")</f>
        <v>Botanique</v>
      </c>
      <c r="G6" s="22" t="str">
        <f>IFERROR(__xludf.DUMMYFUNCTION("""COMPUTED_VALUE"""),"FOMU | Fotomuseum Antwerpen")</f>
        <v>FOMU | Fotomuseum Antwerpen</v>
      </c>
      <c r="H6" s="22" t="str">
        <f>IFERROR(__xludf.DUMMYFUNCTION("""COMPUTED_VALUE"""),"Herbert Foundation")</f>
        <v>Herbert Foundation</v>
      </c>
      <c r="I6" s="22" t="str">
        <f>IFERROR(__xludf.DUMMYFUNCTION("""COMPUTED_VALUE"""),"Gallo-Romeins Museum")</f>
        <v>Gallo-Romeins Museum</v>
      </c>
      <c r="J6" s="22" t="str">
        <f>IFERROR(__xludf.DUMMYFUNCTION("""COMPUTED_VALUE"""),"Huis van het Belgisch-Franse Verzet")</f>
        <v>Huis van het Belgisch-Franse Verzet</v>
      </c>
      <c r="K6" s="22" t="str">
        <f>IFERROR(__xludf.DUMMYFUNCTION("""COMPUTED_VALUE"""),"Wellington Museum")</f>
        <v>Wellington Museum</v>
      </c>
    </row>
    <row r="7">
      <c r="A7" s="22" t="str">
        <f>IFERROR(__xludf.DUMMYFUNCTION("""COMPUTED_VALUE"""),"Le Delta")</f>
        <v>Le Delta</v>
      </c>
      <c r="B7" s="22" t="str">
        <f>IFERROR(__xludf.DUMMYFUNCTION("""COMPUTED_VALUE"""),"Belle Epoque Centrum")</f>
        <v>Belle Epoque Centrum</v>
      </c>
      <c r="C7" s="22" t="str">
        <f>IFERROR(__xludf.DUMMYFUNCTION("""COMPUTED_VALUE"""),"La Boverie")</f>
        <v>La Boverie</v>
      </c>
      <c r="D7" s="22" t="str">
        <f>IFERROR(__xludf.DUMMYFUNCTION("""COMPUTED_VALUE"""),"CAP/het Collectiehuis")</f>
        <v>CAP/het Collectiehuis</v>
      </c>
      <c r="E7" s="22" t="str">
        <f>IFERROR(__xludf.DUMMYFUNCTION("""COMPUTED_VALUE"""),"Archeologisch Museum van Aarlen")</f>
        <v>Archeologisch Museum van Aarlen</v>
      </c>
      <c r="F7" s="22" t="str">
        <f>IFERROR(__xludf.DUMMYFUNCTION("""COMPUTED_VALUE"""),"Paleis voor Schone Kunsten")</f>
        <v>Paleis voor Schone Kunsten</v>
      </c>
      <c r="G7" s="22" t="str">
        <f>IFERROR(__xludf.DUMMYFUNCTION("""COMPUTED_VALUE"""),"Fort van Breendonk")</f>
        <v>Fort van Breendonk</v>
      </c>
      <c r="H7" s="22" t="str">
        <f>IFERROR(__xludf.DUMMYFUNCTION("""COMPUTED_VALUE"""),"Huis van Alijn")</f>
        <v>Huis van Alijn</v>
      </c>
      <c r="I7" s="22" t="str">
        <f>IFERROR(__xludf.DUMMYFUNCTION("""COMPUTED_VALUE"""),"GlazenHuis")</f>
        <v>GlazenHuis</v>
      </c>
      <c r="J7" s="22" t="str">
        <f>IFERROR(__xludf.DUMMYFUNCTION("""COMPUTED_VALUE"""),"KADOC-KU Leuven")</f>
        <v>KADOC-KU Leuven</v>
      </c>
    </row>
    <row r="8">
      <c r="A8" s="22" t="str">
        <f>IFERROR(__xludf.DUMMYFUNCTION("""COMPUTED_VALUE"""),"Le Pavillon")</f>
        <v>Le Pavillon</v>
      </c>
      <c r="B8" s="22" t="str">
        <f>IFERROR(__xludf.DUMMYFUNCTION("""COMPUTED_VALUE"""),"Brugse Vrije")</f>
        <v>Brugse Vrije</v>
      </c>
      <c r="C8" s="22" t="str">
        <f>IFERROR(__xludf.DUMMYFUNCTION("""COMPUTED_VALUE"""),"Le Grand Curtius")</f>
        <v>Le Grand Curtius</v>
      </c>
      <c r="D8" s="22" t="str">
        <f>IFERROR(__xludf.DUMMYFUNCTION("""COMPUTED_VALUE"""),"Centre Daily-Bul &amp; C° ")</f>
        <v>Centre Daily-Bul &amp; C° </v>
      </c>
      <c r="E8" s="22" t="str">
        <f>IFERROR(__xludf.DUMMYFUNCTION("""COMPUTED_VALUE"""),"Gaspar Museum")</f>
        <v>Gaspar Museum</v>
      </c>
      <c r="F8" s="22" t="str">
        <f>IFERROR(__xludf.DUMMYFUNCTION("""COMPUTED_VALUE"""),"CENTRALE for contemporary art")</f>
        <v>CENTRALE for contemporary art</v>
      </c>
      <c r="G8" s="22" t="str">
        <f>IFERROR(__xludf.DUMMYFUNCTION("""COMPUTED_VALUE"""),"Gasthuismuseum Geel")</f>
        <v>Gasthuismuseum Geel</v>
      </c>
      <c r="H8" s="22" t="str">
        <f>IFERROR(__xludf.DUMMYFUNCTION("""COMPUTED_VALUE"""),"Industriemuseum")</f>
        <v>Industriemuseum</v>
      </c>
      <c r="I8" s="22" t="str">
        <f>IFERROR(__xludf.DUMMYFUNCTION("""COMPUTED_VALUE"""),"Het Stadsmus Hasselt")</f>
        <v>Het Stadsmus Hasselt</v>
      </c>
      <c r="J8" s="22" t="str">
        <f>IFERROR(__xludf.DUMMYFUNCTION("""COMPUTED_VALUE"""),"Kasteel van Gaasbeek")</f>
        <v>Kasteel van Gaasbeek</v>
      </c>
    </row>
    <row r="9">
      <c r="A9" s="22" t="str">
        <f>IFERROR(__xludf.DUMMYFUNCTION("""COMPUTED_VALUE"""),"Maison du patrimoine médiéval mosan")</f>
        <v>Maison du patrimoine médiéval mosan</v>
      </c>
      <c r="B9" s="22" t="str">
        <f>IFERROR(__xludf.DUMMYFUNCTION("""COMPUTED_VALUE"""),"Dodengang")</f>
        <v>Dodengang</v>
      </c>
      <c r="C9" s="22" t="str">
        <f>IFERROR(__xludf.DUMMYFUNCTION("""COMPUTED_VALUE"""),"Bos en Watermuseum “P. Noé”")</f>
        <v>Bos en Watermuseum “P. Noé”</v>
      </c>
      <c r="D9" s="22" t="str">
        <f>IFERROR(__xludf.DUMMYFUNCTION("""COMPUTED_VALUE"""),"Wetenschappelijk Cultuurcentrum - ULB")</f>
        <v>Wetenschappelijk Cultuurcentrum - ULB</v>
      </c>
      <c r="E9" s="22" t="str">
        <f>IFERROR(__xludf.DUMMYFUNCTION("""COMPUTED_VALUE"""),"Het Gaume Museum")</f>
        <v>Het Gaume Museum</v>
      </c>
      <c r="F9" s="22" t="str">
        <f>IFERROR(__xludf.DUMMYFUNCTION("""COMPUTED_VALUE"""),"CIVA")</f>
        <v>CIVA</v>
      </c>
      <c r="G9" s="22" t="str">
        <f>IFERROR(__xludf.DUMMYFUNCTION("""COMPUTED_VALUE"""),"Het Snijders&amp;Rockoxhuis")</f>
        <v>Het Snijders&amp;Rockoxhuis</v>
      </c>
      <c r="H9" s="22" t="str">
        <f>IFERROR(__xludf.DUMMYFUNCTION("""COMPUTED_VALUE"""),"Mercatormuseum")</f>
        <v>Mercatormuseum</v>
      </c>
      <c r="I9" s="22" t="str">
        <f>IFERROR(__xludf.DUMMYFUNCTION("""COMPUTED_VALUE"""),"Jenevermuseum")</f>
        <v>Jenevermuseum</v>
      </c>
      <c r="J9" s="22" t="str">
        <f>IFERROR(__xludf.DUMMYFUNCTION("""COMPUTED_VALUE"""),"M Leuven")</f>
        <v>M Leuven</v>
      </c>
    </row>
    <row r="10">
      <c r="A10" s="22" t="str">
        <f>IFERROR(__xludf.DUMMYFUNCTION("""COMPUTED_VALUE"""),"Archeopark van Rochefort")</f>
        <v>Archeopark van Rochefort</v>
      </c>
      <c r="B10" s="22" t="str">
        <f>IFERROR(__xludf.DUMMYFUNCTION("""COMPUTED_VALUE"""),"Eperon d’Or")</f>
        <v>Eperon d’Or</v>
      </c>
      <c r="C10" s="22" t="str">
        <f>IFERROR(__xludf.DUMMYFUNCTION("""COMPUTED_VALUE"""),"Museum van de wastechniek")</f>
        <v>Museum van de wastechniek</v>
      </c>
      <c r="D10" s="22" t="str">
        <f>IFERROR(__xludf.DUMMYFUNCTION("""COMPUTED_VALUE"""),"Centre de la Gravure et de l’Image imprimée ")</f>
        <v>Centre de la Gravure et de l’Image imprimée </v>
      </c>
      <c r="E10" s="22" t="str">
        <f>IFERROR(__xludf.DUMMYFUNCTION("""COMPUTED_VALUE"""),"Museum van de Grote Ardennen")</f>
        <v>Museum van de Grote Ardennen</v>
      </c>
      <c r="F10" s="22" t="str">
        <f>IFERROR(__xludf.DUMMYFUNCTION("""COMPUTED_VALUE"""),"Design Museum Brussels")</f>
        <v>Design Museum Brussels</v>
      </c>
      <c r="G10" s="22" t="str">
        <f>IFERROR(__xludf.DUMMYFUNCTION("""COMPUTED_VALUE"""),"Jakob Smitsmuseum")</f>
        <v>Jakob Smitsmuseum</v>
      </c>
      <c r="H10" s="22" t="str">
        <f>IFERROR(__xludf.DUMMYFUNCTION("""COMPUTED_VALUE"""),"MOU | Museum Oudenaarde")</f>
        <v>MOU | Museum Oudenaarde</v>
      </c>
      <c r="I10" s="22" t="str">
        <f>IFERROR(__xludf.DUMMYFUNCTION("""COMPUTED_VALUE"""),"LABIOMISTA")</f>
        <v>LABIOMISTA</v>
      </c>
      <c r="J10" s="22" t="str">
        <f>IFERROR(__xludf.DUMMYFUNCTION("""COMPUTED_VALUE"""),"Museum 44")</f>
        <v>Museum 44</v>
      </c>
    </row>
    <row r="11">
      <c r="A11" s="22" t="str">
        <f>IFERROR(__xludf.DUMMYFUNCTION("""COMPUTED_VALUE"""),"MusAfrica Namen")</f>
        <v>MusAfrica Namen</v>
      </c>
      <c r="B11" s="22" t="str">
        <f>IFERROR(__xludf.DUMMYFUNCTION("""COMPUTED_VALUE"""),"Gezellehuis")</f>
        <v>Gezellehuis</v>
      </c>
      <c r="C11" s="22" t="str">
        <f>IFERROR(__xludf.DUMMYFUNCTION("""COMPUTED_VALUE"""),"Huis van de Metallurgie en Industrie van Luik")</f>
        <v>Huis van de Metallurgie en Industrie van Luik</v>
      </c>
      <c r="D11" s="22" t="str">
        <f>IFERROR(__xludf.DUMMYFUNCTION("""COMPUTED_VALUE"""),"Centrum voor Innovatie en Design van Grand-Hornu")</f>
        <v>Centrum voor Innovatie en Design van Grand-Hornu</v>
      </c>
      <c r="F11" s="22" t="str">
        <f>IFERROR(__xludf.DUMMYFUNCTION("""COMPUTED_VALUE"""),"Fondation A Stichting")</f>
        <v>Fondation A Stichting</v>
      </c>
      <c r="G11" s="22" t="str">
        <f>IFERROR(__xludf.DUMMYFUNCTION("""COMPUTED_VALUE"""),"Karrenmuseum Essen")</f>
        <v>Karrenmuseum Essen</v>
      </c>
      <c r="H11" s="22" t="str">
        <f>IFERROR(__xludf.DUMMYFUNCTION("""COMPUTED_VALUE"""),"MSK | Museum voor Schone Kunsten Gent")</f>
        <v>MSK | Museum voor Schone Kunsten Gent</v>
      </c>
      <c r="I11" s="22" t="str">
        <f>IFERROR(__xludf.DUMMYFUNCTION("""COMPUTED_VALUE"""),"Liberation Garden Leopoldsburg")</f>
        <v>Liberation Garden Leopoldsburg</v>
      </c>
      <c r="J11" s="22" t="str">
        <f>IFERROR(__xludf.DUMMYFUNCTION("""COMPUTED_VALUE"""),"Museum den AST")</f>
        <v>Museum den AST</v>
      </c>
    </row>
    <row r="12">
      <c r="A12" s="22" t="str">
        <f>IFERROR(__xludf.DUMMYFUNCTION("""COMPUTED_VALUE"""),"Aardbeimuseum")</f>
        <v>Aardbeimuseum</v>
      </c>
      <c r="B12" s="22" t="str">
        <f>IFERROR(__xludf.DUMMYFUNCTION("""COMPUTED_VALUE"""),"Groeningemuseum")</f>
        <v>Groeningemuseum</v>
      </c>
      <c r="C12" s="22" t="str">
        <f>IFERROR(__xludf.DUMMYFUNCTION("""COMPUTED_VALUE"""),"Pottenbakkerijmuseum Raeren")</f>
        <v>Pottenbakkerijmuseum Raeren</v>
      </c>
      <c r="D12" s="22" t="str">
        <f>IFERROR(__xludf.DUMMYFUNCTION("""COMPUTED_VALUE"""),"Domein van het Kasteel van Seneffe")</f>
        <v>Domein van het Kasteel van Seneffe</v>
      </c>
      <c r="F12" s="22" t="str">
        <f>IFERROR(__xludf.DUMMYFUNCTION("""COMPUTED_VALUE"""),"Villa Empain - Stichting Boghossian")</f>
        <v>Villa Empain - Stichting Boghossian</v>
      </c>
      <c r="G12" s="22" t="str">
        <f>IFERROR(__xludf.DUMMYFUNCTION("""COMPUTED_VALUE"""),"Kazerne Dossin")</f>
        <v>Kazerne Dossin</v>
      </c>
      <c r="H12" s="22" t="str">
        <f>IFERROR(__xludf.DUMMYFUNCTION("""COMPUTED_VALUE"""),"mudel | Museum van Deinze en de Leiestreek")</f>
        <v>mudel | Museum van Deinze en de Leiestreek</v>
      </c>
      <c r="I12" s="22" t="str">
        <f>IFERROR(__xludf.DUMMYFUNCTION("""COMPUTED_VALUE"""),"Modemuseum Hasselt")</f>
        <v>Modemuseum Hasselt</v>
      </c>
      <c r="J12" s="22" t="str">
        <f>IFERROR(__xludf.DUMMYFUNCTION("""COMPUTED_VALUE"""),"Museum PARCUM, Abdij van Park Leuven")</f>
        <v>Museum PARCUM, Abdij van Park Leuven</v>
      </c>
    </row>
    <row r="13">
      <c r="A13" s="22" t="str">
        <f>IFERROR(__xludf.DUMMYFUNCTION("""COMPUTED_VALUE"""),"Musée du Malgré-Tout")</f>
        <v>Musée du Malgré-Tout</v>
      </c>
      <c r="B13" s="22" t="str">
        <f>IFERROR(__xludf.DUMMYFUNCTION("""COMPUTED_VALUE"""),"Gruuthusemuseum")</f>
        <v>Gruuthusemuseum</v>
      </c>
      <c r="C13" s="22" t="str">
        <f>IFERROR(__xludf.DUMMYFUNCTION("""COMPUTED_VALUE"""),"Museum van het Waalse Leven")</f>
        <v>Museum van het Waalse Leven</v>
      </c>
      <c r="D13" s="22" t="str">
        <f>IFERROR(__xludf.DUMMYFUNCTION("""COMPUTED_VALUE"""),"Gallo-Romeins Museum van Aat")</f>
        <v>Gallo-Romeins Museum van Aat</v>
      </c>
      <c r="F13" s="22" t="str">
        <f>IFERROR(__xludf.DUMMYFUNCTION("""COMPUTED_VALUE"""),"Brel Stichting")</f>
        <v>Brel Stichting</v>
      </c>
      <c r="G13" s="22" t="str">
        <f>IFERROR(__xludf.DUMMYFUNCTION("""COMPUTED_VALUE"""),"KMSKA | Koninklijk Museum voor Schone Kunsten Antwerpen")</f>
        <v>KMSKA | Koninklijk Museum voor Schone Kunsten Antwerpen</v>
      </c>
      <c r="H13" s="22" t="str">
        <f>IFERROR(__xludf.DUMMYFUNCTION("""COMPUTED_VALUE"""),"Museum Dhondt-Dhaenens")</f>
        <v>Museum Dhondt-Dhaenens</v>
      </c>
      <c r="I13" s="22" t="str">
        <f>IFERROR(__xludf.DUMMYFUNCTION("""COMPUTED_VALUE"""),"Openluchtmuseum Bokrijk")</f>
        <v>Openluchtmuseum Bokrijk</v>
      </c>
      <c r="J13" s="22" t="str">
        <f>IFERROR(__xludf.DUMMYFUNCTION("""COMPUTED_VALUE"""),"Plantentuin Meise")</f>
        <v>Plantentuin Meise</v>
      </c>
    </row>
    <row r="14">
      <c r="A14" s="22" t="str">
        <f>IFERROR(__xludf.DUMMYFUNCTION("""COMPUTED_VALUE"""),"Museum van het Klein Formaat")</f>
        <v>Museum van het Klein Formaat</v>
      </c>
      <c r="B14" s="22" t="str">
        <f>IFERROR(__xludf.DUMMYFUNCTION("""COMPUTED_VALUE"""),"Het James Ensorhuis")</f>
        <v>Het James Ensorhuis</v>
      </c>
      <c r="C14" s="22" t="str">
        <f>IFERROR(__xludf.DUMMYFUNCTION("""COMPUTED_VALUE"""),"Musea van de Kuurstad")</f>
        <v>Musea van de Kuurstad</v>
      </c>
      <c r="D14" s="22" t="str">
        <f>IFERROR(__xludf.DUMMYFUNCTION("""COMPUTED_VALUE"""),"Hospitaal Onze-Lieve-Vrouw met de Roos")</f>
        <v>Hospitaal Onze-Lieve-Vrouw met de Roos</v>
      </c>
      <c r="F14" s="22" t="str">
        <f>IFERROR(__xludf.DUMMYFUNCTION("""COMPUTED_VALUE"""),"Fondation CAB")</f>
        <v>Fondation CAB</v>
      </c>
      <c r="G14" s="22" t="str">
        <f>IFERROR(__xludf.DUMMYFUNCTION("""COMPUTED_VALUE"""),"Kunsthal Extra City")</f>
        <v>Kunsthal Extra City</v>
      </c>
      <c r="H14" s="22" t="str">
        <f>IFERROR(__xludf.DUMMYFUNCTION("""COMPUTED_VALUE"""),"Museum Dr. Guislain")</f>
        <v>Museum Dr. Guislain</v>
      </c>
      <c r="I14" s="22" t="str">
        <f>IFERROR(__xludf.DUMMYFUNCTION("""COMPUTED_VALUE"""),"RAM | Regionaal Archeologisch Museum")</f>
        <v>RAM | Regionaal Archeologisch Museum</v>
      </c>
      <c r="J14" s="22" t="str">
        <f>IFERROR(__xludf.DUMMYFUNCTION("""COMPUTED_VALUE"""),"Universiteitsbibliotheek KU Leuven")</f>
        <v>Universiteitsbibliotheek KU Leuven</v>
      </c>
    </row>
    <row r="15">
      <c r="A15" s="22" t="str">
        <f>IFERROR(__xludf.DUMMYFUNCTION("""COMPUTED_VALUE"""),"Félicien Rops Museum")</f>
        <v>Félicien Rops Museum</v>
      </c>
      <c r="B15" s="22" t="str">
        <f>IFERROR(__xludf.DUMMYFUNCTION("""COMPUTED_VALUE"""),"Het Lijsternest | Streuvelshuis &amp; Schrijversresidentie")</f>
        <v>Het Lijsternest | Streuvelshuis &amp; Schrijversresidentie</v>
      </c>
      <c r="C15" s="22" t="str">
        <f>IFERROR(__xludf.DUMMYFUNCTION("""COMPUTED_VALUE"""),"Stadsmuseum Eupen")</f>
        <v>Stadsmuseum Eupen</v>
      </c>
      <c r="D15" s="22" t="str">
        <f>IFERROR(__xludf.DUMMYFUNCTION("""COMPUTED_VALUE"""),"Keramis - Centrum van de Keramiek")</f>
        <v>Keramis - Centrum van de Keramiek</v>
      </c>
      <c r="F15" s="22" t="str">
        <f>IFERROR(__xludf.DUMMYFUNCTION("""COMPUTED_VALUE"""),"GardeRobe MannekenPis")</f>
        <v>GardeRobe MannekenPis</v>
      </c>
      <c r="G15" s="22" t="str">
        <f>IFERROR(__xludf.DUMMYFUNCTION("""COMPUTED_VALUE"""),"Kunsthal Mechelen")</f>
        <v>Kunsthal Mechelen</v>
      </c>
      <c r="H15" s="22" t="str">
        <f>IFERROR(__xludf.DUMMYFUNCTION("""COMPUTED_VALUE"""),"Gemeentelijk museum Gevaert-Minne")</f>
        <v>Gemeentelijk museum Gevaert-Minne</v>
      </c>
      <c r="I15" s="22" t="str">
        <f>IFERROR(__xludf.DUMMYFUNCTION("""COMPUTED_VALUE"""),"Schatkamer van Sint-Catharina")</f>
        <v>Schatkamer van Sint-Catharina</v>
      </c>
    </row>
    <row r="16">
      <c r="A16" s="22" t="str">
        <f>IFERROR(__xludf.DUMMYFUNCTION("""COMPUTED_VALUE"""),"Museum voor Oude Kunsten")</f>
        <v>Museum voor Oude Kunsten</v>
      </c>
      <c r="B16" s="22" t="str">
        <f>IFERROR(__xludf.DUMMYFUNCTION("""COMPUTED_VALUE"""),"HEY Museum")</f>
        <v>HEY Museum</v>
      </c>
      <c r="C16" s="22" t="str">
        <f>IFERROR(__xludf.DUMMYFUNCTION("""COMPUTED_VALUE"""),"Musea van Verviers")</f>
        <v>Musea van Verviers</v>
      </c>
      <c r="D16" s="22" t="str">
        <f>IFERROR(__xludf.DUMMYFUNCTION("""COMPUTED_VALUE"""),"Het Reuzenhuis")</f>
        <v>Het Reuzenhuis</v>
      </c>
      <c r="F16" s="22" t="str">
        <f>IFERROR(__xludf.DUMMYFUNCTION("""COMPUTED_VALUE"""),"iMAL")</f>
        <v>iMAL</v>
      </c>
      <c r="G16" s="22" t="str">
        <f>IFERROR(__xludf.DUMMYFUNCTION("""COMPUTED_VALUE"""),"MAS | Museum aan de Stroom")</f>
        <v>MAS | Museum aan de Stroom</v>
      </c>
      <c r="H16" s="22" t="str">
        <f>IFERROR(__xludf.DUMMYFUNCTION("""COMPUTED_VALUE"""),"Gemeentelijk museum Gust De Smet")</f>
        <v>Gemeentelijk museum Gust De Smet</v>
      </c>
      <c r="I16" s="22" t="str">
        <f>IFERROR(__xludf.DUMMYFUNCTION("""COMPUTED_VALUE"""),"Z33 | Huis voor Actuele Kunst, Design &amp; Architectuur")</f>
        <v>Z33 | Huis voor Actuele Kunst, Design &amp; Architectuur</v>
      </c>
    </row>
    <row r="17">
      <c r="B17" s="22" t="str">
        <f>IFERROR(__xludf.DUMMYFUNCTION("""COMPUTED_VALUE"""),"Hopmuseum Poperinge")</f>
        <v>Hopmuseum Poperinge</v>
      </c>
      <c r="C17" s="22" t="str">
        <f>IFERROR(__xludf.DUMMYFUNCTION("""COMPUTED_VALUE"""),"Museum Vieille Montagne")</f>
        <v>Museum Vieille Montagne</v>
      </c>
      <c r="D17" s="22" t="str">
        <f>IFERROR(__xludf.DUMMYFUNCTION("""COMPUTED_VALUE"""),"Het Huis Van Gogh")</f>
        <v>Het Huis Van Gogh</v>
      </c>
      <c r="F17" s="22" t="str">
        <f>IFERROR(__xludf.DUMMYFUNCTION("""COMPUTED_VALUE"""),"KANAL | Centre Pompidou")</f>
        <v>KANAL | Centre Pompidou</v>
      </c>
      <c r="G17" s="22" t="str">
        <f>IFERROR(__xludf.DUMMYFUNCTION("""COMPUTED_VALUE"""),"M HKA | Museum van Hedendaagse Kunst Antwerpen")</f>
        <v>M HKA | Museum van Hedendaagse Kunst Antwerpen</v>
      </c>
      <c r="H17" s="22" t="str">
        <f>IFERROR(__xludf.DUMMYFUNCTION("""COMPUTED_VALUE"""),"Provinciale Erfgoedsite Ename")</f>
        <v>Provinciale Erfgoedsite Ename</v>
      </c>
    </row>
    <row r="18">
      <c r="B18" s="22" t="str">
        <f>IFERROR(__xludf.DUMMYFUNCTION("""COMPUTED_VALUE"""),"In Flanders Fields Museum")</f>
        <v>In Flanders Fields Museum</v>
      </c>
      <c r="C18" s="22" t="str">
        <f>IFERROR(__xludf.DUMMYFUNCTION("""COMPUTED_VALUE"""),"Préhistomuseum")</f>
        <v>Préhistomuseum</v>
      </c>
      <c r="D18" s="22" t="str">
        <f>IFERROR(__xludf.DUMMYFUNCTION("""COMPUTED_VALUE"""),"Le Bois du Cazier ")</f>
        <v>Le Bois du Cazier </v>
      </c>
      <c r="F18" s="22" t="str">
        <f>IFERROR(__xludf.DUMMYFUNCTION("""COMPUTED_VALUE"""),"KBR museum")</f>
        <v>KBR museum</v>
      </c>
      <c r="G18" s="22" t="str">
        <f>IFERROR(__xludf.DUMMYFUNCTION("""COMPUTED_VALUE"""),"Middelheimmuseum")</f>
        <v>Middelheimmuseum</v>
      </c>
      <c r="H18" s="22" t="str">
        <f>IFERROR(__xludf.DUMMYFUNCTION("""COMPUTED_VALUE"""),"Provinciale Erfgoedsite Scheepswerven Baasrode")</f>
        <v>Provinciale Erfgoedsite Scheepswerven Baasrode</v>
      </c>
    </row>
    <row r="19">
      <c r="B19" s="22" t="str">
        <f>IFERROR(__xludf.DUMMYFUNCTION("""COMPUTED_VALUE"""),"Kantmuseum Brugge")</f>
        <v>Kantmuseum Brugge</v>
      </c>
      <c r="C19" s="22" t="str">
        <f>IFERROR(__xludf.DUMMYFUNCTION("""COMPUTED_VALUE"""),"Trinkhall museum")</f>
        <v>Trinkhall museum</v>
      </c>
      <c r="D19" s="22" t="str">
        <f>IFERROR(__xludf.DUMMYFUNCTION("""COMPUTED_VALUE"""),"MACS | Museum voor Hedendaagse Kunsten Grand-Hornu")</f>
        <v>MACS | Museum voor Hedendaagse Kunsten Grand-Hornu</v>
      </c>
      <c r="F19" s="22" t="str">
        <f>IFERROR(__xludf.DUMMYFUNCTION("""COMPUTED_VALUE"""),"LAB·AN x Hotel van Eetvelde")</f>
        <v>LAB·AN x Hotel van Eetvelde</v>
      </c>
      <c r="G19" s="22" t="str">
        <f>IFERROR(__xludf.DUMMYFUNCTION("""COMPUTED_VALUE"""),"MoMu | ModeMuseum Antwerpen")</f>
        <v>MoMu | ModeMuseum Antwerpen</v>
      </c>
      <c r="H19" s="22" t="str">
        <f>IFERROR(__xludf.DUMMYFUNCTION("""COMPUTED_VALUE"""),"Provinciale Erfgoedsite Archeocentrum Velzeke")</f>
        <v>Provinciale Erfgoedsite Archeocentrum Velzeke</v>
      </c>
    </row>
    <row r="20">
      <c r="B20" s="22" t="str">
        <f>IFERROR(__xludf.DUMMYFUNCTION("""COMPUTED_VALUE"""),"Kasteel van Loppem")</f>
        <v>Kasteel van Loppem</v>
      </c>
      <c r="C20" s="22" t="str">
        <f>IFERROR(__xludf.DUMMYFUNCTION("""COMPUTED_VALUE"""),"WaterHouse")</f>
        <v>WaterHouse</v>
      </c>
      <c r="D20" s="22" t="str">
        <f>IFERROR(__xludf.DUMMYFUNCTION("""COMPUTED_VALUE"""),"Maison de l’Imprimerie ")</f>
        <v>Maison de l’Imprimerie </v>
      </c>
      <c r="F20" s="22" t="str">
        <f>IFERROR(__xludf.DUMMYFUNCTION("""COMPUTED_VALUE"""),"Brussels Museum voor Arbeid en Industrie")</f>
        <v>Brussels Museum voor Arbeid en Industrie</v>
      </c>
      <c r="G20" s="22" t="str">
        <f>IFERROR(__xludf.DUMMYFUNCTION("""COMPUTED_VALUE"""),"Museum De Reede")</f>
        <v>Museum De Reede</v>
      </c>
      <c r="H20" s="22" t="str">
        <f>IFERROR(__xludf.DUMMYFUNCTION("""COMPUTED_VALUE"""),"Roger Raveelmuseum")</f>
        <v>Roger Raveelmuseum</v>
      </c>
    </row>
    <row r="21">
      <c r="B21" s="22" t="str">
        <f>IFERROR(__xludf.DUMMYFUNCTION("""COMPUTED_VALUE"""),"KOERS | Museum van de Wielersport")</f>
        <v>KOERS | Museum van de Wielersport</v>
      </c>
      <c r="D21" s="22" t="str">
        <f>IFERROR(__xludf.DUMMYFUNCTION("""COMPUTED_VALUE"""),"Maison Losseau ")</f>
        <v>Maison Losseau </v>
      </c>
      <c r="F21" s="22" t="str">
        <f>IFERROR(__xludf.DUMMYFUNCTION("""COMPUTED_VALUE"""),"Het Autrique Huis")</f>
        <v>Het Autrique Huis</v>
      </c>
      <c r="G21" s="22" t="str">
        <f>IFERROR(__xludf.DUMMYFUNCTION("""COMPUTED_VALUE"""),"Museum Fort Liezele")</f>
        <v>Museum Fort Liezele</v>
      </c>
      <c r="H21" s="22" t="str">
        <f>IFERROR(__xludf.DUMMYFUNCTION("""COMPUTED_VALUE"""),"Sint-Pietersabdij Gent")</f>
        <v>Sint-Pietersabdij Gent</v>
      </c>
    </row>
    <row r="22">
      <c r="B22" s="22" t="str">
        <f>IFERROR(__xludf.DUMMYFUNCTION("""COMPUTED_VALUE"""),"Museum aan de IJzer")</f>
        <v>Museum aan de IJzer</v>
      </c>
      <c r="D22" s="22" t="str">
        <f>IFERROR(__xludf.DUMMYFUNCTION("""COMPUTED_VALUE"""),"Mons Memorial Museum ")</f>
        <v>Mons Memorial Museum </v>
      </c>
      <c r="F22" s="22" t="str">
        <f>IFERROR(__xludf.DUMMYFUNCTION("""COMPUTED_VALUE"""),"Het Stadhuis van Brussel")</f>
        <v>Het Stadhuis van Brussel</v>
      </c>
      <c r="G22" s="22" t="str">
        <f>IFERROR(__xludf.DUMMYFUNCTION("""COMPUTED_VALUE"""),"Museum Hof van Busleyden")</f>
        <v>Museum Hof van Busleyden</v>
      </c>
      <c r="H22" s="22" t="str">
        <f>IFERROR(__xludf.DUMMYFUNCTION("""COMPUTED_VALUE"""),"S.M.A.K.")</f>
        <v>S.M.A.K.</v>
      </c>
    </row>
    <row r="23">
      <c r="B23" s="22" t="str">
        <f>IFERROR(__xludf.DUMMYFUNCTION("""COMPUTED_VALUE"""),"Museum Sint-Janshospitaal")</f>
        <v>Museum Sint-Janshospitaal</v>
      </c>
      <c r="D23" s="22" t="str">
        <f>IFERROR(__xludf.DUMMYFUNCTION("""COMPUTED_VALUE"""),"MUMONS ")</f>
        <v>MUMONS </v>
      </c>
      <c r="F23" s="22" t="str">
        <f>IFERROR(__xludf.DUMMYFUNCTION("""COMPUTED_VALUE"""),"Erasmushuis &amp; Begijnhof")</f>
        <v>Erasmushuis &amp; Begijnhof</v>
      </c>
      <c r="G23" s="22" t="str">
        <f>IFERROR(__xludf.DUMMYFUNCTION("""COMPUTED_VALUE"""),"Museum Mayer van den Bergh")</f>
        <v>Museum Mayer van den Bergh</v>
      </c>
      <c r="H23" s="22" t="str">
        <f>IFERROR(__xludf.DUMMYFUNCTION("""COMPUTED_VALUE"""),"STAM | Stadsmuseum Gent")</f>
        <v>STAM | Stadsmuseum Gent</v>
      </c>
    </row>
    <row r="24">
      <c r="B24" s="22" t="str">
        <f>IFERROR(__xludf.DUMMYFUNCTION("""COMPUTED_VALUE"""),"Mu.ZEE | Kunstmuseum aan Zee")</f>
        <v>Mu.ZEE | Kunstmuseum aan Zee</v>
      </c>
      <c r="D24" s="22" t="str">
        <f>IFERROR(__xludf.DUMMYFUNCTION("""COMPUTED_VALUE"""),"Mundaneum ")</f>
        <v>Mundaneum </v>
      </c>
      <c r="F24" s="22" t="str">
        <f>IFERROR(__xludf.DUMMYFUNCTION("""COMPUTED_VALUE"""),"Maison Hannon")</f>
        <v>Maison Hannon</v>
      </c>
      <c r="G24" s="22" t="str">
        <f>IFERROR(__xludf.DUMMYFUNCTION("""COMPUTED_VALUE"""),"Museum Plantin-Moretus")</f>
        <v>Museum Plantin-Moretus</v>
      </c>
      <c r="H24" s="22" t="str">
        <f>IFERROR(__xludf.DUMMYFUNCTION("""COMPUTED_VALUE"""),"‘t Gasthuys | Stedelijk Museum Aalst")</f>
        <v>‘t Gasthuys | Stedelijk Museum Aalst</v>
      </c>
    </row>
    <row r="25">
      <c r="B25" s="22" t="str">
        <f>IFERROR(__xludf.DUMMYFUNCTION("""COMPUTED_VALUE"""),"Nationaal Tabaksmuseum")</f>
        <v>Nationaal Tabaksmuseum</v>
      </c>
      <c r="D25" s="22" t="str">
        <f>IFERROR(__xludf.DUMMYFUNCTION("""COMPUTED_VALUE"""),"Archeologiemuseum")</f>
        <v>Archeologiemuseum</v>
      </c>
      <c r="F25" s="22" t="str">
        <f>IFERROR(__xludf.DUMMYFUNCTION("""COMPUTED_VALUE"""),"MigratieMuseum")</f>
        <v>MigratieMuseum</v>
      </c>
      <c r="G25" s="22" t="str">
        <f>IFERROR(__xludf.DUMMYFUNCTION("""COMPUTED_VALUE"""),"Museum Vleeshuis")</f>
        <v>Museum Vleeshuis</v>
      </c>
    </row>
    <row r="26">
      <c r="B26" s="22" t="str">
        <f>IFERROR(__xludf.DUMMYFUNCTION("""COMPUTED_VALUE"""),"NAVIGO Visserijmuseum")</f>
        <v>NAVIGO Visserijmuseum</v>
      </c>
      <c r="D26" s="22" t="str">
        <f>IFERROR(__xludf.DUMMYFUNCTION("""COMPUTED_VALUE"""),"Folkloremuseum")</f>
        <v>Folkloremuseum</v>
      </c>
      <c r="F26" s="22" t="str">
        <f>IFERROR(__xludf.DUMMYFUNCTION("""COMPUTED_VALUE"""),"muziekinstrumentenmuseum")</f>
        <v>muziekinstrumentenmuseum</v>
      </c>
      <c r="G26" s="22" t="str">
        <f>IFERROR(__xludf.DUMMYFUNCTION("""COMPUTED_VALUE"""),"Nationaal Museum van de Speelkaart")</f>
        <v>Nationaal Museum van de Speelkaart</v>
      </c>
    </row>
    <row r="27">
      <c r="B27" s="22" t="str">
        <f>IFERROR(__xludf.DUMMYFUNCTION("""COMPUTED_VALUE"""),"O.L.V.-kerk Museum")</f>
        <v>O.L.V.-kerk Museum</v>
      </c>
      <c r="D27" s="22" t="str">
        <f>IFERROR(__xludf.DUMMYFUNCTION("""COMPUTED_VALUE"""),"Fotografiemuseum")</f>
        <v>Fotografiemuseum</v>
      </c>
      <c r="F27" s="22" t="str">
        <f>IFERROR(__xludf.DUMMYFUNCTION("""COMPUTED_VALUE"""),"Gemeentelijk Museum van Sint-Jans-Molenbeek")</f>
        <v>Gemeentelijk Museum van Sint-Jans-Molenbeek</v>
      </c>
      <c r="G27" s="22" t="str">
        <f>IFERROR(__xludf.DUMMYFUNCTION("""COMPUTED_VALUE"""),"Red Star Line Museum")</f>
        <v>Red Star Line Museum</v>
      </c>
    </row>
    <row r="28">
      <c r="B28" s="22" t="str">
        <f>IFERROR(__xludf.DUMMYFUNCTION("""COMPUTED_VALUE"""),"O.L.V. ter Potterie")</f>
        <v>O.L.V. ter Potterie</v>
      </c>
      <c r="D28" s="22" t="str">
        <f>IFERROR(__xludf.DUMMYFUNCTION("""COMPUTED_VALUE"""),"Lintweverijmuseum van Komen")</f>
        <v>Lintweverijmuseum van Komen</v>
      </c>
      <c r="F28" s="22" t="str">
        <f>IFERROR(__xludf.DUMMYFUNCTION("""COMPUTED_VALUE"""),"Museum Kunst &amp; Geschiedenis")</f>
        <v>Museum Kunst &amp; Geschiedenis</v>
      </c>
      <c r="G28" s="22" t="str">
        <f>IFERROR(__xludf.DUMMYFUNCTION("""COMPUTED_VALUE"""),"Rubenshuis")</f>
        <v>Rubenshuis</v>
      </c>
    </row>
    <row r="29">
      <c r="B29" s="22" t="str">
        <f>IFERROR(__xludf.DUMMYFUNCTION("""COMPUTED_VALUE"""),"Passchendaele Museum")</f>
        <v>Passchendaele Museum</v>
      </c>
      <c r="D29" s="22" t="str">
        <f>IFERROR(__xludf.DUMMYFUNCTION("""COMPUTED_VALUE"""),"Musée des arts de la Marionnette ")</f>
        <v>Musée des arts de la Marionnette </v>
      </c>
      <c r="F29" s="22" t="str">
        <f>IFERROR(__xludf.DUMMYFUNCTION("""COMPUTED_VALUE"""),"Belgisch Museum van de Vrijmetselarij")</f>
        <v>Belgisch Museum van de Vrijmetselarij</v>
      </c>
      <c r="G29" s="22" t="str">
        <f>IFERROR(__xludf.DUMMYFUNCTION("""COMPUTED_VALUE"""),"Sint-Pauluskerk")</f>
        <v>Sint-Pauluskerk</v>
      </c>
    </row>
    <row r="30">
      <c r="B30" s="22" t="str">
        <f>IFERROR(__xludf.DUMMYFUNCTION("""COMPUTED_VALUE"""),"Paul Delvaux Museum")</f>
        <v>Paul Delvaux Museum</v>
      </c>
      <c r="D30" s="22" t="str">
        <f>IFERROR(__xludf.DUMMYFUNCTION("""COMPUTED_VALUE"""),"Museum voor Schone Kunsten van Doornik")</f>
        <v>Museum voor Schone Kunsten van Doornik</v>
      </c>
      <c r="F30" s="22" t="str">
        <f>IFERROR(__xludf.DUMMYFUNCTION("""COMPUTED_VALUE"""),"BELvue museum")</f>
        <v>BELvue museum</v>
      </c>
      <c r="G30" s="22" t="str">
        <f>IFERROR(__xludf.DUMMYFUNCTION("""COMPUTED_VALUE"""),"Speelgoedmuseum")</f>
        <v>Speelgoedmuseum</v>
      </c>
    </row>
    <row r="31">
      <c r="B31" s="22" t="str">
        <f>IFERROR(__xludf.DUMMYFUNCTION("""COMPUTED_VALUE"""),"Peiremuzee")</f>
        <v>Peiremuzee</v>
      </c>
      <c r="D31" s="22" t="str">
        <f>IFERROR(__xludf.DUMMYFUNCTION("""COMPUTED_VALUE"""),"Museum voor militaire geschiedenis")</f>
        <v>Museum voor militaire geschiedenis</v>
      </c>
      <c r="F31" s="22" t="str">
        <f>IFERROR(__xludf.DUMMYFUNCTION("""COMPUTED_VALUE"""),"Brussels Museum van de Molen en de Voeding")</f>
        <v>Brussels Museum van de Molen en de Voeding</v>
      </c>
      <c r="G31" s="22" t="str">
        <f>IFERROR(__xludf.DUMMYFUNCTION("""COMPUTED_VALUE"""),"Stadsmuseum Lier")</f>
        <v>Stadsmuseum Lier</v>
      </c>
    </row>
    <row r="32">
      <c r="B32" s="22" t="str">
        <f>IFERROR(__xludf.DUMMYFUNCTION("""COMPUTED_VALUE"""),"Permekemuseum")</f>
        <v>Permekemuseum</v>
      </c>
      <c r="D32" s="22" t="str">
        <f>IFERROR(__xludf.DUMMYFUNCTION("""COMPUTED_VALUE"""),"Natuurhistorisch Museum en Vivarium")</f>
        <v>Natuurhistorisch Museum en Vivarium</v>
      </c>
      <c r="F32" s="22" t="str">
        <f>IFERROR(__xludf.DUMMYFUNCTION("""COMPUTED_VALUE"""),"Charlier Museum")</f>
        <v>Charlier Museum</v>
      </c>
      <c r="G32" s="22" t="str">
        <f>IFERROR(__xludf.DUMMYFUNCTION("""COMPUTED_VALUE"""),"Stedelijk Museum Hoogstraten")</f>
        <v>Stedelijk Museum Hoogstraten</v>
      </c>
    </row>
    <row r="33">
      <c r="B33" s="22" t="str">
        <f>IFERROR(__xludf.DUMMYFUNCTION("""COMPUTED_VALUE"""),"Romeins Archeologisch Museum Oudenburg")</f>
        <v>Romeins Archeologisch Museum Oudenburg</v>
      </c>
      <c r="D33" s="22" t="str">
        <f>IFERROR(__xludf.DUMMYFUNCTION("""COMPUTED_VALUE"""),"Doudoumuseum")</f>
        <v>Doudoumuseum</v>
      </c>
      <c r="F33" s="22" t="str">
        <f>IFERROR(__xludf.DUMMYFUNCTION("""COMPUTED_VALUE"""),"Museum voor Spontane Kunst")</f>
        <v>Museum voor Spontane Kunst</v>
      </c>
      <c r="G33" s="22" t="str">
        <f>IFERROR(__xludf.DUMMYFUNCTION("""COMPUTED_VALUE"""),"Suske en Wiske Museum")</f>
        <v>Suske en Wiske Museum</v>
      </c>
    </row>
    <row r="34">
      <c r="B34" s="22" t="str">
        <f>IFERROR(__xludf.DUMMYFUNCTION("""COMPUTED_VALUE"""),"Sint-Janshuismolen")</f>
        <v>Sint-Janshuismolen</v>
      </c>
      <c r="D34" s="22" t="str">
        <f>IFERROR(__xludf.DUMMYFUNCTION("""COMPUTED_VALUE"""),"Internationaal Museum van het Carnaval en het Masker")</f>
        <v>Internationaal Museum van het Carnaval en het Masker</v>
      </c>
      <c r="F34" s="22" t="str">
        <f>IFERROR(__xludf.DUMMYFUNCTION("""COMPUTED_VALUE"""),"Riolenmuseum")</f>
        <v>Riolenmuseum</v>
      </c>
      <c r="G34" s="22" t="str">
        <f>IFERROR(__xludf.DUMMYFUNCTION("""COMPUTED_VALUE"""),"Taxandriamuseum")</f>
        <v>Taxandriamuseum</v>
      </c>
    </row>
    <row r="35">
      <c r="B35" s="22" t="str">
        <f>IFERROR(__xludf.DUMMYFUNCTION("""COMPUTED_VALUE"""),"Stadhuis Brugge")</f>
        <v>Stadhuis Brugge</v>
      </c>
      <c r="D35" s="22" t="str">
        <f>IFERROR(__xludf.DUMMYFUNCTION("""COMPUTED_VALUE"""),"Koninklijk Museum van Mariemont")</f>
        <v>Koninklijk Museum van Mariemont</v>
      </c>
      <c r="F35" s="22" t="str">
        <f>IFERROR(__xludf.DUMMYFUNCTION("""COMPUTED_VALUE"""),"Stripmuseum Brussel")</f>
        <v>Stripmuseum Brussel</v>
      </c>
      <c r="G35" s="22" t="str">
        <f>IFERROR(__xludf.DUMMYFUNCTION("""COMPUTED_VALUE"""),"‘t Grom")</f>
        <v>‘t Grom</v>
      </c>
    </row>
    <row r="36">
      <c r="B36" s="22" t="str">
        <f>IFERROR(__xludf.DUMMYFUNCTION("""COMPUTED_VALUE"""),"Talbot House")</f>
        <v>Talbot House</v>
      </c>
      <c r="D36" s="22" t="str">
        <f>IFERROR(__xludf.DUMMYFUNCTION("""COMPUTED_VALUE"""),"Plugstreet 14-18 experience ")</f>
        <v>Plugstreet 14-18 experience </v>
      </c>
      <c r="F36" s="22" t="str">
        <f>IFERROR(__xludf.DUMMYFUNCTION("""COMPUTED_VALUE"""),"Museum van de Nationale Bank van België")</f>
        <v>Museum van de Nationale Bank van België</v>
      </c>
      <c r="G36" s="22" t="str">
        <f>IFERROR(__xludf.DUMMYFUNCTION("""COMPUTED_VALUE"""),"Het steen, The Antwerp Story")</f>
        <v>Het steen, The Antwerp Story</v>
      </c>
    </row>
    <row r="37">
      <c r="B37" s="22" t="str">
        <f>IFERROR(__xludf.DUMMYFUNCTION("""COMPUTED_VALUE"""),"Texture | Museum van Vlas en Textiel")</f>
        <v>Texture | Museum van Vlas en Textiel</v>
      </c>
      <c r="D37" s="22" t="str">
        <f>IFERROR(__xludf.DUMMYFUNCTION("""COMPUTED_VALUE"""),"Silex’s ")</f>
        <v>Silex’s </v>
      </c>
      <c r="F37" s="22" t="str">
        <f>IFERROR(__xludf.DUMMYFUNCTION("""COMPUTED_VALUE"""),"Geneeskundemuseum")</f>
        <v>Geneeskundemuseum</v>
      </c>
    </row>
    <row r="38">
      <c r="B38" s="22" t="str">
        <f>IFERROR(__xludf.DUMMYFUNCTION("""COMPUTED_VALUE"""),"Uilenspiegelmuseum")</f>
        <v>Uilenspiegelmuseum</v>
      </c>
      <c r="D38" s="22" t="str">
        <f>IFERROR(__xludf.DUMMYFUNCTION("""COMPUTED_VALUE"""),"TAMAT | Museum voor Wandtapijten en Textielkunsten van de Federatie Wallonië-Brussel")</f>
        <v>TAMAT | Museum voor Wandtapijten en Textielkunsten van de Federatie Wallonië-Brussel</v>
      </c>
      <c r="F38" s="22" t="str">
        <f>IFERROR(__xludf.DUMMYFUNCTION("""COMPUTED_VALUE"""),"Museum van de Stad Brussel - Broodhuis")</f>
        <v>Museum van de Stad Brussel - Broodhuis</v>
      </c>
    </row>
    <row r="39">
      <c r="B39" s="22" t="str">
        <f>IFERROR(__xludf.DUMMYFUNCTION("""COMPUTED_VALUE"""),"Volkskundemuseum")</f>
        <v>Volkskundemuseum</v>
      </c>
      <c r="F39" s="22" t="str">
        <f>IFERROR(__xludf.DUMMYFUNCTION("""COMPUTED_VALUE"""),"Museum en Tuinen van Buuren")</f>
        <v>Museum en Tuinen van Buuren</v>
      </c>
    </row>
    <row r="40">
      <c r="B40" s="22" t="str">
        <f>IFERROR(__xludf.DUMMYFUNCTION("""COMPUTED_VALUE"""),"Westfront Nieuwpoort")</f>
        <v>Westfront Nieuwpoort</v>
      </c>
      <c r="F40" s="22" t="str">
        <f>IFERROR(__xludf.DUMMYFUNCTION("""COMPUTED_VALUE"""),"Hortamuseum")</f>
        <v>Hortamuseum</v>
      </c>
    </row>
    <row r="41">
      <c r="B41" s="22" t="str">
        <f>IFERROR(__xludf.DUMMYFUNCTION("""COMPUTED_VALUE"""),"Yper Museum")</f>
        <v>Yper Museum</v>
      </c>
      <c r="F41" s="22" t="str">
        <f>IFERROR(__xludf.DUMMYFUNCTION("""COMPUTED_VALUE"""),"Joods Museum van België")</f>
        <v>Joods Museum van België</v>
      </c>
    </row>
    <row r="42">
      <c r="B42" s="22" t="str">
        <f>IFERROR(__xludf.DUMMYFUNCTION("""COMPUTED_VALUE"""),"Zwin Natuur Park")</f>
        <v>Zwin Natuur Park</v>
      </c>
      <c r="F42" s="22" t="str">
        <f>IFERROR(__xludf.DUMMYFUNCTION("""COMPUTED_VALUE"""),"Mode &amp; Kant Museum")</f>
        <v>Mode &amp; Kant Museum</v>
      </c>
    </row>
    <row r="43">
      <c r="F43" s="22" t="str">
        <f>IFERROR(__xludf.DUMMYFUNCTION("""COMPUTED_VALUE"""),"René Magritte Museum &amp; Museum voor abstracte kuns")</f>
        <v>René Magritte Museum &amp; Museum voor abstracte kuns</v>
      </c>
    </row>
    <row r="44">
      <c r="F44" s="22" t="str">
        <f>IFERROR(__xludf.DUMMYFUNCTION("""COMPUTED_VALUE"""),"Koninklijk Museum van het Leger en de Krijgsgeschiedenis")</f>
        <v>Koninklijk Museum van het Leger en de Krijgsgeschiedenis</v>
      </c>
    </row>
    <row r="45">
      <c r="F45" s="22" t="str">
        <f>IFERROR(__xludf.DUMMYFUNCTION("""COMPUTED_VALUE"""),"Coudenbergpaleis")</f>
        <v>Coudenbergpaleis</v>
      </c>
    </row>
    <row r="46">
      <c r="F46" s="22" t="str">
        <f>IFERROR(__xludf.DUMMYFUNCTION("""COMPUTED_VALUE"""),"Planetarium Brussel")</f>
        <v>Planetarium Brussel</v>
      </c>
    </row>
    <row r="47">
      <c r="F47" s="22" t="str">
        <f>IFERROR(__xludf.DUMMYFUNCTION("""COMPUTED_VALUE"""),"Hallepoort")</f>
        <v>Hallepoort</v>
      </c>
    </row>
    <row r="48">
      <c r="F48" s="22" t="str">
        <f>IFERROR(__xludf.DUMMYFUNCTION("""COMPUTED_VALUE"""),"Centrum voor Hedendaagse Kunst")</f>
        <v>Centrum voor Hedendaagse Kunst</v>
      </c>
    </row>
    <row r="49">
      <c r="F49" s="22" t="str">
        <f>IFERROR(__xludf.DUMMYFUNCTION("""COMPUTED_VALUE"""),"Wittockiana")</f>
        <v>Wittockiana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2" t="s">
        <v>12</v>
      </c>
      <c r="B1" s="72" t="s">
        <v>601</v>
      </c>
      <c r="C1" s="72" t="s">
        <v>15</v>
      </c>
      <c r="D1" s="72" t="s">
        <v>14</v>
      </c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</row>
    <row r="2">
      <c r="A2" s="22" t="str">
        <f>IFERROR(__xludf.DUMMYFUNCTION("FILTER(Blad1!$Q$2:$Q$261, Blad1!M$2:M$261 = TRUE)"),"Archeologisch museum van de Boven-Maas")</f>
        <v>Archeologisch museum van de Boven-Maas</v>
      </c>
      <c r="B2" s="22" t="str">
        <f>IFERROR(__xludf.DUMMYFUNCTION("FILTER(Blad1!$Q$2:$Q$261, Blad1!N$2:N$261 = TRUE)"),"Citadel van Namen / Bezoekerscentrum Terra Nova en toeristentreintje")</f>
        <v>Citadel van Namen / Bezoekerscentrum Terra Nova en toeristentreintje</v>
      </c>
      <c r="C2" s="22" t="str">
        <f>IFERROR(__xludf.DUMMYFUNCTION("FILTER(Blad1!$Q$2:$Q$261, Blad1!O$2:O$261 = TRUE)"),"Archeologisch museum van de Boven-Maas")</f>
        <v>Archeologisch museum van de Boven-Maas</v>
      </c>
      <c r="D2" s="22" t="str">
        <f>IFERROR(__xludf.DUMMYFUNCTION("FILTER(Blad1!$Q$2:$Q$261, Blad1!P$2:P$261 = TRUE)"),"Le Delta")</f>
        <v>Le Delta</v>
      </c>
    </row>
    <row r="3">
      <c r="A3" s="22" t="str">
        <f>IFERROR(__xludf.DUMMYFUNCTION("""COMPUTED_VALUE"""),"Citadel van Namen / Bezoekerscentrum Terra Nova en toeristentreintje")</f>
        <v>Citadel van Namen / Bezoekerscentrum Terra Nova en toeristentreintje</v>
      </c>
      <c r="B3" s="22" t="str">
        <f>IFERROR(__xludf.DUMMYFUNCTION("""COMPUTED_VALUE"""),"NAM-IP Computermuseum")</f>
        <v>NAM-IP Computermuseum</v>
      </c>
      <c r="C3" s="22" t="str">
        <f>IFERROR(__xludf.DUMMYFUNCTION("""COMPUTED_VALUE"""),"NAM-IP Computermuseum")</f>
        <v>NAM-IP Computermuseum</v>
      </c>
      <c r="D3" s="22" t="str">
        <f>IFERROR(__xludf.DUMMYFUNCTION("""COMPUTED_VALUE"""),"Atlantikwall Raversyde")</f>
        <v>Atlantikwall Raversyde</v>
      </c>
    </row>
    <row r="4">
      <c r="A4" s="22" t="str">
        <f>IFERROR(__xludf.DUMMYFUNCTION("""COMPUTED_VALUE"""),"NAM-IP Computermuseum")</f>
        <v>NAM-IP Computermuseum</v>
      </c>
      <c r="B4" s="22" t="str">
        <f>IFERROR(__xludf.DUMMYFUNCTION("""COMPUTED_VALUE"""),"Archeopark van Rochefort")</f>
        <v>Archeopark van Rochefort</v>
      </c>
      <c r="C4" s="22" t="str">
        <f>IFERROR(__xludf.DUMMYFUNCTION("""COMPUTED_VALUE"""),"Maison du patrimoine médiéval mosan")</f>
        <v>Maison du patrimoine médiéval mosan</v>
      </c>
      <c r="D4" s="22" t="str">
        <f>IFERROR(__xludf.DUMMYFUNCTION("""COMPUTED_VALUE"""),"Bakkerijmuseum")</f>
        <v>Bakkerijmuseum</v>
      </c>
    </row>
    <row r="5">
      <c r="A5" s="22" t="str">
        <f>IFERROR(__xludf.DUMMYFUNCTION("""COMPUTED_VALUE"""),"Ecomuseum van de Viroin")</f>
        <v>Ecomuseum van de Viroin</v>
      </c>
      <c r="B5" s="22" t="str">
        <f>IFERROR(__xludf.DUMMYFUNCTION("""COMPUTED_VALUE"""),"Adornesdomein")</f>
        <v>Adornesdomein</v>
      </c>
      <c r="C5" s="22" t="str">
        <f>IFERROR(__xludf.DUMMYFUNCTION("""COMPUTED_VALUE"""),"Archeopark van Rochefort")</f>
        <v>Archeopark van Rochefort</v>
      </c>
      <c r="D5" s="22" t="str">
        <f>IFERROR(__xludf.DUMMYFUNCTION("""COMPUTED_VALUE"""),"KOERS | Museum van de Wielersport")</f>
        <v>KOERS | Museum van de Wielersport</v>
      </c>
    </row>
    <row r="6">
      <c r="A6" s="22" t="str">
        <f>IFERROR(__xludf.DUMMYFUNCTION("""COMPUTED_VALUE"""),"Andenne Museum")</f>
        <v>Andenne Museum</v>
      </c>
      <c r="B6" s="22" t="str">
        <f>IFERROR(__xludf.DUMMYFUNCTION("""COMPUTED_VALUE"""),"Atlantikwall Raversyde")</f>
        <v>Atlantikwall Raversyde</v>
      </c>
      <c r="C6" s="22" t="str">
        <f>IFERROR(__xludf.DUMMYFUNCTION("""COMPUTED_VALUE"""),"Abdijmuseum Ten Duinen")</f>
        <v>Abdijmuseum Ten Duinen</v>
      </c>
      <c r="D6" s="22" t="str">
        <f>IFERROR(__xludf.DUMMYFUNCTION("""COMPUTED_VALUE"""),"NAVIGO Visserijmuseum")</f>
        <v>NAVIGO Visserijmuseum</v>
      </c>
    </row>
    <row r="7">
      <c r="A7" s="22" t="str">
        <f>IFERROR(__xludf.DUMMYFUNCTION("""COMPUTED_VALUE"""),"Le Delta")</f>
        <v>Le Delta</v>
      </c>
      <c r="B7" s="22" t="str">
        <f>IFERROR(__xludf.DUMMYFUNCTION("""COMPUTED_VALUE"""),"Bakkerijmuseum")</f>
        <v>Bakkerijmuseum</v>
      </c>
      <c r="C7" s="22" t="str">
        <f>IFERROR(__xludf.DUMMYFUNCTION("""COMPUTED_VALUE"""),"Atlantikwall Raversyde")</f>
        <v>Atlantikwall Raversyde</v>
      </c>
      <c r="D7" s="22" t="str">
        <f>IFERROR(__xludf.DUMMYFUNCTION("""COMPUTED_VALUE"""),"Zwin Natuur Park")</f>
        <v>Zwin Natuur Park</v>
      </c>
    </row>
    <row r="8">
      <c r="A8" s="22" t="str">
        <f>IFERROR(__xludf.DUMMYFUNCTION("""COMPUTED_VALUE"""),"Le Pavillon")</f>
        <v>Le Pavillon</v>
      </c>
      <c r="B8" s="22" t="str">
        <f>IFERROR(__xludf.DUMMYFUNCTION("""COMPUTED_VALUE"""),"Hopmuseum Poperinge")</f>
        <v>Hopmuseum Poperinge</v>
      </c>
      <c r="C8" s="22" t="str">
        <f>IFERROR(__xludf.DUMMYFUNCTION("""COMPUTED_VALUE"""),"Bakkerijmuseum")</f>
        <v>Bakkerijmuseum</v>
      </c>
      <c r="D8" s="22" t="str">
        <f>IFERROR(__xludf.DUMMYFUNCTION("""COMPUTED_VALUE"""),"Arboretum Kalmtout")</f>
        <v>Arboretum Kalmtout</v>
      </c>
    </row>
    <row r="9">
      <c r="A9" s="22" t="str">
        <f>IFERROR(__xludf.DUMMYFUNCTION("""COMPUTED_VALUE"""),"Maison du patrimoine médiéval mosan")</f>
        <v>Maison du patrimoine médiéval mosan</v>
      </c>
      <c r="B9" s="22" t="str">
        <f>IFERROR(__xludf.DUMMYFUNCTION("""COMPUTED_VALUE"""),"In Flanders Fields Museum")</f>
        <v>In Flanders Fields Museum</v>
      </c>
      <c r="C9" s="22" t="str">
        <f>IFERROR(__xludf.DUMMYFUNCTION("""COMPUTED_VALUE"""),"Dodengang")</f>
        <v>Dodengang</v>
      </c>
      <c r="D9" s="22" t="str">
        <f>IFERROR(__xludf.DUMMYFUNCTION("""COMPUTED_VALUE"""),"Karrenmuseum Essen")</f>
        <v>Karrenmuseum Essen</v>
      </c>
    </row>
    <row r="10">
      <c r="A10" s="22" t="str">
        <f>IFERROR(__xludf.DUMMYFUNCTION("""COMPUTED_VALUE"""),"Archeopark van Rochefort")</f>
        <v>Archeopark van Rochefort</v>
      </c>
      <c r="B10" s="22" t="str">
        <f>IFERROR(__xludf.DUMMYFUNCTION("""COMPUTED_VALUE"""),"KOERS | Museum van de Wielersport")</f>
        <v>KOERS | Museum van de Wielersport</v>
      </c>
      <c r="C10" s="22" t="str">
        <f>IFERROR(__xludf.DUMMYFUNCTION("""COMPUTED_VALUE"""),"Eperon d’Or")</f>
        <v>Eperon d’Or</v>
      </c>
      <c r="D10" s="22" t="str">
        <f>IFERROR(__xludf.DUMMYFUNCTION("""COMPUTED_VALUE"""),"KMSKA | Koninklijk Museum voor Schone Kunsten Antwerpen")</f>
        <v>KMSKA | Koninklijk Museum voor Schone Kunsten Antwerpen</v>
      </c>
    </row>
    <row r="11">
      <c r="A11" s="22" t="str">
        <f>IFERROR(__xludf.DUMMYFUNCTION("""COMPUTED_VALUE"""),"MusAfrica Namen")</f>
        <v>MusAfrica Namen</v>
      </c>
      <c r="B11" s="22" t="str">
        <f>IFERROR(__xludf.DUMMYFUNCTION("""COMPUTED_VALUE"""),"Museum aan de IJzer")</f>
        <v>Museum aan de IJzer</v>
      </c>
      <c r="C11" s="22" t="str">
        <f>IFERROR(__xludf.DUMMYFUNCTION("""COMPUTED_VALUE"""),"Het Lijsternest | Streuvelshuis &amp; Schrijversresidentie")</f>
        <v>Het Lijsternest | Streuvelshuis &amp; Schrijversresidentie</v>
      </c>
      <c r="D11" s="22" t="str">
        <f>IFERROR(__xludf.DUMMYFUNCTION("""COMPUTED_VALUE"""),"MAS | Museum aan de Stroom")</f>
        <v>MAS | Museum aan de Stroom</v>
      </c>
    </row>
    <row r="12">
      <c r="A12" s="22" t="str">
        <f>IFERROR(__xludf.DUMMYFUNCTION("""COMPUTED_VALUE"""),"Aardbeimuseum")</f>
        <v>Aardbeimuseum</v>
      </c>
      <c r="B12" s="22" t="str">
        <f>IFERROR(__xludf.DUMMYFUNCTION("""COMPUTED_VALUE"""),"NAVIGO Visserijmuseum")</f>
        <v>NAVIGO Visserijmuseum</v>
      </c>
      <c r="C12" s="22" t="str">
        <f>IFERROR(__xludf.DUMMYFUNCTION("""COMPUTED_VALUE"""),"Kasteel van Loppem")</f>
        <v>Kasteel van Loppem</v>
      </c>
      <c r="D12" s="22" t="str">
        <f>IFERROR(__xludf.DUMMYFUNCTION("""COMPUTED_VALUE"""),"Museum Fort Liezele")</f>
        <v>Museum Fort Liezele</v>
      </c>
    </row>
    <row r="13">
      <c r="A13" s="22" t="str">
        <f>IFERROR(__xludf.DUMMYFUNCTION("""COMPUTED_VALUE"""),"Musée du Malgré-Tout")</f>
        <v>Musée du Malgré-Tout</v>
      </c>
      <c r="B13" s="22" t="str">
        <f>IFERROR(__xludf.DUMMYFUNCTION("""COMPUTED_VALUE"""),"Paul Delvaux Museum")</f>
        <v>Paul Delvaux Museum</v>
      </c>
      <c r="C13" s="22" t="str">
        <f>IFERROR(__xludf.DUMMYFUNCTION("""COMPUTED_VALUE"""),"Museum aan de IJzer")</f>
        <v>Museum aan de IJzer</v>
      </c>
      <c r="D13" s="22" t="str">
        <f>IFERROR(__xludf.DUMMYFUNCTION("""COMPUTED_VALUE"""),"‘t Grom")</f>
        <v>‘t Grom</v>
      </c>
    </row>
    <row r="14">
      <c r="A14" s="22" t="str">
        <f>IFERROR(__xludf.DUMMYFUNCTION("""COMPUTED_VALUE"""),"Museum van het Klein Formaat")</f>
        <v>Museum van het Klein Formaat</v>
      </c>
      <c r="B14" s="22" t="str">
        <f>IFERROR(__xludf.DUMMYFUNCTION("""COMPUTED_VALUE"""),"Romeins Archeologisch Museum Oudenburg")</f>
        <v>Romeins Archeologisch Museum Oudenburg</v>
      </c>
      <c r="C14" s="22" t="str">
        <f>IFERROR(__xludf.DUMMYFUNCTION("""COMPUTED_VALUE"""),"NAVIGO Visserijmuseum")</f>
        <v>NAVIGO Visserijmuseum</v>
      </c>
      <c r="D14" s="22" t="str">
        <f>IFERROR(__xludf.DUMMYFUNCTION("""COMPUTED_VALUE"""),"Stichting Folon")</f>
        <v>Stichting Folon</v>
      </c>
    </row>
    <row r="15">
      <c r="A15" s="22" t="str">
        <f>IFERROR(__xludf.DUMMYFUNCTION("""COMPUTED_VALUE"""),"Félicien Rops Museum")</f>
        <v>Félicien Rops Museum</v>
      </c>
      <c r="B15" s="22" t="str">
        <f>IFERROR(__xludf.DUMMYFUNCTION("""COMPUTED_VALUE"""),"Texture | Museum van Vlas en Textiel")</f>
        <v>Texture | Museum van Vlas en Textiel</v>
      </c>
      <c r="C15" s="22" t="str">
        <f>IFERROR(__xludf.DUMMYFUNCTION("""COMPUTED_VALUE"""),"Passchendaele Museum")</f>
        <v>Passchendaele Museum</v>
      </c>
      <c r="D15" s="22" t="str">
        <f>IFERROR(__xludf.DUMMYFUNCTION("""COMPUTED_VALUE"""),"Hergé Museum")</f>
        <v>Hergé Museum</v>
      </c>
    </row>
    <row r="16">
      <c r="A16" s="22" t="str">
        <f>IFERROR(__xludf.DUMMYFUNCTION("""COMPUTED_VALUE"""),"Museum voor Oude Kunsten")</f>
        <v>Museum voor Oude Kunsten</v>
      </c>
      <c r="B16" s="22" t="str">
        <f>IFERROR(__xludf.DUMMYFUNCTION("""COMPUTED_VALUE"""),"Yper Museum")</f>
        <v>Yper Museum</v>
      </c>
      <c r="C16" s="22" t="str">
        <f>IFERROR(__xludf.DUMMYFUNCTION("""COMPUTED_VALUE"""),"Paul Delvaux Museum")</f>
        <v>Paul Delvaux Museum</v>
      </c>
      <c r="D16" s="22" t="str">
        <f>IFERROR(__xludf.DUMMYFUNCTION("""COMPUTED_VALUE"""),"Musée L")</f>
        <v>Musée L</v>
      </c>
    </row>
    <row r="17">
      <c r="A17" s="22" t="str">
        <f>IFERROR(__xludf.DUMMYFUNCTION("""COMPUTED_VALUE"""),"Abdijmuseum Ten Duinen")</f>
        <v>Abdijmuseum Ten Duinen</v>
      </c>
      <c r="B17" s="22" t="str">
        <f>IFERROR(__xludf.DUMMYFUNCTION("""COMPUTED_VALUE"""),"Zwin Natuur Park")</f>
        <v>Zwin Natuur Park</v>
      </c>
      <c r="C17" s="22" t="str">
        <f>IFERROR(__xludf.DUMMYFUNCTION("""COMPUTED_VALUE"""),"Romeins Archeologisch Museum Oudenburg")</f>
        <v>Romeins Archeologisch Museum Oudenburg</v>
      </c>
      <c r="D17" s="22" t="str">
        <f>IFERROR(__xludf.DUMMYFUNCTION("""COMPUTED_VALUE"""),"AfricaMuseum")</f>
        <v>AfricaMuseum</v>
      </c>
    </row>
    <row r="18">
      <c r="A18" s="22" t="str">
        <f>IFERROR(__xludf.DUMMYFUNCTION("""COMPUTED_VALUE"""),"Adornesdomein")</f>
        <v>Adornesdomein</v>
      </c>
      <c r="B18" s="22" t="str">
        <f>IFERROR(__xludf.DUMMYFUNCTION("""COMPUTED_VALUE"""),"Arboretum Kalmtout")</f>
        <v>Arboretum Kalmtout</v>
      </c>
      <c r="C18" s="22" t="str">
        <f>IFERROR(__xludf.DUMMYFUNCTION("""COMPUTED_VALUE"""),"Texture | Museum van Vlas en Textiel")</f>
        <v>Texture | Museum van Vlas en Textiel</v>
      </c>
      <c r="D18" s="22" t="str">
        <f>IFERROR(__xludf.DUMMYFUNCTION("""COMPUTED_VALUE"""),"Dru!f, huis van de tafeldruif")</f>
        <v>Dru!f, huis van de tafeldruif</v>
      </c>
    </row>
    <row r="19">
      <c r="A19" s="22" t="str">
        <f>IFERROR(__xludf.DUMMYFUNCTION("""COMPUTED_VALUE"""),"Atlantikwall Raversyde")</f>
        <v>Atlantikwall Raversyde</v>
      </c>
      <c r="B19" s="22" t="str">
        <f>IFERROR(__xludf.DUMMYFUNCTION("""COMPUTED_VALUE"""),"FOMU | Fotomuseum Antwerpen")</f>
        <v>FOMU | Fotomuseum Antwerpen</v>
      </c>
      <c r="C19" s="22" t="str">
        <f>IFERROR(__xludf.DUMMYFUNCTION("""COMPUTED_VALUE"""),"Zwin Natuur Park")</f>
        <v>Zwin Natuur Park</v>
      </c>
      <c r="D19" s="22" t="str">
        <f>IFERROR(__xludf.DUMMYFUNCTION("""COMPUTED_VALUE"""),"Museum PARCUM, Abdij van Park Leuven")</f>
        <v>Museum PARCUM, Abdij van Park Leuven</v>
      </c>
    </row>
    <row r="20">
      <c r="A20" s="22" t="str">
        <f>IFERROR(__xludf.DUMMYFUNCTION("""COMPUTED_VALUE"""),"Bakkerijmuseum")</f>
        <v>Bakkerijmuseum</v>
      </c>
      <c r="B20" s="22" t="str">
        <f>IFERROR(__xludf.DUMMYFUNCTION("""COMPUTED_VALUE"""),"Karrenmuseum Essen")</f>
        <v>Karrenmuseum Essen</v>
      </c>
      <c r="C20" s="22" t="str">
        <f>IFERROR(__xludf.DUMMYFUNCTION("""COMPUTED_VALUE"""),"Arboretum Kalmtout")</f>
        <v>Arboretum Kalmtout</v>
      </c>
      <c r="D20" s="22" t="str">
        <f>IFERROR(__xludf.DUMMYFUNCTION("""COMPUTED_VALUE"""),"Plantentuin Meise")</f>
        <v>Plantentuin Meise</v>
      </c>
    </row>
    <row r="21">
      <c r="A21" s="22" t="str">
        <f>IFERROR(__xludf.DUMMYFUNCTION("""COMPUTED_VALUE"""),"Belle Epoque Centrum")</f>
        <v>Belle Epoque Centrum</v>
      </c>
      <c r="B21" s="22" t="str">
        <f>IFERROR(__xludf.DUMMYFUNCTION("""COMPUTED_VALUE"""),"KMSKA | Koninklijk Museum voor Schone Kunsten Antwerpen")</f>
        <v>KMSKA | Koninklijk Museum voor Schone Kunsten Antwerpen</v>
      </c>
      <c r="C21" s="22" t="str">
        <f>IFERROR(__xludf.DUMMYFUNCTION("""COMPUTED_VALUE"""),"FOMU | Fotomuseum Antwerpen")</f>
        <v>FOMU | Fotomuseum Antwerpen</v>
      </c>
      <c r="D21" s="22" t="str">
        <f>IFERROR(__xludf.DUMMYFUNCTION("""COMPUTED_VALUE"""),"C-mine")</f>
        <v>C-mine</v>
      </c>
    </row>
    <row r="22">
      <c r="A22" s="22" t="str">
        <f>IFERROR(__xludf.DUMMYFUNCTION("""COMPUTED_VALUE"""),"Eperon d’Or")</f>
        <v>Eperon d’Or</v>
      </c>
      <c r="B22" s="22" t="str">
        <f>IFERROR(__xludf.DUMMYFUNCTION("""COMPUTED_VALUE"""),"Kunsthal Extra City")</f>
        <v>Kunsthal Extra City</v>
      </c>
      <c r="C22" s="22" t="str">
        <f>IFERROR(__xludf.DUMMYFUNCTION("""COMPUTED_VALUE"""),"Fort van Breendonk")</f>
        <v>Fort van Breendonk</v>
      </c>
      <c r="D22" s="22" t="str">
        <f>IFERROR(__xludf.DUMMYFUNCTION("""COMPUTED_VALUE"""),"Duitse Orde Museum (DOMUS) Alden Biesen")</f>
        <v>Duitse Orde Museum (DOMUS) Alden Biesen</v>
      </c>
    </row>
    <row r="23">
      <c r="A23" s="22" t="str">
        <f>IFERROR(__xludf.DUMMYFUNCTION("""COMPUTED_VALUE"""),"Groeningemuseum")</f>
        <v>Groeningemuseum</v>
      </c>
      <c r="B23" s="22" t="str">
        <f>IFERROR(__xludf.DUMMYFUNCTION("""COMPUTED_VALUE"""),"Kunsthal Mechelen")</f>
        <v>Kunsthal Mechelen</v>
      </c>
      <c r="C23" s="22" t="str">
        <f>IFERROR(__xludf.DUMMYFUNCTION("""COMPUTED_VALUE"""),"Gasthuismuseum Geel")</f>
        <v>Gasthuismuseum Geel</v>
      </c>
      <c r="D23" s="22" t="str">
        <f>IFERROR(__xludf.DUMMYFUNCTION("""COMPUTED_VALUE"""),"Gallo-Romeins Museum")</f>
        <v>Gallo-Romeins Museum</v>
      </c>
    </row>
    <row r="24">
      <c r="A24" s="22" t="str">
        <f>IFERROR(__xludf.DUMMYFUNCTION("""COMPUTED_VALUE"""),"Het James Ensorhuis")</f>
        <v>Het James Ensorhuis</v>
      </c>
      <c r="B24" s="22" t="str">
        <f>IFERROR(__xludf.DUMMYFUNCTION("""COMPUTED_VALUE"""),"MAS | Museum aan de Stroom")</f>
        <v>MAS | Museum aan de Stroom</v>
      </c>
      <c r="C24" s="22" t="str">
        <f>IFERROR(__xludf.DUMMYFUNCTION("""COMPUTED_VALUE"""),"Jakob Smitsmuseum")</f>
        <v>Jakob Smitsmuseum</v>
      </c>
      <c r="D24" s="22" t="str">
        <f>IFERROR(__xludf.DUMMYFUNCTION("""COMPUTED_VALUE"""),"Jenevermuseum")</f>
        <v>Jenevermuseum</v>
      </c>
    </row>
    <row r="25">
      <c r="A25" s="22" t="str">
        <f>IFERROR(__xludf.DUMMYFUNCTION("""COMPUTED_VALUE"""),"Het Lijsternest | Streuvelshuis &amp; Schrijversresidentie")</f>
        <v>Het Lijsternest | Streuvelshuis &amp; Schrijversresidentie</v>
      </c>
      <c r="B25" s="22" t="str">
        <f>IFERROR(__xludf.DUMMYFUNCTION("""COMPUTED_VALUE"""),"M HKA | Museum van Hedendaagse Kunst Antwerpen")</f>
        <v>M HKA | Museum van Hedendaagse Kunst Antwerpen</v>
      </c>
      <c r="C25" s="22" t="str">
        <f>IFERROR(__xludf.DUMMYFUNCTION("""COMPUTED_VALUE"""),"Karrenmuseum Essen")</f>
        <v>Karrenmuseum Essen</v>
      </c>
      <c r="D25" s="22" t="str">
        <f>IFERROR(__xludf.DUMMYFUNCTION("""COMPUTED_VALUE"""),"Liberation Garden Leopoldsburg")</f>
        <v>Liberation Garden Leopoldsburg</v>
      </c>
    </row>
    <row r="26">
      <c r="A26" s="22" t="str">
        <f>IFERROR(__xludf.DUMMYFUNCTION("""COMPUTED_VALUE"""),"HEY Museum")</f>
        <v>HEY Museum</v>
      </c>
      <c r="B26" s="22" t="str">
        <f>IFERROR(__xludf.DUMMYFUNCTION("""COMPUTED_VALUE"""),"Middelheimmuseum")</f>
        <v>Middelheimmuseum</v>
      </c>
      <c r="C26" s="22" t="str">
        <f>IFERROR(__xludf.DUMMYFUNCTION("""COMPUTED_VALUE"""),"Kazerne Dossin")</f>
        <v>Kazerne Dossin</v>
      </c>
      <c r="D26" s="22" t="str">
        <f>IFERROR(__xludf.DUMMYFUNCTION("""COMPUTED_VALUE"""),"Openluchtmuseum Bokrijk")</f>
        <v>Openluchtmuseum Bokrijk</v>
      </c>
    </row>
    <row r="27">
      <c r="A27" s="22" t="str">
        <f>IFERROR(__xludf.DUMMYFUNCTION("""COMPUTED_VALUE"""),"Hopmuseum Poperinge")</f>
        <v>Hopmuseum Poperinge</v>
      </c>
      <c r="B27" s="22" t="str">
        <f>IFERROR(__xludf.DUMMYFUNCTION("""COMPUTED_VALUE"""),"MoMu | ModeMuseum Antwerpen")</f>
        <v>MoMu | ModeMuseum Antwerpen</v>
      </c>
      <c r="C27" s="22" t="str">
        <f>IFERROR(__xludf.DUMMYFUNCTION("""COMPUTED_VALUE"""),"Museum Fort Liezele")</f>
        <v>Museum Fort Liezele</v>
      </c>
      <c r="D27" s="22" t="str">
        <f>IFERROR(__xludf.DUMMYFUNCTION("""COMPUTED_VALUE"""),"Z33 | Huis voor Actuele Kunst, Design &amp; Architectuur")</f>
        <v>Z33 | Huis voor Actuele Kunst, Design &amp; Architectuur</v>
      </c>
    </row>
    <row r="28">
      <c r="A28" s="22" t="str">
        <f>IFERROR(__xludf.DUMMYFUNCTION("""COMPUTED_VALUE"""),"In Flanders Fields Museum")</f>
        <v>In Flanders Fields Museum</v>
      </c>
      <c r="B28" s="22" t="str">
        <f>IFERROR(__xludf.DUMMYFUNCTION("""COMPUTED_VALUE"""),"Museum Fort Liezele")</f>
        <v>Museum Fort Liezele</v>
      </c>
      <c r="C28" s="22" t="str">
        <f>IFERROR(__xludf.DUMMYFUNCTION("""COMPUTED_VALUE"""),"Nationaal Museum van de Speelkaart")</f>
        <v>Nationaal Museum van de Speelkaart</v>
      </c>
      <c r="D28" s="22" t="str">
        <f>IFERROR(__xludf.DUMMYFUNCTION("""COMPUTED_VALUE"""),"Abdij van Stavelot")</f>
        <v>Abdij van Stavelot</v>
      </c>
    </row>
    <row r="29">
      <c r="A29" s="22" t="str">
        <f>IFERROR(__xludf.DUMMYFUNCTION("""COMPUTED_VALUE"""),"Kantmuseum Brugge")</f>
        <v>Kantmuseum Brugge</v>
      </c>
      <c r="B29" s="22" t="str">
        <f>IFERROR(__xludf.DUMMYFUNCTION("""COMPUTED_VALUE"""),"Museum Hof van Busleyden")</f>
        <v>Museum Hof van Busleyden</v>
      </c>
      <c r="C29" s="22" t="str">
        <f>IFERROR(__xludf.DUMMYFUNCTION("""COMPUTED_VALUE"""),"Speelgoedmuseum")</f>
        <v>Speelgoedmuseum</v>
      </c>
      <c r="D29" s="22" t="str">
        <f>IFERROR(__xludf.DUMMYFUNCTION("""COMPUTED_VALUE"""),"ArtHouse")</f>
        <v>ArtHouse</v>
      </c>
    </row>
    <row r="30">
      <c r="A30" s="22" t="str">
        <f>IFERROR(__xludf.DUMMYFUNCTION("""COMPUTED_VALUE"""),"Kasteel van Loppem")</f>
        <v>Kasteel van Loppem</v>
      </c>
      <c r="B30" s="22" t="str">
        <f>IFERROR(__xludf.DUMMYFUNCTION("""COMPUTED_VALUE"""),"Nationaal Museum van de Speelkaart")</f>
        <v>Nationaal Museum van de Speelkaart</v>
      </c>
      <c r="C30" s="22" t="str">
        <f>IFERROR(__xludf.DUMMYFUNCTION("""COMPUTED_VALUE"""),"Suske en Wiske Museum")</f>
        <v>Suske en Wiske Museum</v>
      </c>
      <c r="D30" s="22" t="str">
        <f>IFERROR(__xludf.DUMMYFUNCTION("""COMPUTED_VALUE"""),"Museum voor Hedendaagse Kunst")</f>
        <v>Museum voor Hedendaagse Kunst</v>
      </c>
    </row>
    <row r="31">
      <c r="A31" s="22" t="str">
        <f>IFERROR(__xludf.DUMMYFUNCTION("""COMPUTED_VALUE"""),"KOERS | Museum van de Wielersport")</f>
        <v>KOERS | Museum van de Wielersport</v>
      </c>
      <c r="B31" s="22" t="str">
        <f>IFERROR(__xludf.DUMMYFUNCTION("""COMPUTED_VALUE"""),"Red Star Line Museum")</f>
        <v>Red Star Line Museum</v>
      </c>
      <c r="C31" s="22" t="str">
        <f>IFERROR(__xludf.DUMMYFUNCTION("""COMPUTED_VALUE"""),"‘t Grom")</f>
        <v>‘t Grom</v>
      </c>
      <c r="D31" s="22" t="str">
        <f>IFERROR(__xludf.DUMMYFUNCTION("""COMPUTED_VALUE"""),"La Boverie")</f>
        <v>La Boverie</v>
      </c>
    </row>
    <row r="32">
      <c r="A32" s="22" t="str">
        <f>IFERROR(__xludf.DUMMYFUNCTION("""COMPUTED_VALUE"""),"Museum aan de IJzer")</f>
        <v>Museum aan de IJzer</v>
      </c>
      <c r="B32" s="22" t="str">
        <f>IFERROR(__xludf.DUMMYFUNCTION("""COMPUTED_VALUE"""),"Speelgoedmuseum")</f>
        <v>Speelgoedmuseum</v>
      </c>
      <c r="C32" s="22" t="str">
        <f>IFERROR(__xludf.DUMMYFUNCTION("""COMPUTED_VALUE"""),"Stichting Folon")</f>
        <v>Stichting Folon</v>
      </c>
      <c r="D32" s="22" t="str">
        <f>IFERROR(__xludf.DUMMYFUNCTION("""COMPUTED_VALUE"""),"Le Grand Curtius")</f>
        <v>Le Grand Curtius</v>
      </c>
    </row>
    <row r="33">
      <c r="A33" s="22" t="str">
        <f>IFERROR(__xludf.DUMMYFUNCTION("""COMPUTED_VALUE"""),"Museum Sint-Janshospitaal")</f>
        <v>Museum Sint-Janshospitaal</v>
      </c>
      <c r="B33" s="22" t="str">
        <f>IFERROR(__xludf.DUMMYFUNCTION("""COMPUTED_VALUE"""),"Suske en Wiske Museum")</f>
        <v>Suske en Wiske Museum</v>
      </c>
      <c r="C33" s="22" t="str">
        <f>IFERROR(__xludf.DUMMYFUNCTION("""COMPUTED_VALUE"""),"Musée L")</f>
        <v>Musée L</v>
      </c>
      <c r="D33" s="22" t="str">
        <f>IFERROR(__xludf.DUMMYFUNCTION("""COMPUTED_VALUE"""),"Huis van de Metallurgie en Industrie van Luik")</f>
        <v>Huis van de Metallurgie en Industrie van Luik</v>
      </c>
    </row>
    <row r="34">
      <c r="A34" s="22" t="str">
        <f>IFERROR(__xludf.DUMMYFUNCTION("""COMPUTED_VALUE"""),"Mu.ZEE | Kunstmuseum aan Zee")</f>
        <v>Mu.ZEE | Kunstmuseum aan Zee</v>
      </c>
      <c r="B34" s="22" t="str">
        <f>IFERROR(__xludf.DUMMYFUNCTION("""COMPUTED_VALUE"""),"Taxandriamuseum")</f>
        <v>Taxandriamuseum</v>
      </c>
      <c r="C34" s="22" t="str">
        <f>IFERROR(__xludf.DUMMYFUNCTION("""COMPUTED_VALUE"""),"Marthe Donas museum")</f>
        <v>Marthe Donas museum</v>
      </c>
      <c r="D34" s="22" t="str">
        <f>IFERROR(__xludf.DUMMYFUNCTION("""COMPUTED_VALUE"""),"Museum van het Waalse Leven")</f>
        <v>Museum van het Waalse Leven</v>
      </c>
    </row>
    <row r="35">
      <c r="A35" s="22" t="str">
        <f>IFERROR(__xludf.DUMMYFUNCTION("""COMPUTED_VALUE"""),"NAVIGO Visserijmuseum")</f>
        <v>NAVIGO Visserijmuseum</v>
      </c>
      <c r="B35" s="22" t="str">
        <f>IFERROR(__xludf.DUMMYFUNCTION("""COMPUTED_VALUE"""),"‘t Grom")</f>
        <v>‘t Grom</v>
      </c>
      <c r="C35" s="22" t="str">
        <f>IFERROR(__xludf.DUMMYFUNCTION("""COMPUTED_VALUE"""),"AfricaMuseum")</f>
        <v>AfricaMuseum</v>
      </c>
      <c r="D35" s="22" t="str">
        <f>IFERROR(__xludf.DUMMYFUNCTION("""COMPUTED_VALUE"""),"Trinkhall museum")</f>
        <v>Trinkhall museum</v>
      </c>
    </row>
    <row r="36">
      <c r="A36" s="22" t="str">
        <f>IFERROR(__xludf.DUMMYFUNCTION("""COMPUTED_VALUE"""),"Passchendaele Museum")</f>
        <v>Passchendaele Museum</v>
      </c>
      <c r="B36" s="22" t="str">
        <f>IFERROR(__xludf.DUMMYFUNCTION("""COMPUTED_VALUE"""),"Stichting Folon")</f>
        <v>Stichting Folon</v>
      </c>
      <c r="C36" s="22" t="str">
        <f>IFERROR(__xludf.DUMMYFUNCTION("""COMPUTED_VALUE"""),"Damiaanmuseum")</f>
        <v>Damiaanmuseum</v>
      </c>
      <c r="D36" s="22" t="str">
        <f>IFERROR(__xludf.DUMMYFUNCTION("""COMPUTED_VALUE"""),"WaterHouse")</f>
        <v>WaterHouse</v>
      </c>
    </row>
    <row r="37">
      <c r="A37" s="22" t="str">
        <f>IFERROR(__xludf.DUMMYFUNCTION("""COMPUTED_VALUE"""),"Paul Delvaux Museum")</f>
        <v>Paul Delvaux Museum</v>
      </c>
      <c r="B37" s="22" t="str">
        <f>IFERROR(__xludf.DUMMYFUNCTION("""COMPUTED_VALUE"""),"Hergé Museum")</f>
        <v>Hergé Museum</v>
      </c>
      <c r="C37" s="22" t="str">
        <f>IFERROR(__xludf.DUMMYFUNCTION("""COMPUTED_VALUE"""),"FeliXart Museum")</f>
        <v>FeliXart Museum</v>
      </c>
      <c r="D37" s="22" t="str">
        <f>IFERROR(__xludf.DUMMYFUNCTION("""COMPUTED_VALUE"""),"Museum van Mijnbouw en Duurzame Ontwikkeling")</f>
        <v>Museum van Mijnbouw en Duurzame Ontwikkeling</v>
      </c>
    </row>
    <row r="38">
      <c r="A38" s="22" t="str">
        <f>IFERROR(__xludf.DUMMYFUNCTION("""COMPUTED_VALUE"""),"Peiremuzee")</f>
        <v>Peiremuzee</v>
      </c>
      <c r="B38" s="22" t="str">
        <f>IFERROR(__xludf.DUMMYFUNCTION("""COMPUTED_VALUE"""),"Musée L")</f>
        <v>Musée L</v>
      </c>
      <c r="C38" s="22" t="str">
        <f>IFERROR(__xludf.DUMMYFUNCTION("""COMPUTED_VALUE"""),"Huis van het Belgisch-Franse Verzet")</f>
        <v>Huis van het Belgisch-Franse Verzet</v>
      </c>
      <c r="D38" s="22" t="str">
        <f>IFERROR(__xludf.DUMMYFUNCTION("""COMPUTED_VALUE"""),"Centre Daily-Bul &amp; C° ")</f>
        <v>Centre Daily-Bul &amp; C° </v>
      </c>
    </row>
    <row r="39">
      <c r="A39" s="22" t="str">
        <f>IFERROR(__xludf.DUMMYFUNCTION("""COMPUTED_VALUE"""),"Romeins Archeologisch Museum Oudenburg")</f>
        <v>Romeins Archeologisch Museum Oudenburg</v>
      </c>
      <c r="B39" s="22" t="str">
        <f>IFERROR(__xludf.DUMMYFUNCTION("""COMPUTED_VALUE"""),"AfricaMuseum")</f>
        <v>AfricaMuseum</v>
      </c>
      <c r="C39" s="22" t="str">
        <f>IFERROR(__xludf.DUMMYFUNCTION("""COMPUTED_VALUE"""),"KADOC-KU Leuven")</f>
        <v>KADOC-KU Leuven</v>
      </c>
      <c r="D39" s="22" t="str">
        <f>IFERROR(__xludf.DUMMYFUNCTION("""COMPUTED_VALUE"""),"Wetenschappelijk Cultuurcentrum - ULB")</f>
        <v>Wetenschappelijk Cultuurcentrum - ULB</v>
      </c>
    </row>
    <row r="40">
      <c r="A40" s="22" t="str">
        <f>IFERROR(__xludf.DUMMYFUNCTION("""COMPUTED_VALUE"""),"Talbot House")</f>
        <v>Talbot House</v>
      </c>
      <c r="B40" s="22" t="str">
        <f>IFERROR(__xludf.DUMMYFUNCTION("""COMPUTED_VALUE"""),"FeliXart Museum")</f>
        <v>FeliXart Museum</v>
      </c>
      <c r="C40" s="22" t="str">
        <f>IFERROR(__xludf.DUMMYFUNCTION("""COMPUTED_VALUE"""),"Kasteel van Gaasbeek")</f>
        <v>Kasteel van Gaasbeek</v>
      </c>
      <c r="D40" s="22" t="str">
        <f>IFERROR(__xludf.DUMMYFUNCTION("""COMPUTED_VALUE"""),"Centrum voor Innovatie en Design van Grand-Hornu")</f>
        <v>Centrum voor Innovatie en Design van Grand-Hornu</v>
      </c>
    </row>
    <row r="41">
      <c r="A41" s="22" t="str">
        <f>IFERROR(__xludf.DUMMYFUNCTION("""COMPUTED_VALUE"""),"Texture | Museum van Vlas en Textiel")</f>
        <v>Texture | Museum van Vlas en Textiel</v>
      </c>
      <c r="B41" s="22" t="str">
        <f>IFERROR(__xludf.DUMMYFUNCTION("""COMPUTED_VALUE"""),"Kasteel van Gaasbeek")</f>
        <v>Kasteel van Gaasbeek</v>
      </c>
      <c r="C41" s="22" t="str">
        <f>IFERROR(__xludf.DUMMYFUNCTION("""COMPUTED_VALUE"""),"Museum 44")</f>
        <v>Museum 44</v>
      </c>
      <c r="D41" s="22" t="str">
        <f>IFERROR(__xludf.DUMMYFUNCTION("""COMPUTED_VALUE"""),"Domein van het Kasteel van Seneffe")</f>
        <v>Domein van het Kasteel van Seneffe</v>
      </c>
    </row>
    <row r="42">
      <c r="A42" s="22" t="str">
        <f>IFERROR(__xludf.DUMMYFUNCTION("""COMPUTED_VALUE"""),"Westfront Nieuwpoort")</f>
        <v>Westfront Nieuwpoort</v>
      </c>
      <c r="B42" s="22" t="str">
        <f>IFERROR(__xludf.DUMMYFUNCTION("""COMPUTED_VALUE"""),"Museum PARCUM, Abdij van Park Leuven")</f>
        <v>Museum PARCUM, Abdij van Park Leuven</v>
      </c>
      <c r="C42" s="22" t="str">
        <f>IFERROR(__xludf.DUMMYFUNCTION("""COMPUTED_VALUE"""),"Museum PARCUM, Abdij van Park Leuven")</f>
        <v>Museum PARCUM, Abdij van Park Leuven</v>
      </c>
      <c r="D42" s="22" t="str">
        <f>IFERROR(__xludf.DUMMYFUNCTION("""COMPUTED_VALUE"""),"Hospitaal Onze-Lieve-Vrouw met de Roos")</f>
        <v>Hospitaal Onze-Lieve-Vrouw met de Roos</v>
      </c>
    </row>
    <row r="43">
      <c r="A43" s="22" t="str">
        <f>IFERROR(__xludf.DUMMYFUNCTION("""COMPUTED_VALUE"""),"Zwin Natuur Park")</f>
        <v>Zwin Natuur Park</v>
      </c>
      <c r="B43" s="22" t="str">
        <f>IFERROR(__xludf.DUMMYFUNCTION("""COMPUTED_VALUE"""),"C-mine")</f>
        <v>C-mine</v>
      </c>
      <c r="C43" s="22" t="str">
        <f>IFERROR(__xludf.DUMMYFUNCTION("""COMPUTED_VALUE"""),"Plantentuin Meise")</f>
        <v>Plantentuin Meise</v>
      </c>
      <c r="D43" s="22" t="str">
        <f>IFERROR(__xludf.DUMMYFUNCTION("""COMPUTED_VALUE"""),"Keramis - Centrum van de Keramiek")</f>
        <v>Keramis - Centrum van de Keramiek</v>
      </c>
    </row>
    <row r="44">
      <c r="A44" s="22" t="str">
        <f>IFERROR(__xludf.DUMMYFUNCTION("""COMPUTED_VALUE"""),"Arboretum Kalmtout")</f>
        <v>Arboretum Kalmtout</v>
      </c>
      <c r="B44" s="22" t="str">
        <f>IFERROR(__xludf.DUMMYFUNCTION("""COMPUTED_VALUE"""),"Duitse Orde Museum (DOMUS) Alden Biesen")</f>
        <v>Duitse Orde Museum (DOMUS) Alden Biesen</v>
      </c>
      <c r="C44" s="22" t="str">
        <f>IFERROR(__xludf.DUMMYFUNCTION("""COMPUTED_VALUE"""),"C-mine")</f>
        <v>C-mine</v>
      </c>
      <c r="D44" s="22" t="str">
        <f>IFERROR(__xludf.DUMMYFUNCTION("""COMPUTED_VALUE"""),"Le Bois du Cazier ")</f>
        <v>Le Bois du Cazier </v>
      </c>
    </row>
    <row r="45">
      <c r="A45" s="22" t="str">
        <f>IFERROR(__xludf.DUMMYFUNCTION("""COMPUTED_VALUE"""),"Begijnhofmuseum Turnhout")</f>
        <v>Begijnhofmuseum Turnhout</v>
      </c>
      <c r="B45" s="22" t="str">
        <f>IFERROR(__xludf.DUMMYFUNCTION("""COMPUTED_VALUE"""),"LABIOMISTA")</f>
        <v>LABIOMISTA</v>
      </c>
      <c r="C45" s="22" t="str">
        <f>IFERROR(__xludf.DUMMYFUNCTION("""COMPUTED_VALUE"""),"Gallo-Romeins Museum")</f>
        <v>Gallo-Romeins Museum</v>
      </c>
      <c r="D45" s="22" t="str">
        <f>IFERROR(__xludf.DUMMYFUNCTION("""COMPUTED_VALUE"""),"MACS | Museum voor Hedendaagse Kunsten Grand-Hornu")</f>
        <v>MACS | Museum voor Hedendaagse Kunsten Grand-Hornu</v>
      </c>
    </row>
    <row r="46">
      <c r="A46" s="22" t="str">
        <f>IFERROR(__xludf.DUMMYFUNCTION("""COMPUTED_VALUE"""),"DIVA | museum voor diamant juwelen en zilver")</f>
        <v>DIVA | museum voor diamant juwelen en zilver</v>
      </c>
      <c r="B46" s="22" t="str">
        <f>IFERROR(__xludf.DUMMYFUNCTION("""COMPUTED_VALUE"""),"Liberation Garden Leopoldsburg")</f>
        <v>Liberation Garden Leopoldsburg</v>
      </c>
      <c r="C46" s="22" t="str">
        <f>IFERROR(__xludf.DUMMYFUNCTION("""COMPUTED_VALUE"""),"Openluchtmuseum Bokrijk")</f>
        <v>Openluchtmuseum Bokrijk</v>
      </c>
      <c r="D46" s="22" t="str">
        <f>IFERROR(__xludf.DUMMYFUNCTION("""COMPUTED_VALUE"""),"Maison de l’Imprimerie ")</f>
        <v>Maison de l’Imprimerie </v>
      </c>
    </row>
    <row r="47">
      <c r="A47" s="22" t="str">
        <f>IFERROR(__xludf.DUMMYFUNCTION("""COMPUTED_VALUE"""),"FOMU | Fotomuseum Antwerpen")</f>
        <v>FOMU | Fotomuseum Antwerpen</v>
      </c>
      <c r="B47" s="22" t="str">
        <f>IFERROR(__xludf.DUMMYFUNCTION("""COMPUTED_VALUE"""),"Openluchtmuseum Bokrijk")</f>
        <v>Openluchtmuseum Bokrijk</v>
      </c>
      <c r="C47" s="22" t="str">
        <f>IFERROR(__xludf.DUMMYFUNCTION("""COMPUTED_VALUE"""),"Z33 | Huis voor Actuele Kunst, Design &amp; Architectuur")</f>
        <v>Z33 | Huis voor Actuele Kunst, Design &amp; Architectuur</v>
      </c>
      <c r="D47" s="22" t="str">
        <f>IFERROR(__xludf.DUMMYFUNCTION("""COMPUTED_VALUE"""),"MUMONS ")</f>
        <v>MUMONS </v>
      </c>
    </row>
    <row r="48">
      <c r="A48" s="22" t="str">
        <f>IFERROR(__xludf.DUMMYFUNCTION("""COMPUTED_VALUE"""),"Gasthuismuseum Geel")</f>
        <v>Gasthuismuseum Geel</v>
      </c>
      <c r="B48" s="22" t="str">
        <f>IFERROR(__xludf.DUMMYFUNCTION("""COMPUTED_VALUE"""),"Abdij van Stavelot")</f>
        <v>Abdij van Stavelot</v>
      </c>
      <c r="C48" s="22" t="str">
        <f>IFERROR(__xludf.DUMMYFUNCTION("""COMPUTED_VALUE"""),"Abdij van Stavelot")</f>
        <v>Abdij van Stavelot</v>
      </c>
      <c r="D48" s="22" t="str">
        <f>IFERROR(__xludf.DUMMYFUNCTION("""COMPUTED_VALUE"""),"Internationaal Museum van het Carnaval en het Masker")</f>
        <v>Internationaal Museum van het Carnaval en het Masker</v>
      </c>
    </row>
    <row r="49">
      <c r="A49" s="22" t="str">
        <f>IFERROR(__xludf.DUMMYFUNCTION("""COMPUTED_VALUE"""),"Het Snijders&amp;Rockoxhuis")</f>
        <v>Het Snijders&amp;Rockoxhuis</v>
      </c>
      <c r="B49" s="22" t="str">
        <f>IFERROR(__xludf.DUMMYFUNCTION("""COMPUTED_VALUE"""),"Aquarium-Museum van Luik")</f>
        <v>Aquarium-Museum van Luik</v>
      </c>
      <c r="C49" s="22" t="str">
        <f>IFERROR(__xludf.DUMMYFUNCTION("""COMPUTED_VALUE"""),"Aquarium-Museum van Luik")</f>
        <v>Aquarium-Museum van Luik</v>
      </c>
      <c r="D49" s="22" t="str">
        <f>IFERROR(__xludf.DUMMYFUNCTION("""COMPUTED_VALUE"""),"Koninklijk Museum van Mariemont")</f>
        <v>Koninklijk Museum van Mariemont</v>
      </c>
    </row>
    <row r="50">
      <c r="A50" s="22" t="str">
        <f>IFERROR(__xludf.DUMMYFUNCTION("""COMPUTED_VALUE"""),"Jakob Smitsmuseum")</f>
        <v>Jakob Smitsmuseum</v>
      </c>
      <c r="B50" s="22" t="str">
        <f>IFERROR(__xludf.DUMMYFUNCTION("""COMPUTED_VALUE"""),"ArtHouse")</f>
        <v>ArtHouse</v>
      </c>
      <c r="C50" s="22" t="str">
        <f>IFERROR(__xludf.DUMMYFUNCTION("""COMPUTED_VALUE"""),"Museum van het Waalse Leven")</f>
        <v>Museum van het Waalse Leven</v>
      </c>
      <c r="D50" s="22" t="str">
        <f>IFERROR(__xludf.DUMMYFUNCTION("""COMPUTED_VALUE"""),"Plugstreet 14-18 experience ")</f>
        <v>Plugstreet 14-18 experience </v>
      </c>
    </row>
    <row r="51">
      <c r="A51" s="22" t="str">
        <f>IFERROR(__xludf.DUMMYFUNCTION("""COMPUTED_VALUE"""),"Karrenmuseum Essen")</f>
        <v>Karrenmuseum Essen</v>
      </c>
      <c r="B51" s="22" t="str">
        <f>IFERROR(__xludf.DUMMYFUNCTION("""COMPUTED_VALUE"""),"Museum voor Hedendaagse Kunst")</f>
        <v>Museum voor Hedendaagse Kunst</v>
      </c>
      <c r="C51" s="22" t="str">
        <f>IFERROR(__xludf.DUMMYFUNCTION("""COMPUTED_VALUE"""),"Préhistomuseum")</f>
        <v>Préhistomuseum</v>
      </c>
      <c r="D51" s="22" t="str">
        <f>IFERROR(__xludf.DUMMYFUNCTION("""COMPUTED_VALUE"""),"Megalietenhuis")</f>
        <v>Megalietenhuis</v>
      </c>
    </row>
    <row r="52">
      <c r="A52" s="22" t="str">
        <f>IFERROR(__xludf.DUMMYFUNCTION("""COMPUTED_VALUE"""),"Kazerne Dossin")</f>
        <v>Kazerne Dossin</v>
      </c>
      <c r="B52" s="22" t="str">
        <f>IFERROR(__xludf.DUMMYFUNCTION("""COMPUTED_VALUE"""),"Bos en Watermuseum “P. Noé”")</f>
        <v>Bos en Watermuseum “P. Noé”</v>
      </c>
      <c r="C52" s="22" t="str">
        <f>IFERROR(__xludf.DUMMYFUNCTION("""COMPUTED_VALUE"""),"Trinkhall museum")</f>
        <v>Trinkhall museum</v>
      </c>
      <c r="D52" s="22" t="str">
        <f>IFERROR(__xludf.DUMMYFUNCTION("""COMPUTED_VALUE"""),"Mudia")</f>
        <v>Mudia</v>
      </c>
    </row>
    <row r="53">
      <c r="A53" s="22" t="str">
        <f>IFERROR(__xludf.DUMMYFUNCTION("""COMPUTED_VALUE"""),"KMSKA | Koninklijk Museum voor Schone Kunsten Antwerpen")</f>
        <v>KMSKA | Koninklijk Museum voor Schone Kunsten Antwerpen</v>
      </c>
      <c r="B53" s="22" t="str">
        <f>IFERROR(__xludf.DUMMYFUNCTION("""COMPUTED_VALUE"""),"Museum van de wastechniek")</f>
        <v>Museum van de wastechniek</v>
      </c>
      <c r="C53" s="22" t="str">
        <f>IFERROR(__xludf.DUMMYFUNCTION("""COMPUTED_VALUE"""),"Centrum voor Innovatie en Design van Grand-Hornu")</f>
        <v>Centrum voor Innovatie en Design van Grand-Hornu</v>
      </c>
      <c r="D53" s="22" t="str">
        <f>IFERROR(__xludf.DUMMYFUNCTION("""COMPUTED_VALUE"""),"Het Gaume Museum")</f>
        <v>Het Gaume Museum</v>
      </c>
    </row>
    <row r="54">
      <c r="A54" s="22" t="str">
        <f>IFERROR(__xludf.DUMMYFUNCTION("""COMPUTED_VALUE"""),"Kunsthal Extra City")</f>
        <v>Kunsthal Extra City</v>
      </c>
      <c r="B54" s="22" t="str">
        <f>IFERROR(__xludf.DUMMYFUNCTION("""COMPUTED_VALUE"""),"Pottenbakkerijmuseum Raeren")</f>
        <v>Pottenbakkerijmuseum Raeren</v>
      </c>
      <c r="C54" s="22" t="str">
        <f>IFERROR(__xludf.DUMMYFUNCTION("""COMPUTED_VALUE"""),"Hospitaal Onze-Lieve-Vrouw met de Roos")</f>
        <v>Hospitaal Onze-Lieve-Vrouw met de Roos</v>
      </c>
      <c r="D54" s="22" t="str">
        <f>IFERROR(__xludf.DUMMYFUNCTION("""COMPUTED_VALUE"""),"Museum van de Grote Ardennen")</f>
        <v>Museum van de Grote Ardennen</v>
      </c>
    </row>
    <row r="55">
      <c r="A55" s="22" t="str">
        <f>IFERROR(__xludf.DUMMYFUNCTION("""COMPUTED_VALUE"""),"Kunsthal Mechelen")</f>
        <v>Kunsthal Mechelen</v>
      </c>
      <c r="B55" s="22" t="str">
        <f>IFERROR(__xludf.DUMMYFUNCTION("""COMPUTED_VALUE"""),"Museum Vieille Montagne")</f>
        <v>Museum Vieille Montagne</v>
      </c>
      <c r="C55" s="22" t="str">
        <f>IFERROR(__xludf.DUMMYFUNCTION("""COMPUTED_VALUE"""),"Le Bois du Cazier ")</f>
        <v>Le Bois du Cazier </v>
      </c>
      <c r="D55" s="22" t="str">
        <f>IFERROR(__xludf.DUMMYFUNCTION("""COMPUTED_VALUE"""),"Autoworld Brussels")</f>
        <v>Autoworld Brussels</v>
      </c>
    </row>
    <row r="56">
      <c r="A56" s="22" t="str">
        <f>IFERROR(__xludf.DUMMYFUNCTION("""COMPUTED_VALUE"""),"MAS | Museum aan de Stroom")</f>
        <v>MAS | Museum aan de Stroom</v>
      </c>
      <c r="B56" s="22" t="str">
        <f>IFERROR(__xludf.DUMMYFUNCTION("""COMPUTED_VALUE"""),"Préhistomuseum")</f>
        <v>Préhistomuseum</v>
      </c>
      <c r="C56" s="22" t="str">
        <f>IFERROR(__xludf.DUMMYFUNCTION("""COMPUTED_VALUE"""),"Internationaal Museum van het Carnaval en het Masker")</f>
        <v>Internationaal Museum van het Carnaval en het Masker</v>
      </c>
      <c r="D56" s="22" t="str">
        <f>IFERROR(__xludf.DUMMYFUNCTION("""COMPUTED_VALUE"""),"Botanique")</f>
        <v>Botanique</v>
      </c>
    </row>
    <row r="57">
      <c r="A57" s="22" t="str">
        <f>IFERROR(__xludf.DUMMYFUNCTION("""COMPUTED_VALUE"""),"M HKA | Museum van Hedendaagse Kunst Antwerpen")</f>
        <v>M HKA | Museum van Hedendaagse Kunst Antwerpen</v>
      </c>
      <c r="B57" s="22" t="str">
        <f>IFERROR(__xludf.DUMMYFUNCTION("""COMPUTED_VALUE"""),"Trinkhall museum")</f>
        <v>Trinkhall museum</v>
      </c>
      <c r="C57" s="22" t="str">
        <f>IFERROR(__xludf.DUMMYFUNCTION("""COMPUTED_VALUE"""),"Megalietenhuis")</f>
        <v>Megalietenhuis</v>
      </c>
      <c r="D57" s="22" t="str">
        <f>IFERROR(__xludf.DUMMYFUNCTION("""COMPUTED_VALUE"""),"Paleis voor Schone Kunsten")</f>
        <v>Paleis voor Schone Kunsten</v>
      </c>
    </row>
    <row r="58">
      <c r="A58" s="22" t="str">
        <f>IFERROR(__xludf.DUMMYFUNCTION("""COMPUTED_VALUE"""),"Middelheimmuseum")</f>
        <v>Middelheimmuseum</v>
      </c>
      <c r="B58" s="22" t="str">
        <f>IFERROR(__xludf.DUMMYFUNCTION("""COMPUTED_VALUE"""),"WaterHouse")</f>
        <v>WaterHouse</v>
      </c>
      <c r="C58" s="22" t="str">
        <f>IFERROR(__xludf.DUMMYFUNCTION("""COMPUTED_VALUE"""),"Museum van de Grote Ardennen")</f>
        <v>Museum van de Grote Ardennen</v>
      </c>
      <c r="D58" s="22" t="str">
        <f>IFERROR(__xludf.DUMMYFUNCTION("""COMPUTED_VALUE"""),"Design Museum Brussels")</f>
        <v>Design Museum Brussels</v>
      </c>
    </row>
    <row r="59">
      <c r="A59" s="22" t="str">
        <f>IFERROR(__xludf.DUMMYFUNCTION("""COMPUTED_VALUE"""),"MoMu | ModeMuseum Antwerpen")</f>
        <v>MoMu | ModeMuseum Antwerpen</v>
      </c>
      <c r="B59" s="22" t="str">
        <f>IFERROR(__xludf.DUMMYFUNCTION("""COMPUTED_VALUE"""),"Museum van Mijnbouw en Duurzame Ontwikkeling")</f>
        <v>Museum van Mijnbouw en Duurzame Ontwikkeling</v>
      </c>
      <c r="C59" s="22" t="str">
        <f>IFERROR(__xludf.DUMMYFUNCTION("""COMPUTED_VALUE"""),"Autoworld Brussels")</f>
        <v>Autoworld Brussels</v>
      </c>
      <c r="D59" s="22" t="str">
        <f>IFERROR(__xludf.DUMMYFUNCTION("""COMPUTED_VALUE"""),"KANAL | Centre Pompidou")</f>
        <v>KANAL | Centre Pompidou</v>
      </c>
    </row>
    <row r="60">
      <c r="A60" s="22" t="str">
        <f>IFERROR(__xludf.DUMMYFUNCTION("""COMPUTED_VALUE"""),"Museum De Reede")</f>
        <v>Museum De Reede</v>
      </c>
      <c r="B60" s="22" t="str">
        <f>IFERROR(__xludf.DUMMYFUNCTION("""COMPUTED_VALUE"""),"Wetenschappelijk Cultuurcentrum - ULB")</f>
        <v>Wetenschappelijk Cultuurcentrum - ULB</v>
      </c>
      <c r="C60" s="22" t="str">
        <f>IFERROR(__xludf.DUMMYFUNCTION("""COMPUTED_VALUE"""),"Design Museum Brussels")</f>
        <v>Design Museum Brussels</v>
      </c>
      <c r="D60" s="22" t="str">
        <f>IFERROR(__xludf.DUMMYFUNCTION("""COMPUTED_VALUE"""),"KBR museum")</f>
        <v>KBR museum</v>
      </c>
    </row>
    <row r="61">
      <c r="A61" s="22" t="str">
        <f>IFERROR(__xludf.DUMMYFUNCTION("""COMPUTED_VALUE"""),"Museum Fort Liezele")</f>
        <v>Museum Fort Liezele</v>
      </c>
      <c r="B61" s="22" t="str">
        <f>IFERROR(__xludf.DUMMYFUNCTION("""COMPUTED_VALUE"""),"Centrum voor Innovatie en Design van Grand-Hornu")</f>
        <v>Centrum voor Innovatie en Design van Grand-Hornu</v>
      </c>
      <c r="C61" s="22" t="str">
        <f>IFERROR(__xludf.DUMMYFUNCTION("""COMPUTED_VALUE"""),"Gemeentelijk Museum van Sint-Jans-Molenbeek")</f>
        <v>Gemeentelijk Museum van Sint-Jans-Molenbeek</v>
      </c>
      <c r="D61" s="22" t="str">
        <f>IFERROR(__xludf.DUMMYFUNCTION("""COMPUTED_VALUE"""),"muziekinstrumentenmuseum")</f>
        <v>muziekinstrumentenmuseum</v>
      </c>
    </row>
    <row r="62">
      <c r="A62" s="22" t="str">
        <f>IFERROR(__xludf.DUMMYFUNCTION("""COMPUTED_VALUE"""),"Museum Hof van Busleyden")</f>
        <v>Museum Hof van Busleyden</v>
      </c>
      <c r="B62" s="22" t="str">
        <f>IFERROR(__xludf.DUMMYFUNCTION("""COMPUTED_VALUE"""),"Domein van het Kasteel van Seneffe")</f>
        <v>Domein van het Kasteel van Seneffe</v>
      </c>
      <c r="C62" s="22" t="str">
        <f>IFERROR(__xludf.DUMMYFUNCTION("""COMPUTED_VALUE"""),"Museum Kunst &amp; Geschiedenis")</f>
        <v>Museum Kunst &amp; Geschiedenis</v>
      </c>
      <c r="D62" s="22" t="str">
        <f>IFERROR(__xludf.DUMMYFUNCTION("""COMPUTED_VALUE"""),"Museum Kunst &amp; Geschiedenis")</f>
        <v>Museum Kunst &amp; Geschiedenis</v>
      </c>
    </row>
    <row r="63">
      <c r="A63" s="22" t="str">
        <f>IFERROR(__xludf.DUMMYFUNCTION("""COMPUTED_VALUE"""),"Museum Mayer van den Bergh")</f>
        <v>Museum Mayer van den Bergh</v>
      </c>
      <c r="B63" s="22" t="str">
        <f>IFERROR(__xludf.DUMMYFUNCTION("""COMPUTED_VALUE"""),"Le Bois du Cazier ")</f>
        <v>Le Bois du Cazier </v>
      </c>
      <c r="C63" s="22" t="str">
        <f>IFERROR(__xludf.DUMMYFUNCTION("""COMPUTED_VALUE"""),"Koninklijk Museum van het Leger en de Krijgsgeschiedenis")</f>
        <v>Koninklijk Museum van het Leger en de Krijgsgeschiedenis</v>
      </c>
      <c r="D63" s="22" t="str">
        <f>IFERROR(__xludf.DUMMYFUNCTION("""COMPUTED_VALUE"""),"BELvue museum")</f>
        <v>BELvue museum</v>
      </c>
    </row>
    <row r="64">
      <c r="A64" s="22" t="str">
        <f>IFERROR(__xludf.DUMMYFUNCTION("""COMPUTED_VALUE"""),"Museum Plantin-Moretus")</f>
        <v>Museum Plantin-Moretus</v>
      </c>
      <c r="B64" s="22" t="str">
        <f>IFERROR(__xludf.DUMMYFUNCTION("""COMPUTED_VALUE"""),"MACS | Museum voor Hedendaagse Kunsten Grand-Hornu")</f>
        <v>MACS | Museum voor Hedendaagse Kunsten Grand-Hornu</v>
      </c>
      <c r="C64" s="22" t="str">
        <f>IFERROR(__xludf.DUMMYFUNCTION("""COMPUTED_VALUE"""),"Planetarium Brussel")</f>
        <v>Planetarium Brussel</v>
      </c>
      <c r="D64" s="22" t="str">
        <f>IFERROR(__xludf.DUMMYFUNCTION("""COMPUTED_VALUE"""),"Koninklijk Museum van het Leger en de Krijgsgeschiedenis")</f>
        <v>Koninklijk Museum van het Leger en de Krijgsgeschiedenis</v>
      </c>
    </row>
    <row r="65">
      <c r="A65" s="22" t="str">
        <f>IFERROR(__xludf.DUMMYFUNCTION("""COMPUTED_VALUE"""),"Museum Vleeshuis")</f>
        <v>Museum Vleeshuis</v>
      </c>
      <c r="B65" s="22" t="str">
        <f>IFERROR(__xludf.DUMMYFUNCTION("""COMPUTED_VALUE"""),"Maison de l’Imprimerie ")</f>
        <v>Maison de l’Imprimerie </v>
      </c>
      <c r="C65" s="22" t="str">
        <f>IFERROR(__xludf.DUMMYFUNCTION("""COMPUTED_VALUE"""),"Centrum voor Hedendaagse Kunst")</f>
        <v>Centrum voor Hedendaagse Kunst</v>
      </c>
      <c r="D65" s="22" t="str">
        <f>IFERROR(__xludf.DUMMYFUNCTION("""COMPUTED_VALUE"""),"Coudenbergpaleis")</f>
        <v>Coudenbergpaleis</v>
      </c>
    </row>
    <row r="66">
      <c r="A66" s="22" t="str">
        <f>IFERROR(__xludf.DUMMYFUNCTION("""COMPUTED_VALUE"""),"Nationaal Museum van de Speelkaart")</f>
        <v>Nationaal Museum van de Speelkaart</v>
      </c>
      <c r="B66" s="22" t="str">
        <f>IFERROR(__xludf.DUMMYFUNCTION("""COMPUTED_VALUE"""),"MUMONS ")</f>
        <v>MUMONS </v>
      </c>
      <c r="C66" s="22" t="str">
        <f>IFERROR(__xludf.DUMMYFUNCTION("""COMPUTED_VALUE"""),"Curiosum | Een huis vol herinnering")</f>
        <v>Curiosum | Een huis vol herinnering</v>
      </c>
      <c r="D66" s="22" t="str">
        <f>IFERROR(__xludf.DUMMYFUNCTION("""COMPUTED_VALUE"""),"Centrum voor Hedendaagse Kunst")</f>
        <v>Centrum voor Hedendaagse Kunst</v>
      </c>
    </row>
    <row r="67">
      <c r="A67" s="22" t="str">
        <f>IFERROR(__xludf.DUMMYFUNCTION("""COMPUTED_VALUE"""),"Red Star Line Museum")</f>
        <v>Red Star Line Museum</v>
      </c>
      <c r="B67" s="22" t="str">
        <f>IFERROR(__xludf.DUMMYFUNCTION("""COMPUTED_VALUE"""),"Fotografiemuseum")</f>
        <v>Fotografiemuseum</v>
      </c>
      <c r="C67" s="22" t="str">
        <f>IFERROR(__xludf.DUMMYFUNCTION("""COMPUTED_VALUE"""),"Mercatormuseum")</f>
        <v>Mercatormuseum</v>
      </c>
      <c r="D67" s="22" t="str">
        <f>IFERROR(__xludf.DUMMYFUNCTION("""COMPUTED_VALUE"""),"MSK | Museum voor Schone Kunsten Gent")</f>
        <v>MSK | Museum voor Schone Kunsten Gent</v>
      </c>
    </row>
    <row r="68">
      <c r="A68" s="22" t="str">
        <f>IFERROR(__xludf.DUMMYFUNCTION("""COMPUTED_VALUE"""),"Rubenshuis")</f>
        <v>Rubenshuis</v>
      </c>
      <c r="B68" s="22" t="str">
        <f>IFERROR(__xludf.DUMMYFUNCTION("""COMPUTED_VALUE"""),"Lintweverijmuseum van Komen")</f>
        <v>Lintweverijmuseum van Komen</v>
      </c>
      <c r="C68" s="22" t="str">
        <f>IFERROR(__xludf.DUMMYFUNCTION("""COMPUTED_VALUE"""),"mudel | Museum van Deinze en de Leiestreek")</f>
        <v>mudel | Museum van Deinze en de Leiestreek</v>
      </c>
      <c r="D68" s="22" t="str">
        <f>IFERROR(__xludf.DUMMYFUNCTION("""COMPUTED_VALUE"""),"S.M.A.K.")</f>
        <v>S.M.A.K.</v>
      </c>
    </row>
    <row r="69">
      <c r="A69" s="22" t="str">
        <f>IFERROR(__xludf.DUMMYFUNCTION("""COMPUTED_VALUE"""),"Sint-Pauluskerk")</f>
        <v>Sint-Pauluskerk</v>
      </c>
      <c r="B69" s="22" t="str">
        <f>IFERROR(__xludf.DUMMYFUNCTION("""COMPUTED_VALUE"""),"Museum voor Schone Kunsten van Doornik")</f>
        <v>Museum voor Schone Kunsten van Doornik</v>
      </c>
      <c r="C69" s="22" t="str">
        <f>IFERROR(__xludf.DUMMYFUNCTION("""COMPUTED_VALUE"""),"Museum Dhondt-Dhaenens")</f>
        <v>Museum Dhondt-Dhaenens</v>
      </c>
      <c r="D69" s="22" t="str">
        <f>IFERROR(__xludf.DUMMYFUNCTION("""COMPUTED_VALUE"""),"STAM | Stadsmuseum Gent")</f>
        <v>STAM | Stadsmuseum Gent</v>
      </c>
    </row>
    <row r="70">
      <c r="A70" s="22" t="str">
        <f>IFERROR(__xludf.DUMMYFUNCTION("""COMPUTED_VALUE"""),"Speelgoedmuseum")</f>
        <v>Speelgoedmuseum</v>
      </c>
      <c r="B70" s="22" t="str">
        <f>IFERROR(__xludf.DUMMYFUNCTION("""COMPUTED_VALUE"""),"Natuurhistorisch Museum en Vivarium")</f>
        <v>Natuurhistorisch Museum en Vivarium</v>
      </c>
      <c r="C70" s="22" t="str">
        <f>IFERROR(__xludf.DUMMYFUNCTION("""COMPUTED_VALUE"""),"Museum Dr. Guislain")</f>
        <v>Museum Dr. Guislain</v>
      </c>
    </row>
    <row r="71">
      <c r="A71" s="22" t="str">
        <f>IFERROR(__xludf.DUMMYFUNCTION("""COMPUTED_VALUE"""),"Stadsmuseum Lier")</f>
        <v>Stadsmuseum Lier</v>
      </c>
      <c r="B71" s="22" t="str">
        <f>IFERROR(__xludf.DUMMYFUNCTION("""COMPUTED_VALUE"""),"Internationaal Museum van het Carnaval en het Masker")</f>
        <v>Internationaal Museum van het Carnaval en het Masker</v>
      </c>
      <c r="C71" s="22" t="str">
        <f>IFERROR(__xludf.DUMMYFUNCTION("""COMPUTED_VALUE"""),"Provinciale Erfgoedsite Ename")</f>
        <v>Provinciale Erfgoedsite Ename</v>
      </c>
    </row>
    <row r="72">
      <c r="A72" s="22" t="str">
        <f>IFERROR(__xludf.DUMMYFUNCTION("""COMPUTED_VALUE"""),"Stedelijk Museum Hoogstraten")</f>
        <v>Stedelijk Museum Hoogstraten</v>
      </c>
      <c r="B72" s="22" t="str">
        <f>IFERROR(__xludf.DUMMYFUNCTION("""COMPUTED_VALUE"""),"Koninklijk Museum van Mariemont")</f>
        <v>Koninklijk Museum van Mariemont</v>
      </c>
      <c r="C72" s="22" t="str">
        <f>IFERROR(__xludf.DUMMYFUNCTION("""COMPUTED_VALUE"""),"Provinciale Erfgoedsite Scheepswerven Baasrode")</f>
        <v>Provinciale Erfgoedsite Scheepswerven Baasrode</v>
      </c>
    </row>
    <row r="73">
      <c r="A73" s="22" t="str">
        <f>IFERROR(__xludf.DUMMYFUNCTION("""COMPUTED_VALUE"""),"Suske en Wiske Museum")</f>
        <v>Suske en Wiske Museum</v>
      </c>
      <c r="B73" s="22" t="str">
        <f>IFERROR(__xludf.DUMMYFUNCTION("""COMPUTED_VALUE"""),"Plugstreet 14-18 experience ")</f>
        <v>Plugstreet 14-18 experience </v>
      </c>
      <c r="C73" s="22" t="str">
        <f>IFERROR(__xludf.DUMMYFUNCTION("""COMPUTED_VALUE"""),"Provinciale Erfgoedsite Archeocentrum Velzeke")</f>
        <v>Provinciale Erfgoedsite Archeocentrum Velzeke</v>
      </c>
    </row>
    <row r="74">
      <c r="A74" s="22" t="str">
        <f>IFERROR(__xludf.DUMMYFUNCTION("""COMPUTED_VALUE"""),"Taxandriamuseum")</f>
        <v>Taxandriamuseum</v>
      </c>
      <c r="B74" s="22" t="str">
        <f>IFERROR(__xludf.DUMMYFUNCTION("""COMPUTED_VALUE"""),"Bastogne Barracks")</f>
        <v>Bastogne Barracks</v>
      </c>
      <c r="C74" s="22" t="str">
        <f>IFERROR(__xludf.DUMMYFUNCTION("""COMPUTED_VALUE"""),"Roger Raveelmuseum")</f>
        <v>Roger Raveelmuseum</v>
      </c>
    </row>
    <row r="75">
      <c r="A75" s="22" t="str">
        <f>IFERROR(__xludf.DUMMYFUNCTION("""COMPUTED_VALUE"""),"‘t Grom")</f>
        <v>‘t Grom</v>
      </c>
      <c r="B75" s="22" t="str">
        <f>IFERROR(__xludf.DUMMYFUNCTION("""COMPUTED_VALUE"""),"Het Gaume Museum")</f>
        <v>Het Gaume Museum</v>
      </c>
      <c r="C75" s="22" t="str">
        <f>IFERROR(__xludf.DUMMYFUNCTION("""COMPUTED_VALUE"""),"Sint-Pietersabdij Gent")</f>
        <v>Sint-Pietersabdij Gent</v>
      </c>
    </row>
    <row r="76">
      <c r="A76" s="22" t="str">
        <f>IFERROR(__xludf.DUMMYFUNCTION("""COMPUTED_VALUE"""),"Het steen, The Antwerp Story")</f>
        <v>Het steen, The Antwerp Story</v>
      </c>
      <c r="B76" s="22" t="str">
        <f>IFERROR(__xludf.DUMMYFUNCTION("""COMPUTED_VALUE"""),"ARGOS | centre for audiovisual arts")</f>
        <v>ARGOS | centre for audiovisual arts</v>
      </c>
      <c r="C76" s="22" t="str">
        <f>IFERROR(__xludf.DUMMYFUNCTION("""COMPUTED_VALUE"""),"S.M.A.K.")</f>
        <v>S.M.A.K.</v>
      </c>
    </row>
    <row r="77">
      <c r="A77" s="22" t="str">
        <f>IFERROR(__xludf.DUMMYFUNCTION("""COMPUTED_VALUE"""),"Stichting Folon")</f>
        <v>Stichting Folon</v>
      </c>
      <c r="B77" s="22" t="str">
        <f>IFERROR(__xludf.DUMMYFUNCTION("""COMPUTED_VALUE"""),"Autoworld Brussels")</f>
        <v>Autoworld Brussels</v>
      </c>
    </row>
    <row r="78">
      <c r="A78" s="22" t="str">
        <f>IFERROR(__xludf.DUMMYFUNCTION("""COMPUTED_VALUE"""),"Hergé Museum")</f>
        <v>Hergé Museum</v>
      </c>
      <c r="B78" s="22" t="str">
        <f>IFERROR(__xludf.DUMMYFUNCTION("""COMPUTED_VALUE"""),"Botanique")</f>
        <v>Botanique</v>
      </c>
    </row>
    <row r="79">
      <c r="A79" s="22" t="str">
        <f>IFERROR(__xludf.DUMMYFUNCTION("""COMPUTED_VALUE"""),"Musée L")</f>
        <v>Musée L</v>
      </c>
      <c r="B79" s="22" t="str">
        <f>IFERROR(__xludf.DUMMYFUNCTION("""COMPUTED_VALUE"""),"Paleis voor Schone Kunsten")</f>
        <v>Paleis voor Schone Kunsten</v>
      </c>
    </row>
    <row r="80">
      <c r="A80" s="22" t="str">
        <f>IFERROR(__xludf.DUMMYFUNCTION("""COMPUTED_VALUE"""),"Marthe Donas museum")</f>
        <v>Marthe Donas museum</v>
      </c>
      <c r="B80" s="22" t="str">
        <f>IFERROR(__xludf.DUMMYFUNCTION("""COMPUTED_VALUE"""),"Villa Empain - Stichting Boghossian")</f>
        <v>Villa Empain - Stichting Boghossian</v>
      </c>
    </row>
    <row r="81">
      <c r="A81" s="22" t="str">
        <f>IFERROR(__xludf.DUMMYFUNCTION("""COMPUTED_VALUE"""),"Wellington Museum")</f>
        <v>Wellington Museum</v>
      </c>
      <c r="B81" s="22" t="str">
        <f>IFERROR(__xludf.DUMMYFUNCTION("""COMPUTED_VALUE"""),"iMAL")</f>
        <v>iMAL</v>
      </c>
    </row>
    <row r="82">
      <c r="A82" s="22" t="str">
        <f>IFERROR(__xludf.DUMMYFUNCTION("""COMPUTED_VALUE"""),"AfricaMuseum")</f>
        <v>AfricaMuseum</v>
      </c>
      <c r="B82" s="22" t="str">
        <f>IFERROR(__xludf.DUMMYFUNCTION("""COMPUTED_VALUE"""),"KANAL | Centre Pompidou")</f>
        <v>KANAL | Centre Pompidou</v>
      </c>
    </row>
    <row r="83">
      <c r="A83" s="22" t="str">
        <f>IFERROR(__xludf.DUMMYFUNCTION("""COMPUTED_VALUE"""),"Damiaanmuseum")</f>
        <v>Damiaanmuseum</v>
      </c>
      <c r="B83" s="22" t="str">
        <f>IFERROR(__xludf.DUMMYFUNCTION("""COMPUTED_VALUE"""),"KBR museum")</f>
        <v>KBR museum</v>
      </c>
    </row>
    <row r="84">
      <c r="A84" s="22" t="str">
        <f>IFERROR(__xludf.DUMMYFUNCTION("""COMPUTED_VALUE"""),"Dru!f, huis van de tafeldruif")</f>
        <v>Dru!f, huis van de tafeldruif</v>
      </c>
      <c r="B84" s="22" t="str">
        <f>IFERROR(__xludf.DUMMYFUNCTION("""COMPUTED_VALUE"""),"Brussels Museum voor Arbeid en Industrie")</f>
        <v>Brussels Museum voor Arbeid en Industrie</v>
      </c>
    </row>
    <row r="85">
      <c r="A85" s="22" t="str">
        <f>IFERROR(__xludf.DUMMYFUNCTION("""COMPUTED_VALUE"""),"FeliXart Museum")</f>
        <v>FeliXart Museum</v>
      </c>
      <c r="B85" s="22" t="str">
        <f>IFERROR(__xludf.DUMMYFUNCTION("""COMPUTED_VALUE"""),"muziekinstrumentenmuseum")</f>
        <v>muziekinstrumentenmuseum</v>
      </c>
    </row>
    <row r="86">
      <c r="A86" s="22" t="str">
        <f>IFERROR(__xludf.DUMMYFUNCTION("""COMPUTED_VALUE"""),"Kasteel van Gaasbeek")</f>
        <v>Kasteel van Gaasbeek</v>
      </c>
      <c r="B86" s="22" t="str">
        <f>IFERROR(__xludf.DUMMYFUNCTION("""COMPUTED_VALUE"""),"Museum Kunst &amp; Geschiedenis")</f>
        <v>Museum Kunst &amp; Geschiedenis</v>
      </c>
    </row>
    <row r="87">
      <c r="A87" s="22" t="str">
        <f>IFERROR(__xludf.DUMMYFUNCTION("""COMPUTED_VALUE"""),"M Leuven")</f>
        <v>M Leuven</v>
      </c>
      <c r="B87" s="22" t="str">
        <f>IFERROR(__xludf.DUMMYFUNCTION("""COMPUTED_VALUE"""),"BELvue museum")</f>
        <v>BELvue museum</v>
      </c>
    </row>
    <row r="88">
      <c r="A88" s="22" t="str">
        <f>IFERROR(__xludf.DUMMYFUNCTION("""COMPUTED_VALUE"""),"Museum 44")</f>
        <v>Museum 44</v>
      </c>
      <c r="B88" s="22" t="str">
        <f>IFERROR(__xludf.DUMMYFUNCTION("""COMPUTED_VALUE"""),"Stripmuseum Brussel")</f>
        <v>Stripmuseum Brussel</v>
      </c>
    </row>
    <row r="89">
      <c r="A89" s="22" t="str">
        <f>IFERROR(__xludf.DUMMYFUNCTION("""COMPUTED_VALUE"""),"Museum PARCUM, Abdij van Park Leuven")</f>
        <v>Museum PARCUM, Abdij van Park Leuven</v>
      </c>
      <c r="B89" s="22" t="str">
        <f>IFERROR(__xludf.DUMMYFUNCTION("""COMPUTED_VALUE"""),"Koninklijk Museum van het Leger en de Krijgsgeschiedenis")</f>
        <v>Koninklijk Museum van het Leger en de Krijgsgeschiedenis</v>
      </c>
    </row>
    <row r="90">
      <c r="A90" s="22" t="str">
        <f>IFERROR(__xludf.DUMMYFUNCTION("""COMPUTED_VALUE"""),"Plantentuin Meise")</f>
        <v>Plantentuin Meise</v>
      </c>
      <c r="B90" s="22" t="str">
        <f>IFERROR(__xludf.DUMMYFUNCTION("""COMPUTED_VALUE"""),"Centrum voor Hedendaagse Kunst")</f>
        <v>Centrum voor Hedendaagse Kunst</v>
      </c>
    </row>
    <row r="91">
      <c r="A91" s="22" t="str">
        <f>IFERROR(__xludf.DUMMYFUNCTION("""COMPUTED_VALUE"""),"C-mine")</f>
        <v>C-mine</v>
      </c>
      <c r="B91" s="22" t="str">
        <f>IFERROR(__xludf.DUMMYFUNCTION("""COMPUTED_VALUE"""),"Huis van Alijn")</f>
        <v>Huis van Alijn</v>
      </c>
    </row>
    <row r="92">
      <c r="A92" s="22" t="str">
        <f>IFERROR(__xludf.DUMMYFUNCTION("""COMPUTED_VALUE"""),"DE MINDERE")</f>
        <v>DE MINDERE</v>
      </c>
      <c r="B92" s="22" t="str">
        <f>IFERROR(__xludf.DUMMYFUNCTION("""COMPUTED_VALUE"""),"MSK | Museum voor Schone Kunsten Gent")</f>
        <v>MSK | Museum voor Schone Kunsten Gent</v>
      </c>
    </row>
    <row r="93">
      <c r="A93" s="22" t="str">
        <f>IFERROR(__xludf.DUMMYFUNCTION("""COMPUTED_VALUE"""),"Duitse Orde Museum (DOMUS) Alden Biesen")</f>
        <v>Duitse Orde Museum (DOMUS) Alden Biesen</v>
      </c>
      <c r="B93" s="22" t="str">
        <f>IFERROR(__xludf.DUMMYFUNCTION("""COMPUTED_VALUE"""),"Museum Dr. Guislain")</f>
        <v>Museum Dr. Guislain</v>
      </c>
    </row>
    <row r="94">
      <c r="A94" s="22" t="str">
        <f>IFERROR(__xludf.DUMMYFUNCTION("""COMPUTED_VALUE"""),"Gallo-Romeins Museum")</f>
        <v>Gallo-Romeins Museum</v>
      </c>
      <c r="B94" s="22" t="str">
        <f>IFERROR(__xludf.DUMMYFUNCTION("""COMPUTED_VALUE"""),"Provinciale Erfgoedsite Ename")</f>
        <v>Provinciale Erfgoedsite Ename</v>
      </c>
    </row>
    <row r="95">
      <c r="A95" s="22" t="str">
        <f>IFERROR(__xludf.DUMMYFUNCTION("""COMPUTED_VALUE"""),"GlazenHuis")</f>
        <v>GlazenHuis</v>
      </c>
      <c r="B95" s="22" t="str">
        <f>IFERROR(__xludf.DUMMYFUNCTION("""COMPUTED_VALUE"""),"Provinciale Erfgoedsite Scheepswerven Baasrode")</f>
        <v>Provinciale Erfgoedsite Scheepswerven Baasrode</v>
      </c>
    </row>
    <row r="96">
      <c r="A96" s="22" t="str">
        <f>IFERROR(__xludf.DUMMYFUNCTION("""COMPUTED_VALUE"""),"Het Stadsmus Hasselt")</f>
        <v>Het Stadsmus Hasselt</v>
      </c>
      <c r="B96" s="22" t="str">
        <f>IFERROR(__xludf.DUMMYFUNCTION("""COMPUTED_VALUE"""),"Sint-Pietersabdij Gent")</f>
        <v>Sint-Pietersabdij Gent</v>
      </c>
    </row>
    <row r="97">
      <c r="A97" s="22" t="str">
        <f>IFERROR(__xludf.DUMMYFUNCTION("""COMPUTED_VALUE"""),"Jenevermuseum")</f>
        <v>Jenevermuseum</v>
      </c>
      <c r="B97" s="22" t="str">
        <f>IFERROR(__xludf.DUMMYFUNCTION("""COMPUTED_VALUE"""),"S.M.A.K.")</f>
        <v>S.M.A.K.</v>
      </c>
    </row>
    <row r="98">
      <c r="A98" s="22" t="str">
        <f>IFERROR(__xludf.DUMMYFUNCTION("""COMPUTED_VALUE"""),"LABIOMISTA")</f>
        <v>LABIOMISTA</v>
      </c>
      <c r="B98" s="22" t="str">
        <f>IFERROR(__xludf.DUMMYFUNCTION("""COMPUTED_VALUE"""),"STAM | Stadsmuseum Gent")</f>
        <v>STAM | Stadsmuseum Gent</v>
      </c>
    </row>
    <row r="99">
      <c r="A99" s="22" t="str">
        <f>IFERROR(__xludf.DUMMYFUNCTION("""COMPUTED_VALUE"""),"Liberation Garden Leopoldsburg")</f>
        <v>Liberation Garden Leopoldsburg</v>
      </c>
    </row>
    <row r="100">
      <c r="A100" s="22" t="str">
        <f>IFERROR(__xludf.DUMMYFUNCTION("""COMPUTED_VALUE"""),"Modemuseum Hasselt")</f>
        <v>Modemuseum Hasselt</v>
      </c>
    </row>
    <row r="101">
      <c r="A101" s="22" t="str">
        <f>IFERROR(__xludf.DUMMYFUNCTION("""COMPUTED_VALUE"""),"Openluchtmuseum Bokrijk")</f>
        <v>Openluchtmuseum Bokrijk</v>
      </c>
    </row>
    <row r="102">
      <c r="A102" s="22" t="str">
        <f>IFERROR(__xludf.DUMMYFUNCTION("""COMPUTED_VALUE"""),"RAM | Regionaal Archeologisch Museum")</f>
        <v>RAM | Regionaal Archeologisch Museum</v>
      </c>
    </row>
    <row r="103">
      <c r="A103" s="22" t="str">
        <f>IFERROR(__xludf.DUMMYFUNCTION("""COMPUTED_VALUE"""),"Z33 | Huis voor Actuele Kunst, Design &amp; Architectuur")</f>
        <v>Z33 | Huis voor Actuele Kunst, Design &amp; Architectuur</v>
      </c>
    </row>
    <row r="104">
      <c r="A104" s="22" t="str">
        <f>IFERROR(__xludf.DUMMYFUNCTION("""COMPUTED_VALUE"""),"Abdij van Stavelot")</f>
        <v>Abdij van Stavelot</v>
      </c>
    </row>
    <row r="105">
      <c r="A105" s="22" t="str">
        <f>IFERROR(__xludf.DUMMYFUNCTION("""COMPUTED_VALUE"""),"Aquarium-Museum van Luik")</f>
        <v>Aquarium-Museum van Luik</v>
      </c>
    </row>
    <row r="106">
      <c r="A106" s="22" t="str">
        <f>IFERROR(__xludf.DUMMYFUNCTION("""COMPUTED_VALUE"""),"Archeoforum van Luik")</f>
        <v>Archeoforum van Luik</v>
      </c>
    </row>
    <row r="107">
      <c r="A107" s="22" t="str">
        <f>IFERROR(__xludf.DUMMYFUNCTION("""COMPUTED_VALUE"""),"Museum voor Hedendaagse Kunst")</f>
        <v>Museum voor Hedendaagse Kunst</v>
      </c>
    </row>
    <row r="108">
      <c r="A108" s="22" t="str">
        <f>IFERROR(__xludf.DUMMYFUNCTION("""COMPUTED_VALUE"""),"La Boverie")</f>
        <v>La Boverie</v>
      </c>
    </row>
    <row r="109">
      <c r="A109" s="22" t="str">
        <f>IFERROR(__xludf.DUMMYFUNCTION("""COMPUTED_VALUE"""),"Le Grand Curtius")</f>
        <v>Le Grand Curtius</v>
      </c>
    </row>
    <row r="110">
      <c r="A110" s="22" t="str">
        <f>IFERROR(__xludf.DUMMYFUNCTION("""COMPUTED_VALUE"""),"Bos en Watermuseum “P. Noé”")</f>
        <v>Bos en Watermuseum “P. Noé”</v>
      </c>
    </row>
    <row r="111">
      <c r="A111" s="22" t="str">
        <f>IFERROR(__xludf.DUMMYFUNCTION("""COMPUTED_VALUE"""),"Museum van de wastechniek")</f>
        <v>Museum van de wastechniek</v>
      </c>
    </row>
    <row r="112">
      <c r="A112" s="22" t="str">
        <f>IFERROR(__xludf.DUMMYFUNCTION("""COMPUTED_VALUE"""),"Huis van de Metallurgie en Industrie van Luik")</f>
        <v>Huis van de Metallurgie en Industrie van Luik</v>
      </c>
    </row>
    <row r="113">
      <c r="A113" s="22" t="str">
        <f>IFERROR(__xludf.DUMMYFUNCTION("""COMPUTED_VALUE"""),"Pottenbakkerijmuseum Raeren")</f>
        <v>Pottenbakkerijmuseum Raeren</v>
      </c>
    </row>
    <row r="114">
      <c r="A114" s="22" t="str">
        <f>IFERROR(__xludf.DUMMYFUNCTION("""COMPUTED_VALUE"""),"Museum van het Waalse Leven")</f>
        <v>Museum van het Waalse Leven</v>
      </c>
    </row>
    <row r="115">
      <c r="A115" s="22" t="str">
        <f>IFERROR(__xludf.DUMMYFUNCTION("""COMPUTED_VALUE"""),"Musea van de Kuurstad")</f>
        <v>Musea van de Kuurstad</v>
      </c>
    </row>
    <row r="116">
      <c r="A116" s="22" t="str">
        <f>IFERROR(__xludf.DUMMYFUNCTION("""COMPUTED_VALUE"""),"Stadsmuseum Eupen")</f>
        <v>Stadsmuseum Eupen</v>
      </c>
    </row>
    <row r="117">
      <c r="A117" s="22" t="str">
        <f>IFERROR(__xludf.DUMMYFUNCTION("""COMPUTED_VALUE"""),"Musea van Verviers")</f>
        <v>Musea van Verviers</v>
      </c>
    </row>
    <row r="118">
      <c r="A118" s="22" t="str">
        <f>IFERROR(__xludf.DUMMYFUNCTION("""COMPUTED_VALUE"""),"Museum Vieille Montagne")</f>
        <v>Museum Vieille Montagne</v>
      </c>
    </row>
    <row r="119">
      <c r="A119" s="22" t="str">
        <f>IFERROR(__xludf.DUMMYFUNCTION("""COMPUTED_VALUE"""),"Préhistomuseum")</f>
        <v>Préhistomuseum</v>
      </c>
    </row>
    <row r="120">
      <c r="A120" s="22" t="str">
        <f>IFERROR(__xludf.DUMMYFUNCTION("""COMPUTED_VALUE"""),"Trinkhall museum")</f>
        <v>Trinkhall museum</v>
      </c>
    </row>
    <row r="121">
      <c r="A121" s="22" t="str">
        <f>IFERROR(__xludf.DUMMYFUNCTION("""COMPUTED_VALUE"""),"Artotheek ")</f>
        <v>Artotheek </v>
      </c>
    </row>
    <row r="122">
      <c r="A122" s="22" t="str">
        <f>IFERROR(__xludf.DUMMYFUNCTION("""COMPUTED_VALUE"""),"Belfort van Bergen")</f>
        <v>Belfort van Bergen</v>
      </c>
    </row>
    <row r="123">
      <c r="A123" s="22" t="str">
        <f>IFERROR(__xludf.DUMMYFUNCTION("""COMPUTED_VALUE"""),"Museum van Mijnbouw en Duurzame Ontwikkeling")</f>
        <v>Museum van Mijnbouw en Duurzame Ontwikkeling</v>
      </c>
    </row>
    <row r="124">
      <c r="A124" s="22" t="str">
        <f>IFERROR(__xludf.DUMMYFUNCTION("""COMPUTED_VALUE"""),"Museum voor kunst van de Provincie Henegouwen")</f>
        <v>Museum voor kunst van de Provincie Henegouwen</v>
      </c>
    </row>
    <row r="125">
      <c r="A125" s="22" t="str">
        <f>IFERROR(__xludf.DUMMYFUNCTION("""COMPUTED_VALUE"""),"CAP/museum voor Schone Kunsten van Bergen")</f>
        <v>CAP/museum voor Schone Kunsten van Bergen</v>
      </c>
    </row>
    <row r="126">
      <c r="A126" s="22" t="str">
        <f>IFERROR(__xludf.DUMMYFUNCTION("""COMPUTED_VALUE"""),"CAP/het Collectiehuis")</f>
        <v>CAP/het Collectiehuis</v>
      </c>
    </row>
    <row r="127">
      <c r="A127" s="22" t="str">
        <f>IFERROR(__xludf.DUMMYFUNCTION("""COMPUTED_VALUE"""),"Centre Daily-Bul &amp; C° ")</f>
        <v>Centre Daily-Bul &amp; C° </v>
      </c>
    </row>
    <row r="128">
      <c r="A128" s="22" t="str">
        <f>IFERROR(__xludf.DUMMYFUNCTION("""COMPUTED_VALUE"""),"Wetenschappelijk Cultuurcentrum - ULB")</f>
        <v>Wetenschappelijk Cultuurcentrum - ULB</v>
      </c>
    </row>
    <row r="129">
      <c r="A129" s="22" t="str">
        <f>IFERROR(__xludf.DUMMYFUNCTION("""COMPUTED_VALUE"""),"Centre de la Gravure et de l’Image imprimée ")</f>
        <v>Centre de la Gravure et de l’Image imprimée </v>
      </c>
    </row>
    <row r="130">
      <c r="A130" s="22" t="str">
        <f>IFERROR(__xludf.DUMMYFUNCTION("""COMPUTED_VALUE"""),"Centrum voor Innovatie en Design van Grand-Hornu")</f>
        <v>Centrum voor Innovatie en Design van Grand-Hornu</v>
      </c>
    </row>
    <row r="131">
      <c r="A131" s="22" t="str">
        <f>IFERROR(__xludf.DUMMYFUNCTION("""COMPUTED_VALUE"""),"Domein van het Kasteel van Seneffe")</f>
        <v>Domein van het Kasteel van Seneffe</v>
      </c>
    </row>
    <row r="132">
      <c r="A132" s="22" t="str">
        <f>IFERROR(__xludf.DUMMYFUNCTION("""COMPUTED_VALUE"""),"Gallo-Romeins Museum van Aat")</f>
        <v>Gallo-Romeins Museum van Aat</v>
      </c>
    </row>
    <row r="133">
      <c r="A133" s="22" t="str">
        <f>IFERROR(__xludf.DUMMYFUNCTION("""COMPUTED_VALUE"""),"Hospitaal Onze-Lieve-Vrouw met de Roos")</f>
        <v>Hospitaal Onze-Lieve-Vrouw met de Roos</v>
      </c>
    </row>
    <row r="134">
      <c r="A134" s="22" t="str">
        <f>IFERROR(__xludf.DUMMYFUNCTION("""COMPUTED_VALUE"""),"Keramis - Centrum van de Keramiek")</f>
        <v>Keramis - Centrum van de Keramiek</v>
      </c>
    </row>
    <row r="135">
      <c r="A135" s="22" t="str">
        <f>IFERROR(__xludf.DUMMYFUNCTION("""COMPUTED_VALUE"""),"Het Reuzenhuis")</f>
        <v>Het Reuzenhuis</v>
      </c>
    </row>
    <row r="136">
      <c r="A136" s="22" t="str">
        <f>IFERROR(__xludf.DUMMYFUNCTION("""COMPUTED_VALUE"""),"Het Huis Van Gogh")</f>
        <v>Het Huis Van Gogh</v>
      </c>
    </row>
    <row r="137">
      <c r="A137" s="22" t="str">
        <f>IFERROR(__xludf.DUMMYFUNCTION("""COMPUTED_VALUE"""),"Le Bois du Cazier ")</f>
        <v>Le Bois du Cazier </v>
      </c>
    </row>
    <row r="138">
      <c r="A138" s="22" t="str">
        <f>IFERROR(__xludf.DUMMYFUNCTION("""COMPUTED_VALUE"""),"MACS | Museum voor Hedendaagse Kunsten Grand-Hornu")</f>
        <v>MACS | Museum voor Hedendaagse Kunsten Grand-Hornu</v>
      </c>
    </row>
    <row r="139">
      <c r="A139" s="22" t="str">
        <f>IFERROR(__xludf.DUMMYFUNCTION("""COMPUTED_VALUE"""),"Maison de l’Imprimerie ")</f>
        <v>Maison de l’Imprimerie </v>
      </c>
    </row>
    <row r="140">
      <c r="A140" s="22" t="str">
        <f>IFERROR(__xludf.DUMMYFUNCTION("""COMPUTED_VALUE"""),"Maison Losseau ")</f>
        <v>Maison Losseau </v>
      </c>
    </row>
    <row r="141">
      <c r="A141" s="22" t="str">
        <f>IFERROR(__xludf.DUMMYFUNCTION("""COMPUTED_VALUE"""),"Mons Memorial Museum ")</f>
        <v>Mons Memorial Museum </v>
      </c>
    </row>
    <row r="142">
      <c r="A142" s="22" t="str">
        <f>IFERROR(__xludf.DUMMYFUNCTION("""COMPUTED_VALUE"""),"MUMONS ")</f>
        <v>MUMONS </v>
      </c>
    </row>
    <row r="143">
      <c r="A143" s="22" t="str">
        <f>IFERROR(__xludf.DUMMYFUNCTION("""COMPUTED_VALUE"""),"Mundaneum ")</f>
        <v>Mundaneum </v>
      </c>
    </row>
    <row r="144">
      <c r="A144" s="22" t="str">
        <f>IFERROR(__xludf.DUMMYFUNCTION("""COMPUTED_VALUE"""),"Archeologiemuseum")</f>
        <v>Archeologiemuseum</v>
      </c>
    </row>
    <row r="145">
      <c r="A145" s="22" t="str">
        <f>IFERROR(__xludf.DUMMYFUNCTION("""COMPUTED_VALUE"""),"Folkloremuseum")</f>
        <v>Folkloremuseum</v>
      </c>
    </row>
    <row r="146">
      <c r="A146" s="22" t="str">
        <f>IFERROR(__xludf.DUMMYFUNCTION("""COMPUTED_VALUE"""),"Fotografiemuseum")</f>
        <v>Fotografiemuseum</v>
      </c>
    </row>
    <row r="147">
      <c r="A147" s="22" t="str">
        <f>IFERROR(__xludf.DUMMYFUNCTION("""COMPUTED_VALUE"""),"Lintweverijmuseum van Komen")</f>
        <v>Lintweverijmuseum van Komen</v>
      </c>
    </row>
    <row r="148">
      <c r="A148" s="22" t="str">
        <f>IFERROR(__xludf.DUMMYFUNCTION("""COMPUTED_VALUE"""),"Musée des arts de la Marionnette ")</f>
        <v>Musée des arts de la Marionnette </v>
      </c>
    </row>
    <row r="149">
      <c r="A149" s="22" t="str">
        <f>IFERROR(__xludf.DUMMYFUNCTION("""COMPUTED_VALUE"""),"Museum voor Schone Kunsten van Doornik")</f>
        <v>Museum voor Schone Kunsten van Doornik</v>
      </c>
    </row>
    <row r="150">
      <c r="A150" s="22" t="str">
        <f>IFERROR(__xludf.DUMMYFUNCTION("""COMPUTED_VALUE"""),"Museum voor militaire geschiedenis")</f>
        <v>Museum voor militaire geschiedenis</v>
      </c>
    </row>
    <row r="151">
      <c r="A151" s="22" t="str">
        <f>IFERROR(__xludf.DUMMYFUNCTION("""COMPUTED_VALUE"""),"Natuurhistorisch Museum en Vivarium")</f>
        <v>Natuurhistorisch Museum en Vivarium</v>
      </c>
    </row>
    <row r="152">
      <c r="A152" s="22" t="str">
        <f>IFERROR(__xludf.DUMMYFUNCTION("""COMPUTED_VALUE"""),"Doudoumuseum")</f>
        <v>Doudoumuseum</v>
      </c>
    </row>
    <row r="153">
      <c r="A153" s="22" t="str">
        <f>IFERROR(__xludf.DUMMYFUNCTION("""COMPUTED_VALUE"""),"Internationaal Museum van het Carnaval en het Masker")</f>
        <v>Internationaal Museum van het Carnaval en het Masker</v>
      </c>
    </row>
    <row r="154">
      <c r="A154" s="22" t="str">
        <f>IFERROR(__xludf.DUMMYFUNCTION("""COMPUTED_VALUE"""),"Koninklijk Museum van Mariemont")</f>
        <v>Koninklijk Museum van Mariemont</v>
      </c>
    </row>
    <row r="155">
      <c r="A155" s="22" t="str">
        <f>IFERROR(__xludf.DUMMYFUNCTION("""COMPUTED_VALUE"""),"Plugstreet 14-18 experience ")</f>
        <v>Plugstreet 14-18 experience </v>
      </c>
    </row>
    <row r="156">
      <c r="A156" s="22" t="str">
        <f>IFERROR(__xludf.DUMMYFUNCTION("""COMPUTED_VALUE"""),"Silex’s ")</f>
        <v>Silex’s </v>
      </c>
    </row>
    <row r="157">
      <c r="A157" s="22" t="str">
        <f>IFERROR(__xludf.DUMMYFUNCTION("""COMPUTED_VALUE"""),"TAMAT | Museum voor Wandtapijten en Textielkunsten van de Federatie Wallonië-Brussel")</f>
        <v>TAMAT | Museum voor Wandtapijten en Textielkunsten van de Federatie Wallonië-Brussel</v>
      </c>
    </row>
    <row r="158">
      <c r="A158" s="22" t="str">
        <f>IFERROR(__xludf.DUMMYFUNCTION("""COMPUTED_VALUE"""),"DHAM | Durbuy History &amp; Art Museum")</f>
        <v>DHAM | Durbuy History &amp; Art Museum</v>
      </c>
    </row>
    <row r="159">
      <c r="A159" s="22" t="str">
        <f>IFERROR(__xludf.DUMMYFUNCTION("""COMPUTED_VALUE"""),"FAM | Famenne &amp; Art Museum")</f>
        <v>FAM | Famenne &amp; Art Museum</v>
      </c>
    </row>
    <row r="160">
      <c r="A160" s="22" t="str">
        <f>IFERROR(__xludf.DUMMYFUNCTION("""COMPUTED_VALUE"""),"Megalietenhuis")</f>
        <v>Megalietenhuis</v>
      </c>
    </row>
    <row r="161">
      <c r="A161" s="22" t="str">
        <f>IFERROR(__xludf.DUMMYFUNCTION("""COMPUTED_VALUE"""),"Mudia")</f>
        <v>Mudia</v>
      </c>
    </row>
    <row r="162">
      <c r="A162" s="22" t="str">
        <f>IFERROR(__xludf.DUMMYFUNCTION("""COMPUTED_VALUE"""),"Archeologisch Museum van Aarlen")</f>
        <v>Archeologisch Museum van Aarlen</v>
      </c>
    </row>
    <row r="163">
      <c r="A163" s="22" t="str">
        <f>IFERROR(__xludf.DUMMYFUNCTION("""COMPUTED_VALUE"""),"Gaspar Museum")</f>
        <v>Gaspar Museum</v>
      </c>
    </row>
    <row r="164">
      <c r="A164" s="22" t="str">
        <f>IFERROR(__xludf.DUMMYFUNCTION("""COMPUTED_VALUE"""),"Het Gaume Museum")</f>
        <v>Het Gaume Museum</v>
      </c>
    </row>
    <row r="165">
      <c r="A165" s="22" t="str">
        <f>IFERROR(__xludf.DUMMYFUNCTION("""COMPUTED_VALUE"""),"Museum van de Grote Ardennen")</f>
        <v>Museum van de Grote Ardennen</v>
      </c>
    </row>
    <row r="166">
      <c r="A166" s="22" t="str">
        <f>IFERROR(__xludf.DUMMYFUNCTION("""COMPUTED_VALUE"""),"ARGOS | centre for audiovisual arts")</f>
        <v>ARGOS | centre for audiovisual arts</v>
      </c>
    </row>
    <row r="167">
      <c r="A167" s="22" t="str">
        <f>IFERROR(__xludf.DUMMYFUNCTION("""COMPUTED_VALUE"""),"Autoworld Brussels")</f>
        <v>Autoworld Brussels</v>
      </c>
    </row>
    <row r="168">
      <c r="A168" s="22" t="str">
        <f>IFERROR(__xludf.DUMMYFUNCTION("""COMPUTED_VALUE"""),"Paleis voor Schone Kunsten")</f>
        <v>Paleis voor Schone Kunsten</v>
      </c>
    </row>
    <row r="169">
      <c r="A169" s="22" t="str">
        <f>IFERROR(__xludf.DUMMYFUNCTION("""COMPUTED_VALUE"""),"CENTRALE for contemporary art")</f>
        <v>CENTRALE for contemporary art</v>
      </c>
    </row>
    <row r="170">
      <c r="A170" s="22" t="str">
        <f>IFERROR(__xludf.DUMMYFUNCTION("""COMPUTED_VALUE"""),"CIVA")</f>
        <v>CIVA</v>
      </c>
    </row>
    <row r="171">
      <c r="A171" s="22" t="str">
        <f>IFERROR(__xludf.DUMMYFUNCTION("""COMPUTED_VALUE"""),"Design Museum Brussels")</f>
        <v>Design Museum Brussels</v>
      </c>
    </row>
    <row r="172">
      <c r="A172" s="22" t="str">
        <f>IFERROR(__xludf.DUMMYFUNCTION("""COMPUTED_VALUE"""),"Fondation A Stichting")</f>
        <v>Fondation A Stichting</v>
      </c>
    </row>
    <row r="173">
      <c r="A173" s="22" t="str">
        <f>IFERROR(__xludf.DUMMYFUNCTION("""COMPUTED_VALUE"""),"Villa Empain - Stichting Boghossian")</f>
        <v>Villa Empain - Stichting Boghossian</v>
      </c>
    </row>
    <row r="174">
      <c r="A174" s="22" t="str">
        <f>IFERROR(__xludf.DUMMYFUNCTION("""COMPUTED_VALUE"""),"Brel Stichting")</f>
        <v>Brel Stichting</v>
      </c>
    </row>
    <row r="175">
      <c r="A175" s="22" t="str">
        <f>IFERROR(__xludf.DUMMYFUNCTION("""COMPUTED_VALUE"""),"Fondation CAB")</f>
        <v>Fondation CAB</v>
      </c>
    </row>
    <row r="176">
      <c r="A176" s="22" t="str">
        <f>IFERROR(__xludf.DUMMYFUNCTION("""COMPUTED_VALUE"""),"GardeRobe MannekenPis")</f>
        <v>GardeRobe MannekenPis</v>
      </c>
    </row>
    <row r="177">
      <c r="A177" s="22" t="str">
        <f>IFERROR(__xludf.DUMMYFUNCTION("""COMPUTED_VALUE"""),"KANAL | Centre Pompidou")</f>
        <v>KANAL | Centre Pompidou</v>
      </c>
    </row>
    <row r="178">
      <c r="A178" s="22" t="str">
        <f>IFERROR(__xludf.DUMMYFUNCTION("""COMPUTED_VALUE"""),"KBR museum")</f>
        <v>KBR museum</v>
      </c>
    </row>
    <row r="179">
      <c r="A179" s="22" t="str">
        <f>IFERROR(__xludf.DUMMYFUNCTION("""COMPUTED_VALUE"""),"LAB·AN x Hotel van Eetvelde")</f>
        <v>LAB·AN x Hotel van Eetvelde</v>
      </c>
    </row>
    <row r="180">
      <c r="A180" s="22" t="str">
        <f>IFERROR(__xludf.DUMMYFUNCTION("""COMPUTED_VALUE"""),"Het Autrique Huis")</f>
        <v>Het Autrique Huis</v>
      </c>
    </row>
    <row r="181">
      <c r="A181" s="22" t="str">
        <f>IFERROR(__xludf.DUMMYFUNCTION("""COMPUTED_VALUE"""),"Erasmushuis &amp; Begijnhof")</f>
        <v>Erasmushuis &amp; Begijnhof</v>
      </c>
    </row>
    <row r="182">
      <c r="A182" s="22" t="str">
        <f>IFERROR(__xludf.DUMMYFUNCTION("""COMPUTED_VALUE"""),"Maison Hannon")</f>
        <v>Maison Hannon</v>
      </c>
    </row>
    <row r="183">
      <c r="A183" s="22" t="str">
        <f>IFERROR(__xludf.DUMMYFUNCTION("""COMPUTED_VALUE"""),"MigratieMuseum")</f>
        <v>MigratieMuseum</v>
      </c>
    </row>
    <row r="184">
      <c r="A184" s="22" t="str">
        <f>IFERROR(__xludf.DUMMYFUNCTION("""COMPUTED_VALUE"""),"muziekinstrumentenmuseum")</f>
        <v>muziekinstrumentenmuseum</v>
      </c>
    </row>
    <row r="185">
      <c r="A185" s="22" t="str">
        <f>IFERROR(__xludf.DUMMYFUNCTION("""COMPUTED_VALUE"""),"Museum Kunst &amp; Geschiedenis")</f>
        <v>Museum Kunst &amp; Geschiedenis</v>
      </c>
    </row>
    <row r="186">
      <c r="A186" s="22" t="str">
        <f>IFERROR(__xludf.DUMMYFUNCTION("""COMPUTED_VALUE"""),"Belgisch Museum van de Vrijmetselarij")</f>
        <v>Belgisch Museum van de Vrijmetselarij</v>
      </c>
    </row>
    <row r="187">
      <c r="A187" s="22" t="str">
        <f>IFERROR(__xludf.DUMMYFUNCTION("""COMPUTED_VALUE"""),"BELvue museum")</f>
        <v>BELvue museum</v>
      </c>
    </row>
    <row r="188">
      <c r="A188" s="22" t="str">
        <f>IFERROR(__xludf.DUMMYFUNCTION("""COMPUTED_VALUE"""),"Brussels Museum van de Molen en de Voeding")</f>
        <v>Brussels Museum van de Molen en de Voeding</v>
      </c>
    </row>
    <row r="189">
      <c r="A189" s="22" t="str">
        <f>IFERROR(__xludf.DUMMYFUNCTION("""COMPUTED_VALUE"""),"Charlier Museum")</f>
        <v>Charlier Museum</v>
      </c>
    </row>
    <row r="190">
      <c r="A190" s="22" t="str">
        <f>IFERROR(__xludf.DUMMYFUNCTION("""COMPUTED_VALUE"""),"Museum voor Spontane Kunst")</f>
        <v>Museum voor Spontane Kunst</v>
      </c>
    </row>
    <row r="191">
      <c r="A191" s="22" t="str">
        <f>IFERROR(__xludf.DUMMYFUNCTION("""COMPUTED_VALUE"""),"Riolenmuseum")</f>
        <v>Riolenmuseum</v>
      </c>
    </row>
    <row r="192">
      <c r="A192" s="22" t="str">
        <f>IFERROR(__xludf.DUMMYFUNCTION("""COMPUTED_VALUE"""),"Stripmuseum Brussel")</f>
        <v>Stripmuseum Brussel</v>
      </c>
    </row>
    <row r="193">
      <c r="A193" s="22" t="str">
        <f>IFERROR(__xludf.DUMMYFUNCTION("""COMPUTED_VALUE"""),"Museum van de Stad Brussel - Broodhuis")</f>
        <v>Museum van de Stad Brussel - Broodhuis</v>
      </c>
    </row>
    <row r="194">
      <c r="A194" s="22" t="str">
        <f>IFERROR(__xludf.DUMMYFUNCTION("""COMPUTED_VALUE"""),"Museum en Tuinen van Buuren")</f>
        <v>Museum en Tuinen van Buuren</v>
      </c>
    </row>
    <row r="195">
      <c r="A195" s="22" t="str">
        <f>IFERROR(__xludf.DUMMYFUNCTION("""COMPUTED_VALUE"""),"Hortamuseum")</f>
        <v>Hortamuseum</v>
      </c>
    </row>
    <row r="196">
      <c r="A196" s="22" t="str">
        <f>IFERROR(__xludf.DUMMYFUNCTION("""COMPUTED_VALUE"""),"Mode &amp; Kant Museum")</f>
        <v>Mode &amp; Kant Museum</v>
      </c>
    </row>
    <row r="197">
      <c r="A197" s="22" t="str">
        <f>IFERROR(__xludf.DUMMYFUNCTION("""COMPUTED_VALUE"""),"René Magritte Museum &amp; Museum voor abstracte kuns")</f>
        <v>René Magritte Museum &amp; Museum voor abstracte kuns</v>
      </c>
    </row>
    <row r="198">
      <c r="A198" s="22" t="str">
        <f>IFERROR(__xludf.DUMMYFUNCTION("""COMPUTED_VALUE"""),"Koninklijk Museum van het Leger en de Krijgsgeschiedenis")</f>
        <v>Koninklijk Museum van het Leger en de Krijgsgeschiedenis</v>
      </c>
    </row>
    <row r="199">
      <c r="A199" s="22" t="str">
        <f>IFERROR(__xludf.DUMMYFUNCTION("""COMPUTED_VALUE"""),"Coudenbergpaleis")</f>
        <v>Coudenbergpaleis</v>
      </c>
    </row>
    <row r="200">
      <c r="A200" s="22" t="str">
        <f>IFERROR(__xludf.DUMMYFUNCTION("""COMPUTED_VALUE"""),"Planetarium Brussel")</f>
        <v>Planetarium Brussel</v>
      </c>
    </row>
    <row r="201">
      <c r="A201" s="22" t="str">
        <f>IFERROR(__xludf.DUMMYFUNCTION("""COMPUTED_VALUE"""),"Hallepoort")</f>
        <v>Hallepoort</v>
      </c>
    </row>
    <row r="202">
      <c r="A202" s="22" t="str">
        <f>IFERROR(__xludf.DUMMYFUNCTION("""COMPUTED_VALUE"""),"Centrum voor Hedendaagse Kunst")</f>
        <v>Centrum voor Hedendaagse Kunst</v>
      </c>
    </row>
    <row r="203">
      <c r="A203" s="22" t="str">
        <f>IFERROR(__xludf.DUMMYFUNCTION("""COMPUTED_VALUE"""),"Wittockiana")</f>
        <v>Wittockiana</v>
      </c>
    </row>
    <row r="204">
      <c r="A204" s="22" t="str">
        <f>IFERROR(__xludf.DUMMYFUNCTION("""COMPUTED_VALUE"""),"Amsab-Instituut voor Sociale Geschiedenis")</f>
        <v>Amsab-Instituut voor Sociale Geschiedenis</v>
      </c>
    </row>
    <row r="205">
      <c r="A205" s="22" t="str">
        <f>IFERROR(__xludf.DUMMYFUNCTION("""COMPUTED_VALUE"""),"Curiosum | Een huis vol herinnering")</f>
        <v>Curiosum | Een huis vol herinnering</v>
      </c>
    </row>
    <row r="206">
      <c r="A206" s="22" t="str">
        <f>IFERROR(__xludf.DUMMYFUNCTION("""COMPUTED_VALUE"""),"Design Museum Gent")</f>
        <v>Design Museum Gent</v>
      </c>
    </row>
    <row r="207">
      <c r="A207" s="22" t="str">
        <f>IFERROR(__xludf.DUMMYFUNCTION("""COMPUTED_VALUE"""),"GUM | Gents Universiteitsmuseum")</f>
        <v>GUM | Gents Universiteitsmuseum</v>
      </c>
    </row>
    <row r="208">
      <c r="A208" s="22" t="str">
        <f>IFERROR(__xludf.DUMMYFUNCTION("""COMPUTED_VALUE"""),"Herbert Foundation")</f>
        <v>Herbert Foundation</v>
      </c>
    </row>
    <row r="209">
      <c r="A209" s="22" t="str">
        <f>IFERROR(__xludf.DUMMYFUNCTION("""COMPUTED_VALUE"""),"Huis van Alijn")</f>
        <v>Huis van Alijn</v>
      </c>
    </row>
    <row r="210">
      <c r="A210" s="22" t="str">
        <f>IFERROR(__xludf.DUMMYFUNCTION("""COMPUTED_VALUE"""),"Mercatormuseum")</f>
        <v>Mercatormuseum</v>
      </c>
    </row>
    <row r="211">
      <c r="A211" s="22" t="str">
        <f>IFERROR(__xludf.DUMMYFUNCTION("""COMPUTED_VALUE"""),"MOU | Museum Oudenaarde")</f>
        <v>MOU | Museum Oudenaarde</v>
      </c>
    </row>
    <row r="212">
      <c r="A212" s="22" t="str">
        <f>IFERROR(__xludf.DUMMYFUNCTION("""COMPUTED_VALUE"""),"MSK | Museum voor Schone Kunsten Gent")</f>
        <v>MSK | Museum voor Schone Kunsten Gent</v>
      </c>
    </row>
    <row r="213">
      <c r="A213" s="22" t="str">
        <f>IFERROR(__xludf.DUMMYFUNCTION("""COMPUTED_VALUE"""),"mudel | Museum van Deinze en de Leiestreek")</f>
        <v>mudel | Museum van Deinze en de Leiestreek</v>
      </c>
    </row>
    <row r="214">
      <c r="A214" s="22" t="str">
        <f>IFERROR(__xludf.DUMMYFUNCTION("""COMPUTED_VALUE"""),"Museum Dhondt-Dhaenens")</f>
        <v>Museum Dhondt-Dhaenens</v>
      </c>
    </row>
    <row r="215">
      <c r="A215" s="22" t="str">
        <f>IFERROR(__xludf.DUMMYFUNCTION("""COMPUTED_VALUE"""),"Museum Dr. Guislain")</f>
        <v>Museum Dr. Guislain</v>
      </c>
    </row>
    <row r="216">
      <c r="A216" s="22" t="str">
        <f>IFERROR(__xludf.DUMMYFUNCTION("""COMPUTED_VALUE"""),"Gemeentelijk museum Gevaert-Minne")</f>
        <v>Gemeentelijk museum Gevaert-Minne</v>
      </c>
    </row>
    <row r="217">
      <c r="A217" s="22" t="str">
        <f>IFERROR(__xludf.DUMMYFUNCTION("""COMPUTED_VALUE"""),"Gemeentelijk museum Gust De Smet")</f>
        <v>Gemeentelijk museum Gust De Smet</v>
      </c>
    </row>
    <row r="218">
      <c r="A218" s="22" t="str">
        <f>IFERROR(__xludf.DUMMYFUNCTION("""COMPUTED_VALUE"""),"Provinciale Erfgoedsite Ename")</f>
        <v>Provinciale Erfgoedsite Ename</v>
      </c>
    </row>
    <row r="219">
      <c r="A219" s="22" t="str">
        <f>IFERROR(__xludf.DUMMYFUNCTION("""COMPUTED_VALUE"""),"Roger Raveelmuseum")</f>
        <v>Roger Raveelmuseum</v>
      </c>
    </row>
    <row r="220">
      <c r="A220" s="22" t="str">
        <f>IFERROR(__xludf.DUMMYFUNCTION("""COMPUTED_VALUE"""),"Sint-Pietersabdij Gent")</f>
        <v>Sint-Pietersabdij Gent</v>
      </c>
    </row>
    <row r="221">
      <c r="A221" s="22" t="str">
        <f>IFERROR(__xludf.DUMMYFUNCTION("""COMPUTED_VALUE"""),"S.M.A.K.")</f>
        <v>S.M.A.K.</v>
      </c>
    </row>
    <row r="222">
      <c r="A222" s="22" t="str">
        <f>IFERROR(__xludf.DUMMYFUNCTION("""COMPUTED_VALUE"""),"STAM | Stadsmuseum Gent")</f>
        <v>STAM | Stadsmuseum Gent</v>
      </c>
    </row>
    <row r="226">
      <c r="A226" s="72" t="s">
        <v>12</v>
      </c>
      <c r="B226" s="72" t="s">
        <v>13</v>
      </c>
      <c r="C226" s="72" t="s">
        <v>15</v>
      </c>
      <c r="D226" s="72" t="s">
        <v>14</v>
      </c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</row>
    <row r="227">
      <c r="A227" s="22">
        <f t="shared" ref="A227:D227" si="1">COUNTA(A$2:A$222)</f>
        <v>221</v>
      </c>
      <c r="B227" s="22">
        <f t="shared" si="1"/>
        <v>97</v>
      </c>
      <c r="C227" s="22">
        <f t="shared" si="1"/>
        <v>75</v>
      </c>
      <c r="D227" s="22">
        <f t="shared" si="1"/>
        <v>68</v>
      </c>
    </row>
    <row r="229">
      <c r="A229" s="22">
        <f>COUNTIF(Blad1!M$59:M$92,"True")</f>
        <v>32</v>
      </c>
      <c r="B229" s="22">
        <f>COUNTIF(Blad1!N$59:N$92,"True")</f>
        <v>17</v>
      </c>
      <c r="C229" s="22">
        <f>COUNTIF(Blad1!O$59:O$92,"True")</f>
        <v>11</v>
      </c>
      <c r="D229" s="22">
        <f>COUNTIF(Blad1!P$59:P$92,"True")</f>
        <v>5</v>
      </c>
      <c r="E229" s="13" t="s">
        <v>599</v>
      </c>
    </row>
    <row r="230">
      <c r="A230" s="22">
        <f>COUNTIF(Blad1!M$239:M$261,"True")</f>
        <v>19</v>
      </c>
      <c r="B230" s="22">
        <f>COUNTIF(Blad1!N$239:N$261,"True")</f>
        <v>8</v>
      </c>
      <c r="C230" s="22">
        <f>COUNTIF(Blad1!O$239:O$261,"True")</f>
        <v>11</v>
      </c>
      <c r="D230" s="22">
        <f>COUNTIF(Blad1!P$239:P$261,"True")</f>
        <v>3</v>
      </c>
      <c r="E230" s="13" t="s">
        <v>602</v>
      </c>
    </row>
  </sheetData>
  <conditionalFormatting sqref="E233">
    <cfRule type="notContainsBlanks" dxfId="0" priority="1">
      <formula>LEN(TRIM(E233))&gt;0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25"/>
    <col customWidth="1" min="2" max="2" width="30.38"/>
    <col customWidth="1" min="3" max="4" width="29.38"/>
    <col customWidth="1" min="5" max="5" width="35.25"/>
    <col customWidth="1" min="7" max="7" width="19.25"/>
    <col customWidth="1" min="9" max="9" width="27.75"/>
    <col customWidth="1" min="11" max="11" width="13.25"/>
    <col customWidth="1" min="15" max="15" width="20.75"/>
    <col customWidth="1" min="17" max="17" width="24.38"/>
    <col customWidth="1" min="19" max="19" width="14.38"/>
    <col customWidth="1" min="20" max="20" width="19.25"/>
    <col customWidth="1" min="35" max="35" width="19.63"/>
  </cols>
  <sheetData>
    <row r="1">
      <c r="A1" s="71" t="s">
        <v>51</v>
      </c>
      <c r="B1" s="20" t="s">
        <v>17</v>
      </c>
      <c r="D1" s="20" t="s">
        <v>603</v>
      </c>
      <c r="E1" s="13" t="s">
        <v>603</v>
      </c>
      <c r="F1" s="20" t="s">
        <v>604</v>
      </c>
      <c r="G1" s="13" t="s">
        <v>605</v>
      </c>
      <c r="H1" s="20" t="s">
        <v>606</v>
      </c>
      <c r="I1" s="13" t="s">
        <v>607</v>
      </c>
      <c r="J1" s="20" t="s">
        <v>608</v>
      </c>
      <c r="K1" s="9" t="s">
        <v>609</v>
      </c>
      <c r="L1" s="9" t="s">
        <v>610</v>
      </c>
      <c r="M1" s="9" t="s">
        <v>611</v>
      </c>
      <c r="N1" s="9" t="s">
        <v>612</v>
      </c>
      <c r="O1" s="9" t="s">
        <v>613</v>
      </c>
      <c r="P1" s="9" t="s">
        <v>614</v>
      </c>
      <c r="Q1" s="9" t="s">
        <v>615</v>
      </c>
      <c r="R1" s="9" t="s">
        <v>616</v>
      </c>
    </row>
    <row r="2">
      <c r="A2" s="16" t="s">
        <v>409</v>
      </c>
      <c r="B2" s="51">
        <v>10.0</v>
      </c>
      <c r="C2" s="17" t="b">
        <v>1</v>
      </c>
      <c r="D2" s="17" t="str">
        <f t="shared" ref="D2:D49" si="1">IF(C2= tRUE, $E$1, "")</f>
        <v>History &amp; Archaeology</v>
      </c>
      <c r="E2" s="22" t="str">
        <f>IFERROR(__xludf.DUMMYFUNCTION("FILTER(Blad1!$Q$2:$R$261,Blad1!$E$2:$E$261 = true, Blad1!C2:C261 = ""Brussel"")"),"AMVB | Archief en Museum voor het Vlaams leven te Brussel")</f>
        <v>AMVB | Archief en Museum voor het Vlaams leven te Brussel</v>
      </c>
      <c r="F2" s="24">
        <f>IFERROR(__xludf.DUMMYFUNCTION("""COMPUTED_VALUE"""),6.0)</f>
        <v>6</v>
      </c>
      <c r="G2" s="22" t="str">
        <f>IFERROR(__xludf.DUMMYFUNCTION("FILTER(Blad1!$Q$2:$R$261,Blad1!$F$2:$F$261 = true, Blad1!C2:C261 = ""Brussel"")"),"Autoworld Brussels")</f>
        <v>Autoworld Brussels</v>
      </c>
      <c r="H2" s="24">
        <f>IFERROR(__xludf.DUMMYFUNCTION("""COMPUTED_VALUE"""),15.0)</f>
        <v>15</v>
      </c>
      <c r="I2" s="22" t="str">
        <f>IFERROR(__xludf.DUMMYFUNCTION("FILTER(Blad1!$Q$2:$R$261,Blad1!$G$2:$G$261 = true, Blad1!C2:C261 = ""Brussel"")"),"Paleis voor Schone Kunsten")</f>
        <v>Paleis voor Schone Kunsten</v>
      </c>
      <c r="J2" s="24">
        <f>IFERROR(__xludf.DUMMYFUNCTION("""COMPUTED_VALUE"""),8.0)</f>
        <v>8</v>
      </c>
      <c r="K2" s="22" t="str">
        <f>IFERROR(__xludf.DUMMYFUNCTION("FILTER(Blad1!$Q$2:$R$261,Blad1!$H$2:$H$261 = true, Blad1!C2:C261 = ""Brussel"")"),"AMVB | Archief en Museum voor het Vlaams leven te Brussel")</f>
        <v>AMVB | Archief en Museum voor het Vlaams leven te Brussel</v>
      </c>
      <c r="L2" s="24">
        <f>IFERROR(__xludf.DUMMYFUNCTION("""COMPUTED_VALUE"""),6.0)</f>
        <v>6</v>
      </c>
      <c r="M2" s="22" t="str">
        <f>IFERROR(__xludf.DUMMYFUNCTION("FILTER(Blad1!$Q$2:$R$261,Blad1!$I$2:$I$261 = true, Blad1!C2:C261 = ""Brussel"")"),"AMVB | Archief en Museum voor het Vlaams leven te Brussel")</f>
        <v>AMVB | Archief en Museum voor het Vlaams leven te Brussel</v>
      </c>
      <c r="N2" s="24">
        <f>IFERROR(__xludf.DUMMYFUNCTION("""COMPUTED_VALUE"""),6.0)</f>
        <v>6</v>
      </c>
      <c r="O2" s="22" t="str">
        <f>IFERROR(__xludf.DUMMYFUNCTION("FILTER(Blad1!$Q$2:$R$261,Blad1!$J$2:$J$261 = true, Blad1!C2:C261 = ""Brussel"")"),"AMVB | Archief en Museum voor het Vlaams leven te Brussel")</f>
        <v>AMVB | Archief en Museum voor het Vlaams leven te Brussel</v>
      </c>
      <c r="P2" s="24">
        <f>IFERROR(__xludf.DUMMYFUNCTION("""COMPUTED_VALUE"""),6.0)</f>
        <v>6</v>
      </c>
      <c r="Q2" s="16" t="str">
        <f>IFERROR(__xludf.DUMMYFUNCTION("FILTER(Blad1!$Q$2:$R$261,Blad1!$K$2:$K$261 = true, Blad1!C2:C261 = ""Brussel"")"),"AMVB | Archief en Museum voor het Vlaams leven te Brussel")</f>
        <v>AMVB | Archief en Museum voor het Vlaams leven te Brussel</v>
      </c>
      <c r="R2" s="24">
        <f>IFERROR(__xludf.DUMMYFUNCTION("""COMPUTED_VALUE"""),6.0)</f>
        <v>6</v>
      </c>
    </row>
    <row r="3">
      <c r="A3" s="16" t="s">
        <v>411</v>
      </c>
      <c r="B3" s="51">
        <v>10.0</v>
      </c>
      <c r="C3" s="17" t="b">
        <v>0</v>
      </c>
      <c r="D3" s="17" t="str">
        <f t="shared" si="1"/>
        <v/>
      </c>
      <c r="E3" s="22" t="str">
        <f>IFERROR(__xludf.DUMMYFUNCTION("""COMPUTED_VALUE"""),"Paleis voor Schone Kunsten")</f>
        <v>Paleis voor Schone Kunsten</v>
      </c>
      <c r="F3" s="24">
        <f>IFERROR(__xludf.DUMMYFUNCTION("""COMPUTED_VALUE"""),8.0)</f>
        <v>8</v>
      </c>
      <c r="G3" s="22" t="str">
        <f>IFERROR(__xludf.DUMMYFUNCTION("""COMPUTED_VALUE"""),"Paleis voor Schone Kunsten")</f>
        <v>Paleis voor Schone Kunsten</v>
      </c>
      <c r="H3" s="24">
        <f>IFERROR(__xludf.DUMMYFUNCTION("""COMPUTED_VALUE"""),8.0)</f>
        <v>8</v>
      </c>
      <c r="I3" s="22" t="str">
        <f>IFERROR(__xludf.DUMMYFUNCTION("""COMPUTED_VALUE"""),"GardeRobe MannekenPis")</f>
        <v>GardeRobe MannekenPis</v>
      </c>
      <c r="J3" s="24">
        <f>IFERROR(__xludf.DUMMYFUNCTION("""COMPUTED_VALUE"""),5.0)</f>
        <v>5</v>
      </c>
      <c r="K3" s="22" t="str">
        <f>IFERROR(__xludf.DUMMYFUNCTION("""COMPUTED_VALUE"""),"KBR museum")</f>
        <v>KBR museum</v>
      </c>
      <c r="L3" s="24">
        <f>IFERROR(__xludf.DUMMYFUNCTION("""COMPUTED_VALUE"""),11.0)</f>
        <v>11</v>
      </c>
      <c r="M3" s="22" t="str">
        <f>IFERROR(__xludf.DUMMYFUNCTION("""COMPUTED_VALUE"""),"Paleis voor Schone Kunsten")</f>
        <v>Paleis voor Schone Kunsten</v>
      </c>
      <c r="N3" s="24">
        <f>IFERROR(__xludf.DUMMYFUNCTION("""COMPUTED_VALUE"""),8.0)</f>
        <v>8</v>
      </c>
      <c r="O3" s="22" t="str">
        <f>IFERROR(__xludf.DUMMYFUNCTION("""COMPUTED_VALUE"""),"ARGOS | centre for audiovisual arts")</f>
        <v>ARGOS | centre for audiovisual arts</v>
      </c>
      <c r="P3" s="24">
        <f>IFERROR(__xludf.DUMMYFUNCTION("""COMPUTED_VALUE"""),10.0)</f>
        <v>10</v>
      </c>
      <c r="Q3" s="22" t="str">
        <f>IFERROR(__xludf.DUMMYFUNCTION("""COMPUTED_VALUE"""),"Art et marges musée museum")</f>
        <v>Art et marges musée museum</v>
      </c>
      <c r="R3" s="24">
        <f>IFERROR(__xludf.DUMMYFUNCTION("""COMPUTED_VALUE"""),6.0)</f>
        <v>6</v>
      </c>
    </row>
    <row r="4">
      <c r="A4" s="16" t="s">
        <v>412</v>
      </c>
      <c r="B4" s="51">
        <v>10.0</v>
      </c>
      <c r="C4" s="17" t="b">
        <v>0</v>
      </c>
      <c r="D4" s="17" t="str">
        <f t="shared" si="1"/>
        <v/>
      </c>
      <c r="E4" s="22" t="str">
        <f>IFERROR(__xludf.DUMMYFUNCTION("""COMPUTED_VALUE"""),"Brel Stichting")</f>
        <v>Brel Stichting</v>
      </c>
      <c r="F4" s="24">
        <f>IFERROR(__xludf.DUMMYFUNCTION("""COMPUTED_VALUE"""),14.0)</f>
        <v>14</v>
      </c>
      <c r="G4" s="22" t="str">
        <f>IFERROR(__xludf.DUMMYFUNCTION("""COMPUTED_VALUE"""),"iMAL")</f>
        <v>iMAL</v>
      </c>
      <c r="H4" s="24">
        <f>IFERROR(__xludf.DUMMYFUNCTION("""COMPUTED_VALUE"""),10.0)</f>
        <v>10</v>
      </c>
      <c r="I4" s="22" t="str">
        <f>IFERROR(__xludf.DUMMYFUNCTION("""COMPUTED_VALUE"""),"Mode &amp; Kant Museum")</f>
        <v>Mode &amp; Kant Museum</v>
      </c>
      <c r="J4" s="24">
        <f>IFERROR(__xludf.DUMMYFUNCTION("""COMPUTED_VALUE"""),10.0)</f>
        <v>10</v>
      </c>
      <c r="K4" s="22" t="str">
        <f>IFERROR(__xludf.DUMMYFUNCTION("""COMPUTED_VALUE"""),"Erasmushuis &amp; Begijnhof")</f>
        <v>Erasmushuis &amp; Begijnhof</v>
      </c>
      <c r="L4" s="24">
        <f>IFERROR(__xludf.DUMMYFUNCTION("""COMPUTED_VALUE"""),5.0)</f>
        <v>5</v>
      </c>
      <c r="M4" s="22" t="str">
        <f>IFERROR(__xludf.DUMMYFUNCTION("""COMPUTED_VALUE"""),"CIVA")</f>
        <v>CIVA</v>
      </c>
      <c r="N4" s="24">
        <f>IFERROR(__xludf.DUMMYFUNCTION("""COMPUTED_VALUE"""),10.0)</f>
        <v>10</v>
      </c>
      <c r="O4" s="22" t="str">
        <f>IFERROR(__xludf.DUMMYFUNCTION("""COMPUTED_VALUE"""),"Art et marges musée museum")</f>
        <v>Art et marges musée museum</v>
      </c>
      <c r="P4" s="24">
        <f>IFERROR(__xludf.DUMMYFUNCTION("""COMPUTED_VALUE"""),6.0)</f>
        <v>6</v>
      </c>
      <c r="Q4" s="22" t="str">
        <f>IFERROR(__xludf.DUMMYFUNCTION("""COMPUTED_VALUE"""),"Paleis voor Schone Kunsten")</f>
        <v>Paleis voor Schone Kunsten</v>
      </c>
      <c r="R4" s="24">
        <f>IFERROR(__xludf.DUMMYFUNCTION("""COMPUTED_VALUE"""),8.0)</f>
        <v>8</v>
      </c>
    </row>
    <row r="5">
      <c r="A5" s="16" t="s">
        <v>413</v>
      </c>
      <c r="B5" s="51">
        <v>10.0</v>
      </c>
      <c r="C5" s="17" t="b">
        <v>0</v>
      </c>
      <c r="D5" s="17" t="str">
        <f t="shared" si="1"/>
        <v/>
      </c>
      <c r="E5" s="22" t="str">
        <f>IFERROR(__xludf.DUMMYFUNCTION("""COMPUTED_VALUE"""),"GardeRobe MannekenPis")</f>
        <v>GardeRobe MannekenPis</v>
      </c>
      <c r="F5" s="24">
        <f>IFERROR(__xludf.DUMMYFUNCTION("""COMPUTED_VALUE"""),5.0)</f>
        <v>5</v>
      </c>
      <c r="G5" s="22" t="str">
        <f>IFERROR(__xludf.DUMMYFUNCTION("""COMPUTED_VALUE"""),"Riolenmuseum")</f>
        <v>Riolenmuseum</v>
      </c>
      <c r="H5" s="24">
        <f>IFERROR(__xludf.DUMMYFUNCTION("""COMPUTED_VALUE"""),10.0)</f>
        <v>10</v>
      </c>
      <c r="K5" s="22" t="str">
        <f>IFERROR(__xludf.DUMMYFUNCTION("""COMPUTED_VALUE"""),"Wittockiana")</f>
        <v>Wittockiana</v>
      </c>
      <c r="L5" s="24">
        <f>IFERROR(__xludf.DUMMYFUNCTION("""COMPUTED_VALUE"""),7.0)</f>
        <v>7</v>
      </c>
      <c r="M5" s="22" t="str">
        <f>IFERROR(__xludf.DUMMYFUNCTION("""COMPUTED_VALUE"""),"KANAL | Centre Pompidou")</f>
        <v>KANAL | Centre Pompidou</v>
      </c>
      <c r="N5" s="24">
        <f>IFERROR(__xludf.DUMMYFUNCTION("""COMPUTED_VALUE"""),0.0)</f>
        <v>0</v>
      </c>
      <c r="O5" s="22" t="str">
        <f>IFERROR(__xludf.DUMMYFUNCTION("""COMPUTED_VALUE"""),"Botanique")</f>
        <v>Botanique</v>
      </c>
      <c r="P5" s="24">
        <f>IFERROR(__xludf.DUMMYFUNCTION("""COMPUTED_VALUE"""),0.0)</f>
        <v>0</v>
      </c>
      <c r="Q5" s="22" t="str">
        <f>IFERROR(__xludf.DUMMYFUNCTION("""COMPUTED_VALUE"""),"Design Museum Brussels")</f>
        <v>Design Museum Brussels</v>
      </c>
      <c r="R5" s="24">
        <f>IFERROR(__xludf.DUMMYFUNCTION("""COMPUTED_VALUE"""),10.0)</f>
        <v>10</v>
      </c>
    </row>
    <row r="6">
      <c r="A6" s="16" t="s">
        <v>414</v>
      </c>
      <c r="B6" s="51">
        <v>10.0</v>
      </c>
      <c r="C6" s="17" t="b">
        <v>0</v>
      </c>
      <c r="D6" s="17" t="str">
        <f t="shared" si="1"/>
        <v/>
      </c>
      <c r="E6" s="22" t="str">
        <f>IFERROR(__xludf.DUMMYFUNCTION("""COMPUTED_VALUE"""),"KBR museum")</f>
        <v>KBR museum</v>
      </c>
      <c r="F6" s="24">
        <f>IFERROR(__xludf.DUMMYFUNCTION("""COMPUTED_VALUE"""),11.0)</f>
        <v>11</v>
      </c>
      <c r="G6" s="22" t="str">
        <f>IFERROR(__xludf.DUMMYFUNCTION("""COMPUTED_VALUE"""),"Museum van de Nationale Bank van België")</f>
        <v>Museum van de Nationale Bank van België</v>
      </c>
      <c r="H6" s="24">
        <f>IFERROR(__xludf.DUMMYFUNCTION("""COMPUTED_VALUE"""),0.0)</f>
        <v>0</v>
      </c>
      <c r="M6" s="22" t="str">
        <f>IFERROR(__xludf.DUMMYFUNCTION("""COMPUTED_VALUE"""),"LAB·AN x Hotel van Eetvelde")</f>
        <v>LAB·AN x Hotel van Eetvelde</v>
      </c>
      <c r="N6" s="24">
        <f>IFERROR(__xludf.DUMMYFUNCTION("""COMPUTED_VALUE"""),12.0)</f>
        <v>12</v>
      </c>
      <c r="O6" s="22" t="str">
        <f>IFERROR(__xludf.DUMMYFUNCTION("""COMPUTED_VALUE"""),"Paleis voor Schone Kunsten")</f>
        <v>Paleis voor Schone Kunsten</v>
      </c>
      <c r="P6" s="24">
        <f>IFERROR(__xludf.DUMMYFUNCTION("""COMPUTED_VALUE"""),8.0)</f>
        <v>8</v>
      </c>
      <c r="Q6" s="22" t="str">
        <f>IFERROR(__xludf.DUMMYFUNCTION("""COMPUTED_VALUE"""),"Fondation CAB")</f>
        <v>Fondation CAB</v>
      </c>
      <c r="R6" s="24">
        <f>IFERROR(__xludf.DUMMYFUNCTION("""COMPUTED_VALUE"""),6.0)</f>
        <v>6</v>
      </c>
    </row>
    <row r="7">
      <c r="A7" s="16" t="s">
        <v>415</v>
      </c>
      <c r="B7" s="51">
        <v>11.0</v>
      </c>
      <c r="C7" s="17" t="b">
        <v>1</v>
      </c>
      <c r="D7" s="17" t="str">
        <f t="shared" si="1"/>
        <v>History &amp; Archaeology</v>
      </c>
      <c r="E7" s="22" t="str">
        <f>IFERROR(__xludf.DUMMYFUNCTION("""COMPUTED_VALUE"""),"LAB·AN x Hotel van Eetvelde")</f>
        <v>LAB·AN x Hotel van Eetvelde</v>
      </c>
      <c r="F7" s="24">
        <f>IFERROR(__xludf.DUMMYFUNCTION("""COMPUTED_VALUE"""),12.0)</f>
        <v>12</v>
      </c>
      <c r="G7" s="22" t="str">
        <f>IFERROR(__xludf.DUMMYFUNCTION("""COMPUTED_VALUE"""),"Geneeskundemuseum")</f>
        <v>Geneeskundemuseum</v>
      </c>
      <c r="H7" s="24">
        <f>IFERROR(__xludf.DUMMYFUNCTION("""COMPUTED_VALUE"""),5.0)</f>
        <v>5</v>
      </c>
      <c r="M7" s="22" t="str">
        <f>IFERROR(__xludf.DUMMYFUNCTION("""COMPUTED_VALUE"""),"Het Autrique Huis")</f>
        <v>Het Autrique Huis</v>
      </c>
      <c r="N7" s="24">
        <f>IFERROR(__xludf.DUMMYFUNCTION("""COMPUTED_VALUE"""),9.0)</f>
        <v>9</v>
      </c>
      <c r="O7" s="22" t="str">
        <f>IFERROR(__xludf.DUMMYFUNCTION("""COMPUTED_VALUE"""),"CENTRALE for contemporary art")</f>
        <v>CENTRALE for contemporary art</v>
      </c>
      <c r="P7" s="24">
        <f>IFERROR(__xludf.DUMMYFUNCTION("""COMPUTED_VALUE"""),10.0)</f>
        <v>10</v>
      </c>
      <c r="Q7" s="22" t="str">
        <f>IFERROR(__xludf.DUMMYFUNCTION("""COMPUTED_VALUE"""),"iMAL")</f>
        <v>iMAL</v>
      </c>
      <c r="R7" s="24">
        <f>IFERROR(__xludf.DUMMYFUNCTION("""COMPUTED_VALUE"""),10.0)</f>
        <v>10</v>
      </c>
    </row>
    <row r="8">
      <c r="A8" s="16" t="s">
        <v>418</v>
      </c>
      <c r="B8" s="51">
        <v>11.0</v>
      </c>
      <c r="C8" s="17" t="b">
        <v>0</v>
      </c>
      <c r="D8" s="17" t="str">
        <f t="shared" si="1"/>
        <v/>
      </c>
      <c r="E8" s="22" t="str">
        <f>IFERROR(__xludf.DUMMYFUNCTION("""COMPUTED_VALUE"""),"Brussels Museum voor Arbeid en Industrie")</f>
        <v>Brussels Museum voor Arbeid en Industrie</v>
      </c>
      <c r="F8" s="24">
        <f>IFERROR(__xludf.DUMMYFUNCTION("""COMPUTED_VALUE"""),8.0)</f>
        <v>8</v>
      </c>
      <c r="G8" s="22" t="str">
        <f>IFERROR(__xludf.DUMMYFUNCTION("""COMPUTED_VALUE"""),"Koninklijk Museum van het Leger en de Krijgsgeschiedenis")</f>
        <v>Koninklijk Museum van het Leger en de Krijgsgeschiedenis</v>
      </c>
      <c r="H8" s="24">
        <f>IFERROR(__xludf.DUMMYFUNCTION("""COMPUTED_VALUE"""),12.0)</f>
        <v>12</v>
      </c>
      <c r="M8" s="22" t="str">
        <f>IFERROR(__xludf.DUMMYFUNCTION("""COMPUTED_VALUE"""),"Het Stadhuis van Brussel")</f>
        <v>Het Stadhuis van Brussel</v>
      </c>
      <c r="N8" s="24">
        <f>IFERROR(__xludf.DUMMYFUNCTION("""COMPUTED_VALUE"""),15.0)</f>
        <v>15</v>
      </c>
      <c r="O8" s="22" t="str">
        <f>IFERROR(__xludf.DUMMYFUNCTION("""COMPUTED_VALUE"""),"Fondation A Stichting")</f>
        <v>Fondation A Stichting</v>
      </c>
      <c r="P8" s="24">
        <f>IFERROR(__xludf.DUMMYFUNCTION("""COMPUTED_VALUE"""),7.0)</f>
        <v>7</v>
      </c>
      <c r="Q8" s="22" t="str">
        <f>IFERROR(__xludf.DUMMYFUNCTION("""COMPUTED_VALUE"""),"LAB·AN x Hotel van Eetvelde")</f>
        <v>LAB·AN x Hotel van Eetvelde</v>
      </c>
      <c r="R8" s="24">
        <f>IFERROR(__xludf.DUMMYFUNCTION("""COMPUTED_VALUE"""),12.0)</f>
        <v>12</v>
      </c>
    </row>
    <row r="9">
      <c r="A9" s="16" t="s">
        <v>419</v>
      </c>
      <c r="B9" s="51">
        <v>11.0</v>
      </c>
      <c r="C9" s="17" t="b">
        <v>0</v>
      </c>
      <c r="D9" s="17" t="str">
        <f t="shared" si="1"/>
        <v/>
      </c>
      <c r="E9" s="22" t="str">
        <f>IFERROR(__xludf.DUMMYFUNCTION("""COMPUTED_VALUE"""),"Het Stadhuis van Brussel")</f>
        <v>Het Stadhuis van Brussel</v>
      </c>
      <c r="F9" s="24">
        <f>IFERROR(__xludf.DUMMYFUNCTION("""COMPUTED_VALUE"""),15.0)</f>
        <v>15</v>
      </c>
      <c r="G9" s="22" t="str">
        <f>IFERROR(__xludf.DUMMYFUNCTION("""COMPUTED_VALUE"""),"Planetarium Brussel")</f>
        <v>Planetarium Brussel</v>
      </c>
      <c r="H9" s="24">
        <f>IFERROR(__xludf.DUMMYFUNCTION("""COMPUTED_VALUE"""),8.0)</f>
        <v>8</v>
      </c>
      <c r="M9" s="22" t="str">
        <f>IFERROR(__xludf.DUMMYFUNCTION("""COMPUTED_VALUE"""),"Erasmushuis &amp; Begijnhof")</f>
        <v>Erasmushuis &amp; Begijnhof</v>
      </c>
      <c r="N9" s="24">
        <f>IFERROR(__xludf.DUMMYFUNCTION("""COMPUTED_VALUE"""),5.0)</f>
        <v>5</v>
      </c>
      <c r="O9" s="22" t="str">
        <f>IFERROR(__xludf.DUMMYFUNCTION("""COMPUTED_VALUE"""),"Villa Empain - Stichting Boghossian")</f>
        <v>Villa Empain - Stichting Boghossian</v>
      </c>
      <c r="P9" s="24">
        <f>IFERROR(__xludf.DUMMYFUNCTION("""COMPUTED_VALUE"""),12.0)</f>
        <v>12</v>
      </c>
      <c r="Q9" s="22" t="str">
        <f>IFERROR(__xludf.DUMMYFUNCTION("""COMPUTED_VALUE"""),"Maison Hannon")</f>
        <v>Maison Hannon</v>
      </c>
      <c r="R9" s="24">
        <f>IFERROR(__xludf.DUMMYFUNCTION("""COMPUTED_VALUE"""),14.0)</f>
        <v>14</v>
      </c>
    </row>
    <row r="10">
      <c r="A10" s="16" t="s">
        <v>420</v>
      </c>
      <c r="B10" s="51">
        <v>12.0</v>
      </c>
      <c r="C10" s="17" t="b">
        <v>0</v>
      </c>
      <c r="D10" s="17" t="str">
        <f t="shared" si="1"/>
        <v/>
      </c>
      <c r="E10" s="22" t="str">
        <f>IFERROR(__xludf.DUMMYFUNCTION("""COMPUTED_VALUE"""),"Erasmushuis &amp; Begijnhof")</f>
        <v>Erasmushuis &amp; Begijnhof</v>
      </c>
      <c r="F10" s="24">
        <f>IFERROR(__xludf.DUMMYFUNCTION("""COMPUTED_VALUE"""),5.0)</f>
        <v>5</v>
      </c>
      <c r="M10" s="22" t="str">
        <f>IFERROR(__xludf.DUMMYFUNCTION("""COMPUTED_VALUE"""),"Maison Hannon")</f>
        <v>Maison Hannon</v>
      </c>
      <c r="N10" s="24">
        <f>IFERROR(__xludf.DUMMYFUNCTION("""COMPUTED_VALUE"""),14.0)</f>
        <v>14</v>
      </c>
      <c r="O10" s="22" t="str">
        <f>IFERROR(__xludf.DUMMYFUNCTION("""COMPUTED_VALUE"""),"GardeRobe MannekenPis")</f>
        <v>GardeRobe MannekenPis</v>
      </c>
      <c r="P10" s="24">
        <f>IFERROR(__xludf.DUMMYFUNCTION("""COMPUTED_VALUE"""),5.0)</f>
        <v>5</v>
      </c>
      <c r="Q10" s="22" t="str">
        <f>IFERROR(__xludf.DUMMYFUNCTION("""COMPUTED_VALUE"""),"Belgisch Museum van de Vrijmetselarij")</f>
        <v>Belgisch Museum van de Vrijmetselarij</v>
      </c>
      <c r="R10" s="24">
        <f>IFERROR(__xludf.DUMMYFUNCTION("""COMPUTED_VALUE"""),10.0)</f>
        <v>10</v>
      </c>
      <c r="U10" s="74">
        <f t="array" ref="U10:AT10">TRANSPOSE(T10:T35)</f>
        <v>0</v>
      </c>
      <c r="V10" s="74">
        <v>2.0</v>
      </c>
      <c r="W10" s="74">
        <v>3.0</v>
      </c>
      <c r="X10" s="74">
        <v>3.5</v>
      </c>
      <c r="Y10" s="74">
        <v>4.0</v>
      </c>
      <c r="Z10" s="74">
        <v>4.5</v>
      </c>
      <c r="AA10" s="74">
        <v>5.0</v>
      </c>
      <c r="AB10" s="74">
        <v>6.0</v>
      </c>
      <c r="AC10" s="74">
        <v>7.0</v>
      </c>
      <c r="AD10" s="74">
        <v>7.5</v>
      </c>
      <c r="AE10" s="74">
        <v>8.0</v>
      </c>
      <c r="AF10" s="74">
        <v>8.5</v>
      </c>
      <c r="AG10" s="74">
        <v>9.0</v>
      </c>
      <c r="AH10" s="74">
        <v>9.5</v>
      </c>
      <c r="AI10" s="74">
        <v>10.0</v>
      </c>
      <c r="AJ10" s="74">
        <v>11.0</v>
      </c>
      <c r="AK10" s="74">
        <v>12.0</v>
      </c>
      <c r="AL10" s="74">
        <v>13.0</v>
      </c>
      <c r="AM10" s="74">
        <v>14.0</v>
      </c>
      <c r="AN10" s="74">
        <v>15.0</v>
      </c>
      <c r="AO10" s="74">
        <v>15.5</v>
      </c>
      <c r="AP10" s="74">
        <v>16.0</v>
      </c>
      <c r="AQ10" s="74">
        <v>17.5</v>
      </c>
      <c r="AR10" s="74">
        <v>18.0</v>
      </c>
      <c r="AS10" s="74">
        <v>20.0</v>
      </c>
      <c r="AT10" s="74">
        <v>22.0</v>
      </c>
    </row>
    <row r="11">
      <c r="A11" s="16" t="s">
        <v>421</v>
      </c>
      <c r="B11" s="51">
        <v>12.0</v>
      </c>
      <c r="C11" s="17" t="b">
        <v>0</v>
      </c>
      <c r="D11" s="17" t="str">
        <f t="shared" si="1"/>
        <v/>
      </c>
      <c r="E11" s="22" t="str">
        <f>IFERROR(__xludf.DUMMYFUNCTION("""COMPUTED_VALUE"""),"MigratieMuseum")</f>
        <v>MigratieMuseum</v>
      </c>
      <c r="F11" s="24">
        <f>IFERROR(__xludf.DUMMYFUNCTION("""COMPUTED_VALUE"""),8.0)</f>
        <v>8</v>
      </c>
      <c r="M11" s="22" t="str">
        <f>IFERROR(__xludf.DUMMYFUNCTION("""COMPUTED_VALUE"""),"muziekinstrumentenmuseum")</f>
        <v>muziekinstrumentenmuseum</v>
      </c>
      <c r="N11" s="24">
        <f>IFERROR(__xludf.DUMMYFUNCTION("""COMPUTED_VALUE"""),15.0)</f>
        <v>15</v>
      </c>
      <c r="O11" s="22" t="str">
        <f>IFERROR(__xludf.DUMMYFUNCTION("""COMPUTED_VALUE"""),"iMAL")</f>
        <v>iMAL</v>
      </c>
      <c r="P11" s="24">
        <f>IFERROR(__xludf.DUMMYFUNCTION("""COMPUTED_VALUE"""),10.0)</f>
        <v>10</v>
      </c>
      <c r="Q11" s="22" t="str">
        <f>IFERROR(__xludf.DUMMYFUNCTION("""COMPUTED_VALUE"""),"Stripmuseum Brussel")</f>
        <v>Stripmuseum Brussel</v>
      </c>
      <c r="R11" s="24">
        <f>IFERROR(__xludf.DUMMYFUNCTION("""COMPUTED_VALUE"""),14.0)</f>
        <v>14</v>
      </c>
      <c r="T11" s="49">
        <v>2.0</v>
      </c>
      <c r="U11" s="22" t="str">
        <f>IFERROR(__xludf.DUMMYFUNCTION("FILTER($A$2:$A$49, $B$2:$B$49 = U$10)"),"#N/A")</f>
        <v>#N/A</v>
      </c>
      <c r="V11" s="22" t="str">
        <f>IFERROR(__xludf.DUMMYFUNCTION("FILTER($A$2:$A$49, $B$2:$B$49 = V$10)"),"#N/A")</f>
        <v>#N/A</v>
      </c>
      <c r="W11" s="22" t="str">
        <f>IFERROR(__xludf.DUMMYFUNCTION("FILTER($A$2:$A$49, $B$2:$B$49 = W$10)"),"#N/A")</f>
        <v>#N/A</v>
      </c>
      <c r="X11" s="22" t="str">
        <f>IFERROR(__xludf.DUMMYFUNCTION("FILTER($A$2:$A$49, $B$2:$B$49 = X$10)"),"#N/A")</f>
        <v>#N/A</v>
      </c>
      <c r="Y11" s="22" t="str">
        <f>IFERROR(__xludf.DUMMYFUNCTION("FILTER($A$2:$A$49, $B$2:$B$49 = Y$10)"),"#N/A")</f>
        <v>#N/A</v>
      </c>
      <c r="Z11" s="22" t="str">
        <f>IFERROR(__xludf.DUMMYFUNCTION("FILTER($A$2:$A$49, $B$2:$B$49 = Z$10)"),"#N/A")</f>
        <v>#N/A</v>
      </c>
      <c r="AA11" s="22" t="str">
        <f>IFERROR(__xludf.DUMMYFUNCTION("FILTER($A$2:$A$49, $B$2:$B$49 = AA$10)"),"#N/A")</f>
        <v>#N/A</v>
      </c>
      <c r="AB11" s="22" t="str">
        <f>IFERROR(__xludf.DUMMYFUNCTION("FILTER($A$2:$A$49, $B$2:$B$49 = AB$10)"),"#N/A")</f>
        <v>#N/A</v>
      </c>
      <c r="AC11" s="22" t="str">
        <f>IFERROR(__xludf.DUMMYFUNCTION("FILTER($A$2:$A$49, $B$2:$B$49 = AC$10)"),"#N/A")</f>
        <v>#N/A</v>
      </c>
      <c r="AD11" s="22" t="str">
        <f>IFERROR(__xludf.DUMMYFUNCTION("FILTER($A$2:$A$49, $B$2:$B$49 = AD$10)"),"#N/A")</f>
        <v>#N/A</v>
      </c>
      <c r="AE11" s="22" t="str">
        <f>IFERROR(__xludf.DUMMYFUNCTION("FILTER($A$2:$A$49, $B$2:$B$49 = AE$10)"),"#N/A")</f>
        <v>#N/A</v>
      </c>
      <c r="AF11" s="22" t="str">
        <f>IFERROR(__xludf.DUMMYFUNCTION("FILTER($A$2:$A$49, $B$2:$B$49 = AF$10)"),"#N/A")</f>
        <v>#N/A</v>
      </c>
      <c r="AG11" s="22" t="str">
        <f>IFERROR(__xludf.DUMMYFUNCTION("FILTER($A$2:$A$49, $B$2:$B$49 = AG$10)"),"#N/A")</f>
        <v>#N/A</v>
      </c>
      <c r="AH11" s="22" t="str">
        <f>IFERROR(__xludf.DUMMYFUNCTION("FILTER($A$2:$A$49, $B$2:$B$49 = AH$10)"),"#N/A")</f>
        <v>#N/A</v>
      </c>
      <c r="AI11" s="22" t="str">
        <f>IFERROR(__xludf.DUMMYFUNCTION("FILTER($A$2:$A$49, $B$2:$B$49 = AI$10)"),"AMVB | Archief en Museum voor het Vlaams leven te Brussel")</f>
        <v>AMVB | Archief en Museum voor het Vlaams leven te Brussel</v>
      </c>
      <c r="AJ11" s="22" t="str">
        <f>IFERROR(__xludf.DUMMYFUNCTION("FILTER($A$2:$A$49, $B$2:$B$49 = AJ$10)"),"Paleis voor Schone Kunsten")</f>
        <v>Paleis voor Schone Kunsten</v>
      </c>
      <c r="AK11" s="22" t="str">
        <f>IFERROR(__xludf.DUMMYFUNCTION("FILTER($A$2:$A$49, $B$2:$B$49 = AK$10)"),"Design Museum Brussels")</f>
        <v>Design Museum Brussels</v>
      </c>
      <c r="AL11" s="22" t="str">
        <f>IFERROR(__xludf.DUMMYFUNCTION("FILTER($A$2:$A$49, $B$2:$B$49 = AL$10)"),"Hortamuseum")</f>
        <v>Hortamuseum</v>
      </c>
      <c r="AM11" s="22" t="str">
        <f>IFERROR(__xludf.DUMMYFUNCTION("FILTER($A$2:$A$49, $B$2:$B$49 = AM$10)"),"Koninklijk Museum van het Leger en de Krijgsgeschiedenis")</f>
        <v>Koninklijk Museum van het Leger en de Krijgsgeschiedenis</v>
      </c>
      <c r="AN11" s="22" t="str">
        <f>IFERROR(__xludf.DUMMYFUNCTION("FILTER($A$2:$A$49, $B$2:$B$49 = AN$10)"),"#N/A")</f>
        <v>#N/A</v>
      </c>
      <c r="AO11" s="22" t="str">
        <f>IFERROR(__xludf.DUMMYFUNCTION("FILTER($A$2:$A$49, $B$2:$B$49 = AO$10)"),"#N/A")</f>
        <v>#N/A</v>
      </c>
      <c r="AP11" s="22" t="str">
        <f>IFERROR(__xludf.DUMMYFUNCTION("FILTER($A$2:$A$49, $B$2:$B$49 = AP$10)"),"#N/A")</f>
        <v>#N/A</v>
      </c>
      <c r="AQ11" s="22" t="str">
        <f>IFERROR(__xludf.DUMMYFUNCTION("FILTER($A$2:$A$49, $B$2:$B$49 = AQ$10)"),"#N/A")</f>
        <v>#N/A</v>
      </c>
      <c r="AR11" s="22" t="str">
        <f>IFERROR(__xludf.DUMMYFUNCTION("FILTER($A$2:$A$49, $B$2:$B$49 = AR$10)"),"#N/A")</f>
        <v>#N/A</v>
      </c>
      <c r="AS11" s="22" t="str">
        <f>IFERROR(__xludf.DUMMYFUNCTION("FILTER($A$2:$A$49, $B$2:$B$49 = AS$10)"),"#N/A")</f>
        <v>#N/A</v>
      </c>
      <c r="AT11" s="22" t="str">
        <f>IFERROR(__xludf.DUMMYFUNCTION("FILTER($A$2:$A$49, $B$2:$B$49 = AT$10)"),"#N/A")</f>
        <v>#N/A</v>
      </c>
    </row>
    <row r="12">
      <c r="A12" s="16" t="s">
        <v>422</v>
      </c>
      <c r="B12" s="51">
        <v>12.0</v>
      </c>
      <c r="C12" s="17" t="b">
        <v>0</v>
      </c>
      <c r="D12" s="17" t="str">
        <f t="shared" si="1"/>
        <v/>
      </c>
      <c r="E12" s="22" t="str">
        <f>IFERROR(__xludf.DUMMYFUNCTION("""COMPUTED_VALUE"""),"muziekinstrumentenmuseum")</f>
        <v>muziekinstrumentenmuseum</v>
      </c>
      <c r="F12" s="24">
        <f>IFERROR(__xludf.DUMMYFUNCTION("""COMPUTED_VALUE"""),15.0)</f>
        <v>15</v>
      </c>
      <c r="M12" s="22" t="str">
        <f>IFERROR(__xludf.DUMMYFUNCTION("""COMPUTED_VALUE"""),"Belgisch Museum van de Vrijmetselarij")</f>
        <v>Belgisch Museum van de Vrijmetselarij</v>
      </c>
      <c r="N12" s="24">
        <f>IFERROR(__xludf.DUMMYFUNCTION("""COMPUTED_VALUE"""),10.0)</f>
        <v>10</v>
      </c>
      <c r="O12" s="22" t="str">
        <f>IFERROR(__xludf.DUMMYFUNCTION("""COMPUTED_VALUE"""),"KANAL | Centre Pompidou")</f>
        <v>KANAL | Centre Pompidou</v>
      </c>
      <c r="P12" s="24">
        <f>IFERROR(__xludf.DUMMYFUNCTION("""COMPUTED_VALUE"""),0.0)</f>
        <v>0</v>
      </c>
      <c r="Q12" s="22" t="str">
        <f>IFERROR(__xludf.DUMMYFUNCTION("""COMPUTED_VALUE"""),"Museum en Tuinen van Buuren")</f>
        <v>Museum en Tuinen van Buuren</v>
      </c>
      <c r="R12" s="24">
        <f>IFERROR(__xludf.DUMMYFUNCTION("""COMPUTED_VALUE"""),18.0)</f>
        <v>18</v>
      </c>
      <c r="T12" s="49">
        <v>3.0</v>
      </c>
      <c r="AI12" s="22" t="str">
        <f>IFERROR(__xludf.DUMMYFUNCTION("""COMPUTED_VALUE"""),"ARGOS | centre for audiovisual arts")</f>
        <v>ARGOS | centre for audiovisual arts</v>
      </c>
      <c r="AJ12" s="22" t="str">
        <f>IFERROR(__xludf.DUMMYFUNCTION("""COMPUTED_VALUE"""),"CENTRALE for contemporary art")</f>
        <v>CENTRALE for contemporary art</v>
      </c>
      <c r="AK12" s="22" t="str">
        <f>IFERROR(__xludf.DUMMYFUNCTION("""COMPUTED_VALUE"""),"Fondation A Stichting")</f>
        <v>Fondation A Stichting</v>
      </c>
      <c r="AL12" s="22" t="str">
        <f>IFERROR(__xludf.DUMMYFUNCTION("""COMPUTED_VALUE"""),"Joods Museum van België")</f>
        <v>Joods Museum van België</v>
      </c>
      <c r="AM12" s="22" t="str">
        <f>IFERROR(__xludf.DUMMYFUNCTION("""COMPUTED_VALUE"""),"Coudenbergpaleis")</f>
        <v>Coudenbergpaleis</v>
      </c>
    </row>
    <row r="13">
      <c r="A13" s="16" t="s">
        <v>424</v>
      </c>
      <c r="B13" s="51">
        <v>12.0</v>
      </c>
      <c r="C13" s="17" t="b">
        <v>1</v>
      </c>
      <c r="D13" s="17" t="str">
        <f t="shared" si="1"/>
        <v>History &amp; Archaeology</v>
      </c>
      <c r="E13" s="22" t="str">
        <f>IFERROR(__xludf.DUMMYFUNCTION("""COMPUTED_VALUE"""),"Gemeentelijk Museum van Sint-Jans-Molenbeek")</f>
        <v>Gemeentelijk Museum van Sint-Jans-Molenbeek</v>
      </c>
      <c r="F13" s="24">
        <f>IFERROR(__xludf.DUMMYFUNCTION("""COMPUTED_VALUE"""),5.0)</f>
        <v>5</v>
      </c>
      <c r="M13" s="22" t="str">
        <f>IFERROR(__xludf.DUMMYFUNCTION("""COMPUTED_VALUE"""),"Museum van de Stad Brussel - Broodhuis")</f>
        <v>Museum van de Stad Brussel - Broodhuis</v>
      </c>
      <c r="N13" s="24">
        <f>IFERROR(__xludf.DUMMYFUNCTION("""COMPUTED_VALUE"""),10.0)</f>
        <v>10</v>
      </c>
      <c r="O13" s="22" t="str">
        <f>IFERROR(__xludf.DUMMYFUNCTION("""COMPUTED_VALUE"""),"KBR museum")</f>
        <v>KBR museum</v>
      </c>
      <c r="P13" s="24">
        <f>IFERROR(__xludf.DUMMYFUNCTION("""COMPUTED_VALUE"""),11.0)</f>
        <v>11</v>
      </c>
      <c r="Q13" s="22" t="str">
        <f>IFERROR(__xludf.DUMMYFUNCTION("""COMPUTED_VALUE"""),"Mode &amp; Kant Museum")</f>
        <v>Mode &amp; Kant Museum</v>
      </c>
      <c r="R13" s="24">
        <f>IFERROR(__xludf.DUMMYFUNCTION("""COMPUTED_VALUE"""),10.0)</f>
        <v>10</v>
      </c>
      <c r="T13" s="49">
        <v>3.5</v>
      </c>
      <c r="AI13" s="22" t="str">
        <f>IFERROR(__xludf.DUMMYFUNCTION("""COMPUTED_VALUE"""),"Art et marges musée museum")</f>
        <v>Art et marges musée museum</v>
      </c>
      <c r="AJ13" s="22" t="str">
        <f>IFERROR(__xludf.DUMMYFUNCTION("""COMPUTED_VALUE"""),"CIVA")</f>
        <v>CIVA</v>
      </c>
      <c r="AK13" s="22" t="str">
        <f>IFERROR(__xludf.DUMMYFUNCTION("""COMPUTED_VALUE"""),"Villa Empain - Stichting Boghossian")</f>
        <v>Villa Empain - Stichting Boghossian</v>
      </c>
      <c r="AL13" s="22" t="str">
        <f>IFERROR(__xludf.DUMMYFUNCTION("""COMPUTED_VALUE"""),"Mode &amp; Kant Museum")</f>
        <v>Mode &amp; Kant Museum</v>
      </c>
      <c r="AM13" s="22" t="str">
        <f>IFERROR(__xludf.DUMMYFUNCTION("""COMPUTED_VALUE"""),"Planetarium Brussel")</f>
        <v>Planetarium Brussel</v>
      </c>
    </row>
    <row r="14">
      <c r="A14" s="16" t="s">
        <v>426</v>
      </c>
      <c r="B14" s="51">
        <v>12.0</v>
      </c>
      <c r="C14" s="17" t="b">
        <v>0</v>
      </c>
      <c r="D14" s="17" t="str">
        <f t="shared" si="1"/>
        <v/>
      </c>
      <c r="E14" s="22" t="str">
        <f>IFERROR(__xludf.DUMMYFUNCTION("""COMPUTED_VALUE"""),"Museum Kunst &amp; Geschiedenis")</f>
        <v>Museum Kunst &amp; Geschiedenis</v>
      </c>
      <c r="F14" s="24">
        <f>IFERROR(__xludf.DUMMYFUNCTION("""COMPUTED_VALUE"""),10.0)</f>
        <v>10</v>
      </c>
      <c r="M14" s="22" t="str">
        <f>IFERROR(__xludf.DUMMYFUNCTION("""COMPUTED_VALUE"""),"Hortamuseum")</f>
        <v>Hortamuseum</v>
      </c>
      <c r="N14" s="24">
        <f>IFERROR(__xludf.DUMMYFUNCTION("""COMPUTED_VALUE"""),14.0)</f>
        <v>14</v>
      </c>
      <c r="O14" s="22" t="str">
        <f>IFERROR(__xludf.DUMMYFUNCTION("""COMPUTED_VALUE"""),"Het Stadhuis van Brussel")</f>
        <v>Het Stadhuis van Brussel</v>
      </c>
      <c r="P14" s="24">
        <f>IFERROR(__xludf.DUMMYFUNCTION("""COMPUTED_VALUE"""),15.0)</f>
        <v>15</v>
      </c>
      <c r="Q14" s="22" t="str">
        <f>IFERROR(__xludf.DUMMYFUNCTION("""COMPUTED_VALUE"""),"Wittockiana")</f>
        <v>Wittockiana</v>
      </c>
      <c r="R14" s="24">
        <f>IFERROR(__xludf.DUMMYFUNCTION("""COMPUTED_VALUE"""),7.0)</f>
        <v>7</v>
      </c>
      <c r="T14" s="49">
        <v>4.0</v>
      </c>
      <c r="AI14" s="22" t="str">
        <f>IFERROR(__xludf.DUMMYFUNCTION("""COMPUTED_VALUE"""),"Autoworld Brussels")</f>
        <v>Autoworld Brussels</v>
      </c>
      <c r="AK14" s="22" t="str">
        <f>IFERROR(__xludf.DUMMYFUNCTION("""COMPUTED_VALUE"""),"Brel Stichting")</f>
        <v>Brel Stichting</v>
      </c>
      <c r="AL14" s="22" t="str">
        <f>IFERROR(__xludf.DUMMYFUNCTION("""COMPUTED_VALUE"""),"René Magritte Museum &amp; Museum voor abstracte kuns")</f>
        <v>René Magritte Museum &amp; Museum voor abstracte kuns</v>
      </c>
      <c r="AM14" s="22" t="str">
        <f>IFERROR(__xludf.DUMMYFUNCTION("""COMPUTED_VALUE"""),"Hallepoort")</f>
        <v>Hallepoort</v>
      </c>
    </row>
    <row r="15">
      <c r="A15" s="16" t="s">
        <v>427</v>
      </c>
      <c r="B15" s="51">
        <v>12.0</v>
      </c>
      <c r="C15" s="17" t="b">
        <v>1</v>
      </c>
      <c r="D15" s="17" t="str">
        <f t="shared" si="1"/>
        <v>History &amp; Archaeology</v>
      </c>
      <c r="E15" s="22" t="str">
        <f>IFERROR(__xludf.DUMMYFUNCTION("""COMPUTED_VALUE"""),"Belgisch Museum van de Vrijmetselarij")</f>
        <v>Belgisch Museum van de Vrijmetselarij</v>
      </c>
      <c r="F15" s="24">
        <f>IFERROR(__xludf.DUMMYFUNCTION("""COMPUTED_VALUE"""),10.0)</f>
        <v>10</v>
      </c>
      <c r="M15" s="22" t="str">
        <f>IFERROR(__xludf.DUMMYFUNCTION("""COMPUTED_VALUE"""),"Koninklijk Museum van het Leger en de Krijgsgeschiedenis")</f>
        <v>Koninklijk Museum van het Leger en de Krijgsgeschiedenis</v>
      </c>
      <c r="N15" s="24">
        <f>IFERROR(__xludf.DUMMYFUNCTION("""COMPUTED_VALUE"""),12.0)</f>
        <v>12</v>
      </c>
      <c r="O15" s="22" t="str">
        <f>IFERROR(__xludf.DUMMYFUNCTION("""COMPUTED_VALUE"""),"Erasmushuis &amp; Begijnhof")</f>
        <v>Erasmushuis &amp; Begijnhof</v>
      </c>
      <c r="P15" s="24">
        <f>IFERROR(__xludf.DUMMYFUNCTION("""COMPUTED_VALUE"""),5.0)</f>
        <v>5</v>
      </c>
      <c r="T15" s="49">
        <v>4.5</v>
      </c>
      <c r="AI15" s="22" t="str">
        <f>IFERROR(__xludf.DUMMYFUNCTION("""COMPUTED_VALUE"""),"Botanique")</f>
        <v>Botanique</v>
      </c>
      <c r="AK15" s="22" t="str">
        <f>IFERROR(__xludf.DUMMYFUNCTION("""COMPUTED_VALUE"""),"Fondation CAB")</f>
        <v>Fondation CAB</v>
      </c>
      <c r="AM15" s="22" t="str">
        <f>IFERROR(__xludf.DUMMYFUNCTION("""COMPUTED_VALUE"""),"Centrum voor Hedendaagse Kunst")</f>
        <v>Centrum voor Hedendaagse Kunst</v>
      </c>
    </row>
    <row r="16">
      <c r="A16" s="16" t="s">
        <v>429</v>
      </c>
      <c r="B16" s="51">
        <v>12.0</v>
      </c>
      <c r="C16" s="17" t="b">
        <v>0</v>
      </c>
      <c r="D16" s="17" t="str">
        <f t="shared" si="1"/>
        <v/>
      </c>
      <c r="E16" s="22" t="str">
        <f>IFERROR(__xludf.DUMMYFUNCTION("""COMPUTED_VALUE"""),"BELvue museum")</f>
        <v>BELvue museum</v>
      </c>
      <c r="F16" s="24">
        <f>IFERROR(__xludf.DUMMYFUNCTION("""COMPUTED_VALUE"""),10.0)</f>
        <v>10</v>
      </c>
      <c r="M16" s="22" t="str">
        <f>IFERROR(__xludf.DUMMYFUNCTION("""COMPUTED_VALUE"""),"Hallepoort")</f>
        <v>Hallepoort</v>
      </c>
      <c r="N16" s="24">
        <f>IFERROR(__xludf.DUMMYFUNCTION("""COMPUTED_VALUE"""),7.0)</f>
        <v>7</v>
      </c>
      <c r="O16" s="22" t="str">
        <f>IFERROR(__xludf.DUMMYFUNCTION("""COMPUTED_VALUE"""),"Maison Hannon")</f>
        <v>Maison Hannon</v>
      </c>
      <c r="P16" s="24">
        <f>IFERROR(__xludf.DUMMYFUNCTION("""COMPUTED_VALUE"""),14.0)</f>
        <v>14</v>
      </c>
      <c r="T16" s="49">
        <v>5.0</v>
      </c>
      <c r="AK16" s="22" t="str">
        <f>IFERROR(__xludf.DUMMYFUNCTION("""COMPUTED_VALUE"""),"GardeRobe MannekenPis")</f>
        <v>GardeRobe MannekenPis</v>
      </c>
      <c r="AM16" s="22" t="str">
        <f>IFERROR(__xludf.DUMMYFUNCTION("""COMPUTED_VALUE"""),"Wittockiana")</f>
        <v>Wittockiana</v>
      </c>
    </row>
    <row r="17">
      <c r="A17" s="16" t="s">
        <v>431</v>
      </c>
      <c r="B17" s="51">
        <v>12.0</v>
      </c>
      <c r="C17" s="17" t="b">
        <v>0</v>
      </c>
      <c r="D17" s="17" t="str">
        <f t="shared" si="1"/>
        <v/>
      </c>
      <c r="E17" s="22" t="str">
        <f>IFERROR(__xludf.DUMMYFUNCTION("""COMPUTED_VALUE"""),"Brussels Museum van de Molen en de Voeding")</f>
        <v>Brussels Museum van de Molen en de Voeding</v>
      </c>
      <c r="F17" s="24">
        <f>IFERROR(__xludf.DUMMYFUNCTION("""COMPUTED_VALUE"""),5.0)</f>
        <v>5</v>
      </c>
      <c r="O17" s="22" t="str">
        <f>IFERROR(__xludf.DUMMYFUNCTION("""COMPUTED_VALUE"""),"MigratieMuseum")</f>
        <v>MigratieMuseum</v>
      </c>
      <c r="P17" s="24">
        <f>IFERROR(__xludf.DUMMYFUNCTION("""COMPUTED_VALUE"""),8.0)</f>
        <v>8</v>
      </c>
      <c r="T17" s="49">
        <v>6.0</v>
      </c>
      <c r="AK17" s="22" t="str">
        <f>IFERROR(__xludf.DUMMYFUNCTION("""COMPUTED_VALUE"""),"iMAL")</f>
        <v>iMAL</v>
      </c>
    </row>
    <row r="18">
      <c r="A18" s="16" t="s">
        <v>433</v>
      </c>
      <c r="B18" s="51">
        <v>12.0</v>
      </c>
      <c r="C18" s="17" t="b">
        <v>1</v>
      </c>
      <c r="D18" s="17" t="str">
        <f t="shared" si="1"/>
        <v>History &amp; Archaeology</v>
      </c>
      <c r="E18" s="22" t="str">
        <f>IFERROR(__xludf.DUMMYFUNCTION("""COMPUTED_VALUE"""),"Riolenmuseum")</f>
        <v>Riolenmuseum</v>
      </c>
      <c r="F18" s="24">
        <f>IFERROR(__xludf.DUMMYFUNCTION("""COMPUTED_VALUE"""),10.0)</f>
        <v>10</v>
      </c>
      <c r="O18" s="22" t="str">
        <f>IFERROR(__xludf.DUMMYFUNCTION("""COMPUTED_VALUE"""),"Belgisch Museum van de Vrijmetselarij")</f>
        <v>Belgisch Museum van de Vrijmetselarij</v>
      </c>
      <c r="P18" s="24">
        <f>IFERROR(__xludf.DUMMYFUNCTION("""COMPUTED_VALUE"""),10.0)</f>
        <v>10</v>
      </c>
      <c r="T18" s="49">
        <v>7.0</v>
      </c>
      <c r="AK18" s="22" t="str">
        <f>IFERROR(__xludf.DUMMYFUNCTION("""COMPUTED_VALUE"""),"KANAL | Centre Pompidou")</f>
        <v>KANAL | Centre Pompidou</v>
      </c>
    </row>
    <row r="19">
      <c r="A19" s="16" t="s">
        <v>435</v>
      </c>
      <c r="B19" s="51">
        <v>12.0</v>
      </c>
      <c r="C19" s="17" t="b">
        <v>1</v>
      </c>
      <c r="D19" s="17" t="str">
        <f t="shared" si="1"/>
        <v>History &amp; Archaeology</v>
      </c>
      <c r="E19" s="22" t="str">
        <f>IFERROR(__xludf.DUMMYFUNCTION("""COMPUTED_VALUE"""),"Museum van de Nationale Bank van België")</f>
        <v>Museum van de Nationale Bank van België</v>
      </c>
      <c r="F19" s="24">
        <f>IFERROR(__xludf.DUMMYFUNCTION("""COMPUTED_VALUE"""),0.0)</f>
        <v>0</v>
      </c>
      <c r="O19" s="22" t="str">
        <f>IFERROR(__xludf.DUMMYFUNCTION("""COMPUTED_VALUE"""),"Charlier Museum")</f>
        <v>Charlier Museum</v>
      </c>
      <c r="P19" s="24">
        <f>IFERROR(__xludf.DUMMYFUNCTION("""COMPUTED_VALUE"""),9.0)</f>
        <v>9</v>
      </c>
      <c r="T19" s="49">
        <v>7.5</v>
      </c>
      <c r="AK19" s="22" t="str">
        <f>IFERROR(__xludf.DUMMYFUNCTION("""COMPUTED_VALUE"""),"KBR museum")</f>
        <v>KBR museum</v>
      </c>
    </row>
    <row r="20">
      <c r="A20" s="16" t="s">
        <v>438</v>
      </c>
      <c r="B20" s="51">
        <v>12.0</v>
      </c>
      <c r="C20" s="17" t="b">
        <v>1</v>
      </c>
      <c r="D20" s="17" t="str">
        <f t="shared" si="1"/>
        <v>History &amp; Archaeology</v>
      </c>
      <c r="E20" s="22" t="str">
        <f>IFERROR(__xludf.DUMMYFUNCTION("""COMPUTED_VALUE"""),"Geneeskundemuseum")</f>
        <v>Geneeskundemuseum</v>
      </c>
      <c r="F20" s="24">
        <f>IFERROR(__xludf.DUMMYFUNCTION("""COMPUTED_VALUE"""),5.0)</f>
        <v>5</v>
      </c>
      <c r="O20" s="22" t="str">
        <f>IFERROR(__xludf.DUMMYFUNCTION("""COMPUTED_VALUE"""),"Museum voor Spontane Kunst")</f>
        <v>Museum voor Spontane Kunst</v>
      </c>
      <c r="P20" s="24">
        <f>IFERROR(__xludf.DUMMYFUNCTION("""COMPUTED_VALUE"""),4.0)</f>
        <v>4</v>
      </c>
      <c r="T20" s="49">
        <v>8.0</v>
      </c>
      <c r="AK20" s="22" t="str">
        <f>IFERROR(__xludf.DUMMYFUNCTION("""COMPUTED_VALUE"""),"LAB·AN x Hotel van Eetvelde")</f>
        <v>LAB·AN x Hotel van Eetvelde</v>
      </c>
    </row>
    <row r="21">
      <c r="A21" s="16" t="s">
        <v>440</v>
      </c>
      <c r="B21" s="51">
        <v>12.0</v>
      </c>
      <c r="C21" s="17" t="b">
        <v>0</v>
      </c>
      <c r="D21" s="17" t="str">
        <f t="shared" si="1"/>
        <v/>
      </c>
      <c r="E21" s="22" t="str">
        <f>IFERROR(__xludf.DUMMYFUNCTION("""COMPUTED_VALUE"""),"Museum van de Stad Brussel - Broodhuis")</f>
        <v>Museum van de Stad Brussel - Broodhuis</v>
      </c>
      <c r="F21" s="24">
        <f>IFERROR(__xludf.DUMMYFUNCTION("""COMPUTED_VALUE"""),10.0)</f>
        <v>10</v>
      </c>
      <c r="O21" s="22" t="str">
        <f>IFERROR(__xludf.DUMMYFUNCTION("""COMPUTED_VALUE"""),"Stripmuseum Brussel")</f>
        <v>Stripmuseum Brussel</v>
      </c>
      <c r="P21" s="24">
        <f>IFERROR(__xludf.DUMMYFUNCTION("""COMPUTED_VALUE"""),14.0)</f>
        <v>14</v>
      </c>
      <c r="T21" s="49">
        <v>8.5</v>
      </c>
      <c r="AK21" s="22" t="str">
        <f>IFERROR(__xludf.DUMMYFUNCTION("""COMPUTED_VALUE"""),"Brussels Museum voor Arbeid en Industrie")</f>
        <v>Brussels Museum voor Arbeid en Industrie</v>
      </c>
    </row>
    <row r="22">
      <c r="A22" s="16" t="s">
        <v>442</v>
      </c>
      <c r="B22" s="51">
        <v>12.0</v>
      </c>
      <c r="C22" s="17" t="b">
        <v>1</v>
      </c>
      <c r="D22" s="17" t="str">
        <f t="shared" si="1"/>
        <v>History &amp; Archaeology</v>
      </c>
      <c r="E22" s="22" t="str">
        <f>IFERROR(__xludf.DUMMYFUNCTION("""COMPUTED_VALUE"""),"Museum en Tuinen van Buuren")</f>
        <v>Museum en Tuinen van Buuren</v>
      </c>
      <c r="F22" s="24">
        <f>IFERROR(__xludf.DUMMYFUNCTION("""COMPUTED_VALUE"""),18.0)</f>
        <v>18</v>
      </c>
      <c r="O22" s="22" t="str">
        <f>IFERROR(__xludf.DUMMYFUNCTION("""COMPUTED_VALUE"""),"Museum van de Stad Brussel - Broodhuis")</f>
        <v>Museum van de Stad Brussel - Broodhuis</v>
      </c>
      <c r="P22" s="24">
        <f>IFERROR(__xludf.DUMMYFUNCTION("""COMPUTED_VALUE"""),10.0)</f>
        <v>10</v>
      </c>
      <c r="T22" s="49">
        <v>9.0</v>
      </c>
      <c r="AK22" s="22" t="str">
        <f>IFERROR(__xludf.DUMMYFUNCTION("""COMPUTED_VALUE"""),"Het Autrique Huis")</f>
        <v>Het Autrique Huis</v>
      </c>
    </row>
    <row r="23">
      <c r="A23" s="16" t="s">
        <v>445</v>
      </c>
      <c r="B23" s="51">
        <v>12.0</v>
      </c>
      <c r="C23" s="17" t="b">
        <v>1</v>
      </c>
      <c r="D23" s="17" t="str">
        <f t="shared" si="1"/>
        <v>History &amp; Archaeology</v>
      </c>
      <c r="E23" s="22" t="str">
        <f>IFERROR(__xludf.DUMMYFUNCTION("""COMPUTED_VALUE"""),"Joods Museum van België")</f>
        <v>Joods Museum van België</v>
      </c>
      <c r="F23" s="24">
        <f>IFERROR(__xludf.DUMMYFUNCTION("""COMPUTED_VALUE"""),10.0)</f>
        <v>10</v>
      </c>
      <c r="O23" s="22" t="str">
        <f>IFERROR(__xludf.DUMMYFUNCTION("""COMPUTED_VALUE"""),"Museum en Tuinen van Buuren")</f>
        <v>Museum en Tuinen van Buuren</v>
      </c>
      <c r="P23" s="24">
        <f>IFERROR(__xludf.DUMMYFUNCTION("""COMPUTED_VALUE"""),18.0)</f>
        <v>18</v>
      </c>
      <c r="T23" s="49">
        <v>9.5</v>
      </c>
      <c r="AK23" s="22" t="str">
        <f>IFERROR(__xludf.DUMMYFUNCTION("""COMPUTED_VALUE"""),"Het Stadhuis van Brussel")</f>
        <v>Het Stadhuis van Brussel</v>
      </c>
    </row>
    <row r="24">
      <c r="A24" s="16" t="s">
        <v>447</v>
      </c>
      <c r="B24" s="51">
        <v>12.0</v>
      </c>
      <c r="C24" s="17" t="b">
        <v>0</v>
      </c>
      <c r="D24" s="17" t="str">
        <f t="shared" si="1"/>
        <v/>
      </c>
      <c r="E24" s="22" t="str">
        <f>IFERROR(__xludf.DUMMYFUNCTION("""COMPUTED_VALUE"""),"Koninklijk Museum van het Leger en de Krijgsgeschiedenis")</f>
        <v>Koninklijk Museum van het Leger en de Krijgsgeschiedenis</v>
      </c>
      <c r="F24" s="24">
        <f>IFERROR(__xludf.DUMMYFUNCTION("""COMPUTED_VALUE"""),12.0)</f>
        <v>12</v>
      </c>
      <c r="O24" s="22" t="str">
        <f>IFERROR(__xludf.DUMMYFUNCTION("""COMPUTED_VALUE"""),"Joods Museum van België")</f>
        <v>Joods Museum van België</v>
      </c>
      <c r="P24" s="24">
        <f>IFERROR(__xludf.DUMMYFUNCTION("""COMPUTED_VALUE"""),10.0)</f>
        <v>10</v>
      </c>
      <c r="T24" s="49">
        <v>10.0</v>
      </c>
      <c r="AK24" s="22" t="str">
        <f>IFERROR(__xludf.DUMMYFUNCTION("""COMPUTED_VALUE"""),"Erasmushuis &amp; Begijnhof")</f>
        <v>Erasmushuis &amp; Begijnhof</v>
      </c>
    </row>
    <row r="25">
      <c r="A25" s="16" t="s">
        <v>448</v>
      </c>
      <c r="B25" s="51">
        <v>12.0</v>
      </c>
      <c r="C25" s="17" t="b">
        <v>1</v>
      </c>
      <c r="D25" s="17" t="str">
        <f t="shared" si="1"/>
        <v>History &amp; Archaeology</v>
      </c>
      <c r="E25" s="22" t="str">
        <f>IFERROR(__xludf.DUMMYFUNCTION("""COMPUTED_VALUE"""),"Coudenbergpaleis")</f>
        <v>Coudenbergpaleis</v>
      </c>
      <c r="F25" s="24">
        <f>IFERROR(__xludf.DUMMYFUNCTION("""COMPUTED_VALUE"""),10.0)</f>
        <v>10</v>
      </c>
      <c r="O25" s="22" t="str">
        <f>IFERROR(__xludf.DUMMYFUNCTION("""COMPUTED_VALUE"""),"Mode &amp; Kant Museum")</f>
        <v>Mode &amp; Kant Museum</v>
      </c>
      <c r="P25" s="24">
        <f>IFERROR(__xludf.DUMMYFUNCTION("""COMPUTED_VALUE"""),10.0)</f>
        <v>10</v>
      </c>
      <c r="T25" s="49">
        <v>11.0</v>
      </c>
      <c r="AK25" s="22" t="str">
        <f>IFERROR(__xludf.DUMMYFUNCTION("""COMPUTED_VALUE"""),"Maison Hannon")</f>
        <v>Maison Hannon</v>
      </c>
    </row>
    <row r="26">
      <c r="A26" s="16" t="s">
        <v>450</v>
      </c>
      <c r="B26" s="51">
        <v>12.0</v>
      </c>
      <c r="C26" s="17" t="b">
        <v>1</v>
      </c>
      <c r="D26" s="17" t="str">
        <f t="shared" si="1"/>
        <v>History &amp; Archaeology</v>
      </c>
      <c r="E26" s="22" t="str">
        <f>IFERROR(__xludf.DUMMYFUNCTION("""COMPUTED_VALUE"""),"Hallepoort")</f>
        <v>Hallepoort</v>
      </c>
      <c r="F26" s="24">
        <f>IFERROR(__xludf.DUMMYFUNCTION("""COMPUTED_VALUE"""),7.0)</f>
        <v>7</v>
      </c>
      <c r="O26" s="22" t="str">
        <f>IFERROR(__xludf.DUMMYFUNCTION("""COMPUTED_VALUE"""),"René Magritte Museum &amp; Museum voor abstracte kuns")</f>
        <v>René Magritte Museum &amp; Museum voor abstracte kuns</v>
      </c>
      <c r="P26" s="24">
        <f>IFERROR(__xludf.DUMMYFUNCTION("""COMPUTED_VALUE"""),15.0)</f>
        <v>15</v>
      </c>
      <c r="T26" s="49">
        <v>12.0</v>
      </c>
      <c r="AK26" s="22" t="str">
        <f>IFERROR(__xludf.DUMMYFUNCTION("""COMPUTED_VALUE"""),"MigratieMuseum")</f>
        <v>MigratieMuseum</v>
      </c>
    </row>
    <row r="27">
      <c r="A27" s="16" t="s">
        <v>452</v>
      </c>
      <c r="B27" s="51">
        <v>12.0</v>
      </c>
      <c r="C27" s="17" t="b">
        <v>1</v>
      </c>
      <c r="D27" s="17" t="str">
        <f t="shared" si="1"/>
        <v>History &amp; Archaeology</v>
      </c>
      <c r="O27" s="22" t="str">
        <f>IFERROR(__xludf.DUMMYFUNCTION("""COMPUTED_VALUE"""),"Koninklijk Museum van het Leger en de Krijgsgeschiedenis")</f>
        <v>Koninklijk Museum van het Leger en de Krijgsgeschiedenis</v>
      </c>
      <c r="P27" s="24">
        <f>IFERROR(__xludf.DUMMYFUNCTION("""COMPUTED_VALUE"""),12.0)</f>
        <v>12</v>
      </c>
      <c r="T27" s="49">
        <v>13.0</v>
      </c>
      <c r="AK27" s="22" t="str">
        <f>IFERROR(__xludf.DUMMYFUNCTION("""COMPUTED_VALUE"""),"muziekinstrumentenmuseum")</f>
        <v>muziekinstrumentenmuseum</v>
      </c>
    </row>
    <row r="28">
      <c r="A28" s="16" t="s">
        <v>454</v>
      </c>
      <c r="B28" s="51">
        <v>12.0</v>
      </c>
      <c r="C28" s="17" t="b">
        <v>1</v>
      </c>
      <c r="D28" s="17" t="str">
        <f t="shared" si="1"/>
        <v>History &amp; Archaeology</v>
      </c>
      <c r="O28" s="22" t="str">
        <f>IFERROR(__xludf.DUMMYFUNCTION("""COMPUTED_VALUE"""),"Centrum voor Hedendaagse Kunst")</f>
        <v>Centrum voor Hedendaagse Kunst</v>
      </c>
      <c r="P28" s="24">
        <f>IFERROR(__xludf.DUMMYFUNCTION("""COMPUTED_VALUE"""),12.0)</f>
        <v>12</v>
      </c>
      <c r="T28" s="49">
        <v>14.0</v>
      </c>
      <c r="AK28" s="22" t="str">
        <f>IFERROR(__xludf.DUMMYFUNCTION("""COMPUTED_VALUE"""),"Gemeentelijk Museum van Sint-Jans-Molenbeek")</f>
        <v>Gemeentelijk Museum van Sint-Jans-Molenbeek</v>
      </c>
    </row>
    <row r="29">
      <c r="A29" s="16" t="s">
        <v>456</v>
      </c>
      <c r="B29" s="51">
        <v>12.0</v>
      </c>
      <c r="C29" s="17" t="b">
        <v>1</v>
      </c>
      <c r="D29" s="17" t="str">
        <f t="shared" si="1"/>
        <v>History &amp; Archaeology</v>
      </c>
      <c r="O29" s="22" t="str">
        <f>IFERROR(__xludf.DUMMYFUNCTION("""COMPUTED_VALUE"""),"Wittockiana")</f>
        <v>Wittockiana</v>
      </c>
      <c r="P29" s="24">
        <f>IFERROR(__xludf.DUMMYFUNCTION("""COMPUTED_VALUE"""),7.0)</f>
        <v>7</v>
      </c>
      <c r="T29" s="49">
        <v>15.0</v>
      </c>
      <c r="AK29" s="22" t="str">
        <f>IFERROR(__xludf.DUMMYFUNCTION("""COMPUTED_VALUE"""),"Museum Kunst &amp; Geschiedenis")</f>
        <v>Museum Kunst &amp; Geschiedenis</v>
      </c>
    </row>
    <row r="30">
      <c r="A30" s="16" t="s">
        <v>459</v>
      </c>
      <c r="B30" s="51">
        <v>12.0</v>
      </c>
      <c r="C30" s="17" t="b">
        <v>1</v>
      </c>
      <c r="D30" s="17" t="str">
        <f t="shared" si="1"/>
        <v>History &amp; Archaeology</v>
      </c>
      <c r="T30" s="49">
        <v>15.5</v>
      </c>
      <c r="AK30" s="22" t="str">
        <f>IFERROR(__xludf.DUMMYFUNCTION("""COMPUTED_VALUE"""),"Belgisch Museum van de Vrijmetselarij")</f>
        <v>Belgisch Museum van de Vrijmetselarij</v>
      </c>
    </row>
    <row r="31">
      <c r="A31" s="16" t="s">
        <v>461</v>
      </c>
      <c r="B31" s="51">
        <v>12.0</v>
      </c>
      <c r="C31" s="17" t="b">
        <v>1</v>
      </c>
      <c r="D31" s="17" t="str">
        <f t="shared" si="1"/>
        <v>History &amp; Archaeology</v>
      </c>
      <c r="T31" s="49">
        <v>16.0</v>
      </c>
      <c r="AK31" s="22" t="str">
        <f>IFERROR(__xludf.DUMMYFUNCTION("""COMPUTED_VALUE"""),"BELvue museum")</f>
        <v>BELvue museum</v>
      </c>
    </row>
    <row r="32">
      <c r="A32" s="16" t="s">
        <v>463</v>
      </c>
      <c r="B32" s="51">
        <v>12.0</v>
      </c>
      <c r="C32" s="17" t="b">
        <v>0</v>
      </c>
      <c r="D32" s="17" t="str">
        <f t="shared" si="1"/>
        <v/>
      </c>
      <c r="T32" s="49">
        <v>17.5</v>
      </c>
      <c r="AK32" s="22" t="str">
        <f>IFERROR(__xludf.DUMMYFUNCTION("""COMPUTED_VALUE"""),"Brussels Museum van de Molen en de Voeding")</f>
        <v>Brussels Museum van de Molen en de Voeding</v>
      </c>
    </row>
    <row r="33">
      <c r="A33" s="16" t="s">
        <v>465</v>
      </c>
      <c r="B33" s="51">
        <v>12.0</v>
      </c>
      <c r="C33" s="17" t="b">
        <v>0</v>
      </c>
      <c r="D33" s="17" t="str">
        <f t="shared" si="1"/>
        <v/>
      </c>
      <c r="T33" s="49">
        <v>18.0</v>
      </c>
      <c r="AK33" s="22" t="str">
        <f>IFERROR(__xludf.DUMMYFUNCTION("""COMPUTED_VALUE"""),"Charlier Museum")</f>
        <v>Charlier Museum</v>
      </c>
    </row>
    <row r="34">
      <c r="A34" s="16" t="s">
        <v>467</v>
      </c>
      <c r="B34" s="51">
        <v>12.0</v>
      </c>
      <c r="C34" s="17" t="b">
        <v>1</v>
      </c>
      <c r="D34" s="17" t="str">
        <f t="shared" si="1"/>
        <v>History &amp; Archaeology</v>
      </c>
      <c r="T34" s="49">
        <v>20.0</v>
      </c>
      <c r="AK34" s="22" t="str">
        <f>IFERROR(__xludf.DUMMYFUNCTION("""COMPUTED_VALUE"""),"Museum voor Spontane Kunst")</f>
        <v>Museum voor Spontane Kunst</v>
      </c>
    </row>
    <row r="35">
      <c r="A35" s="16" t="s">
        <v>469</v>
      </c>
      <c r="B35" s="51">
        <v>12.0</v>
      </c>
      <c r="C35" s="17" t="b">
        <v>0</v>
      </c>
      <c r="D35" s="17" t="str">
        <f t="shared" si="1"/>
        <v/>
      </c>
      <c r="T35" s="49">
        <v>22.0</v>
      </c>
      <c r="AK35" s="22" t="str">
        <f>IFERROR(__xludf.DUMMYFUNCTION("""COMPUTED_VALUE"""),"Riolenmuseum")</f>
        <v>Riolenmuseum</v>
      </c>
    </row>
    <row r="36">
      <c r="A36" s="16" t="s">
        <v>471</v>
      </c>
      <c r="B36" s="51">
        <v>12.0</v>
      </c>
      <c r="C36" s="17" t="b">
        <v>1</v>
      </c>
      <c r="D36" s="17" t="str">
        <f t="shared" si="1"/>
        <v>History &amp; Archaeology</v>
      </c>
      <c r="AK36" s="22" t="str">
        <f>IFERROR(__xludf.DUMMYFUNCTION("""COMPUTED_VALUE"""),"Stripmuseum Brussel")</f>
        <v>Stripmuseum Brussel</v>
      </c>
    </row>
    <row r="37">
      <c r="A37" s="16" t="s">
        <v>473</v>
      </c>
      <c r="B37" s="51">
        <v>12.0</v>
      </c>
      <c r="C37" s="17" t="b">
        <v>1</v>
      </c>
      <c r="D37" s="17" t="str">
        <f t="shared" si="1"/>
        <v>History &amp; Archaeology</v>
      </c>
      <c r="AK37" s="22" t="str">
        <f>IFERROR(__xludf.DUMMYFUNCTION("""COMPUTED_VALUE"""),"Museum van de Nationale Bank van België")</f>
        <v>Museum van de Nationale Bank van België</v>
      </c>
    </row>
    <row r="38">
      <c r="A38" s="16" t="s">
        <v>475</v>
      </c>
      <c r="B38" s="51">
        <v>12.0</v>
      </c>
      <c r="C38" s="17" t="b">
        <v>1</v>
      </c>
      <c r="D38" s="17" t="str">
        <f t="shared" si="1"/>
        <v>History &amp; Archaeology</v>
      </c>
      <c r="AK38" s="22" t="str">
        <f>IFERROR(__xludf.DUMMYFUNCTION("""COMPUTED_VALUE"""),"Geneeskundemuseum")</f>
        <v>Geneeskundemuseum</v>
      </c>
    </row>
    <row r="39">
      <c r="A39" s="16" t="s">
        <v>477</v>
      </c>
      <c r="B39" s="51">
        <v>12.0</v>
      </c>
      <c r="C39" s="17" t="b">
        <v>1</v>
      </c>
      <c r="D39" s="17" t="str">
        <f t="shared" si="1"/>
        <v>History &amp; Archaeology</v>
      </c>
      <c r="AK39" s="22" t="str">
        <f>IFERROR(__xludf.DUMMYFUNCTION("""COMPUTED_VALUE"""),"Museum van de Stad Brussel - Broodhuis")</f>
        <v>Museum van de Stad Brussel - Broodhuis</v>
      </c>
    </row>
    <row r="40">
      <c r="A40" s="16" t="s">
        <v>479</v>
      </c>
      <c r="B40" s="51">
        <v>13.0</v>
      </c>
      <c r="C40" s="17" t="b">
        <v>0</v>
      </c>
      <c r="D40" s="17" t="str">
        <f t="shared" si="1"/>
        <v/>
      </c>
      <c r="AK40" s="22" t="str">
        <f>IFERROR(__xludf.DUMMYFUNCTION("""COMPUTED_VALUE"""),"Museum en Tuinen van Buuren")</f>
        <v>Museum en Tuinen van Buuren</v>
      </c>
    </row>
    <row r="41">
      <c r="A41" s="16" t="s">
        <v>481</v>
      </c>
      <c r="B41" s="51">
        <v>13.0</v>
      </c>
      <c r="C41" s="17" t="b">
        <v>1</v>
      </c>
      <c r="D41" s="17" t="str">
        <f t="shared" si="1"/>
        <v>History &amp; Archaeology</v>
      </c>
    </row>
    <row r="42">
      <c r="A42" s="16" t="s">
        <v>483</v>
      </c>
      <c r="B42" s="51">
        <v>13.0</v>
      </c>
      <c r="C42" s="17" t="b">
        <v>0</v>
      </c>
      <c r="D42" s="17" t="str">
        <f t="shared" si="1"/>
        <v/>
      </c>
    </row>
    <row r="43">
      <c r="A43" s="16" t="s">
        <v>486</v>
      </c>
      <c r="B43" s="51">
        <v>13.0</v>
      </c>
      <c r="C43" s="17" t="b">
        <v>0</v>
      </c>
      <c r="D43" s="17" t="str">
        <f t="shared" si="1"/>
        <v/>
      </c>
    </row>
    <row r="44">
      <c r="A44" s="16" t="s">
        <v>488</v>
      </c>
      <c r="B44" s="51">
        <v>14.0</v>
      </c>
      <c r="C44" s="17" t="b">
        <v>1</v>
      </c>
      <c r="D44" s="17" t="str">
        <f t="shared" si="1"/>
        <v>History &amp; Archaeology</v>
      </c>
    </row>
    <row r="45">
      <c r="A45" s="16" t="s">
        <v>490</v>
      </c>
      <c r="B45" s="51">
        <v>14.0</v>
      </c>
      <c r="C45" s="17" t="b">
        <v>1</v>
      </c>
      <c r="D45" s="17" t="str">
        <f t="shared" si="1"/>
        <v>History &amp; Archaeology</v>
      </c>
    </row>
    <row r="46">
      <c r="A46" s="16" t="s">
        <v>492</v>
      </c>
      <c r="B46" s="51">
        <v>14.0</v>
      </c>
      <c r="C46" s="17" t="b">
        <v>0</v>
      </c>
      <c r="D46" s="17" t="str">
        <f t="shared" si="1"/>
        <v/>
      </c>
    </row>
    <row r="47">
      <c r="A47" s="16" t="s">
        <v>494</v>
      </c>
      <c r="B47" s="51">
        <v>14.0</v>
      </c>
      <c r="C47" s="17" t="b">
        <v>1</v>
      </c>
      <c r="D47" s="17" t="str">
        <f t="shared" si="1"/>
        <v>History &amp; Archaeology</v>
      </c>
    </row>
    <row r="48">
      <c r="A48" s="16" t="s">
        <v>496</v>
      </c>
      <c r="B48" s="51">
        <v>14.0</v>
      </c>
      <c r="C48" s="17" t="b">
        <v>0</v>
      </c>
      <c r="D48" s="17" t="str">
        <f t="shared" si="1"/>
        <v/>
      </c>
    </row>
    <row r="49">
      <c r="A49" s="16" t="s">
        <v>498</v>
      </c>
      <c r="B49" s="51">
        <v>14.0</v>
      </c>
      <c r="C49" s="17" t="b">
        <v>0</v>
      </c>
      <c r="D49" s="17" t="str">
        <f t="shared" si="1"/>
        <v/>
      </c>
    </row>
    <row r="51">
      <c r="A51" s="75"/>
      <c r="B51" s="76" t="s">
        <v>603</v>
      </c>
      <c r="C51" s="76"/>
      <c r="D51" s="76"/>
    </row>
    <row r="52">
      <c r="A52" s="75" t="s">
        <v>17</v>
      </c>
      <c r="B52" s="76" t="s">
        <v>617</v>
      </c>
      <c r="C52" s="76" t="s">
        <v>603</v>
      </c>
      <c r="D52" s="76" t="s">
        <v>580</v>
      </c>
    </row>
    <row r="53">
      <c r="A53" s="77">
        <v>10.0</v>
      </c>
      <c r="B53" s="76"/>
      <c r="C53" s="76"/>
      <c r="D53" s="76"/>
    </row>
    <row r="54">
      <c r="A54" s="77">
        <v>11.0</v>
      </c>
      <c r="B54" s="76"/>
      <c r="C54" s="76"/>
      <c r="D54" s="76"/>
    </row>
    <row r="55">
      <c r="A55" s="77">
        <v>12.0</v>
      </c>
      <c r="B55" s="76"/>
      <c r="C55" s="76"/>
      <c r="D55" s="76"/>
    </row>
    <row r="56">
      <c r="A56" s="77">
        <v>13.0</v>
      </c>
      <c r="B56" s="76"/>
      <c r="C56" s="76"/>
      <c r="D56" s="76"/>
    </row>
    <row r="57">
      <c r="A57" s="77">
        <v>14.0</v>
      </c>
      <c r="B57" s="76"/>
      <c r="C57" s="76"/>
      <c r="D57" s="76"/>
    </row>
    <row r="58">
      <c r="A58" s="75"/>
      <c r="B58" s="76"/>
      <c r="C58" s="76"/>
      <c r="D58" s="76"/>
    </row>
    <row r="59">
      <c r="A59" s="75"/>
      <c r="B59" s="76"/>
      <c r="C59" s="76"/>
      <c r="D59" s="76"/>
    </row>
    <row r="60">
      <c r="A60" s="75"/>
      <c r="B60" s="76"/>
      <c r="C60" s="76"/>
      <c r="D60" s="76"/>
    </row>
    <row r="61">
      <c r="A61" s="75"/>
      <c r="B61" s="76"/>
      <c r="C61" s="76"/>
      <c r="D61" s="76"/>
    </row>
    <row r="62">
      <c r="A62" s="75"/>
      <c r="B62" s="76"/>
      <c r="C62" s="76"/>
      <c r="D62" s="76"/>
    </row>
    <row r="63">
      <c r="A63" s="75"/>
      <c r="B63" s="76"/>
      <c r="C63" s="76"/>
      <c r="D63" s="76"/>
    </row>
    <row r="64">
      <c r="A64" s="75"/>
      <c r="B64" s="76"/>
      <c r="C64" s="76"/>
      <c r="D64" s="76"/>
    </row>
    <row r="65">
      <c r="A65" s="75"/>
      <c r="B65" s="76"/>
      <c r="C65" s="76"/>
      <c r="D65" s="76"/>
    </row>
    <row r="66">
      <c r="A66" s="75"/>
      <c r="B66" s="76"/>
      <c r="C66" s="76"/>
      <c r="D66" s="76"/>
    </row>
    <row r="67">
      <c r="A67" s="75"/>
      <c r="B67" s="76"/>
      <c r="C67" s="76"/>
      <c r="D67" s="76"/>
    </row>
    <row r="68">
      <c r="A68" s="75"/>
      <c r="B68" s="76"/>
      <c r="C68" s="76"/>
      <c r="D68" s="76"/>
    </row>
    <row r="69">
      <c r="A69" s="75"/>
      <c r="B69" s="76"/>
      <c r="C69" s="76"/>
      <c r="D69" s="76"/>
    </row>
    <row r="70">
      <c r="A70" s="75"/>
      <c r="B70" s="76"/>
      <c r="C70" s="76"/>
      <c r="D70" s="76"/>
    </row>
    <row r="71">
      <c r="A71" s="75"/>
      <c r="B71" s="76"/>
      <c r="C71" s="76"/>
      <c r="D71" s="76"/>
    </row>
    <row r="72">
      <c r="A72" s="75"/>
      <c r="B72" s="76"/>
      <c r="C72" s="76"/>
      <c r="D72" s="76"/>
    </row>
    <row r="73">
      <c r="A73" s="75"/>
      <c r="B73" s="76"/>
      <c r="C73" s="76"/>
      <c r="D73" s="76"/>
    </row>
    <row r="74">
      <c r="A74" s="75"/>
      <c r="B74" s="76"/>
      <c r="C74" s="76"/>
      <c r="D74" s="76"/>
    </row>
    <row r="75">
      <c r="A75" s="75"/>
      <c r="B75" s="76"/>
      <c r="C75" s="76"/>
      <c r="D75" s="76"/>
    </row>
    <row r="76">
      <c r="A76" s="75"/>
      <c r="B76" s="76"/>
      <c r="C76" s="76"/>
      <c r="D76" s="76"/>
    </row>
    <row r="77">
      <c r="A77" s="78"/>
      <c r="B77" s="76"/>
      <c r="C77" s="76"/>
      <c r="D77" s="76"/>
    </row>
    <row r="78">
      <c r="A78" s="78"/>
      <c r="B78" s="76"/>
      <c r="C78" s="76"/>
      <c r="D78" s="76"/>
    </row>
    <row r="79">
      <c r="A79" s="78"/>
      <c r="B79" s="76"/>
      <c r="C79" s="76"/>
      <c r="D79" s="76"/>
    </row>
    <row r="80">
      <c r="A80" s="78"/>
      <c r="B80" s="76"/>
      <c r="C80" s="76"/>
      <c r="D80" s="76"/>
    </row>
    <row r="81">
      <c r="A81" s="78"/>
      <c r="B81" s="76"/>
      <c r="C81" s="76"/>
      <c r="D81" s="76"/>
    </row>
    <row r="82">
      <c r="A82" s="78"/>
      <c r="B82" s="76"/>
      <c r="C82" s="76"/>
      <c r="D82" s="76"/>
    </row>
    <row r="83">
      <c r="A83" s="78"/>
      <c r="B83" s="76"/>
      <c r="C83" s="76"/>
      <c r="D83" s="76"/>
    </row>
    <row r="84">
      <c r="A84" s="78"/>
      <c r="B84" s="76"/>
      <c r="C84" s="76"/>
      <c r="D84" s="76"/>
    </row>
    <row r="85">
      <c r="A85" s="78"/>
      <c r="B85" s="76"/>
      <c r="C85" s="76"/>
      <c r="D85" s="76"/>
    </row>
    <row r="86">
      <c r="A86" s="78"/>
      <c r="B86" s="76"/>
      <c r="C86" s="76"/>
      <c r="D86" s="76"/>
    </row>
    <row r="87">
      <c r="A87" s="78"/>
      <c r="B87" s="76"/>
      <c r="C87" s="76"/>
      <c r="D87" s="76"/>
    </row>
    <row r="88">
      <c r="A88" s="78"/>
      <c r="B88" s="76"/>
      <c r="C88" s="76"/>
      <c r="D88" s="76"/>
    </row>
    <row r="89">
      <c r="A89" s="78"/>
      <c r="B89" s="76"/>
      <c r="C89" s="76"/>
      <c r="D89" s="76"/>
    </row>
    <row r="90">
      <c r="A90" s="78"/>
      <c r="B90" s="76"/>
      <c r="C90" s="76"/>
      <c r="D90" s="76"/>
    </row>
    <row r="91">
      <c r="A91" s="78"/>
      <c r="B91" s="76"/>
      <c r="C91" s="76"/>
      <c r="D91" s="76"/>
    </row>
    <row r="92">
      <c r="A92" s="78"/>
      <c r="B92" s="76"/>
      <c r="C92" s="76"/>
      <c r="D92" s="76"/>
    </row>
    <row r="93">
      <c r="A93" s="78"/>
      <c r="B93" s="76"/>
      <c r="C93" s="76"/>
      <c r="D93" s="76"/>
    </row>
    <row r="94">
      <c r="A94" s="78"/>
      <c r="B94" s="79"/>
      <c r="C94" s="79"/>
      <c r="D94" s="79"/>
    </row>
    <row r="95">
      <c r="A95" s="78"/>
      <c r="B95" s="76"/>
      <c r="C95" s="76"/>
      <c r="D95" s="76"/>
    </row>
    <row r="96">
      <c r="A96" s="78"/>
      <c r="B96" s="76"/>
      <c r="C96" s="76"/>
      <c r="D96" s="76"/>
    </row>
    <row r="97">
      <c r="A97" s="78"/>
      <c r="B97" s="76"/>
      <c r="C97" s="76"/>
      <c r="D97" s="76"/>
    </row>
    <row r="98">
      <c r="A98" s="78"/>
      <c r="B98" s="76"/>
      <c r="C98" s="76"/>
      <c r="D98" s="76"/>
    </row>
  </sheetData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16"/>
      <c r="B12" s="16"/>
      <c r="C12" s="16"/>
      <c r="D12" s="15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drawing r:id="rId1"/>
</worksheet>
</file>